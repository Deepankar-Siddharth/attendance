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0" yWindow="0" windowWidth="20460" windowHeight="7605" firstSheet="3" activeTab="7"/>
  </bookViews>
  <sheets>
    <sheet name="General and Dental Pharmacology" sheetId="1" r:id="rId1"/>
    <sheet name="General Pathology" sheetId="7" r:id="rId2"/>
    <sheet name="Preclinical Prosthodontics" sheetId="2" r:id="rId3"/>
    <sheet name="Dental Material" sheetId="3" r:id="rId4"/>
    <sheet name="Oral Pathology" sheetId="4" r:id="rId5"/>
    <sheet name="General Microbiology" sheetId="5" r:id="rId6"/>
    <sheet name="Preclinical Conservative" sheetId="6" r:id="rId7"/>
    <sheet name="October 2024 to April 2025" sheetId="10" r:id="rId8"/>
  </sheets>
  <definedNames>
    <definedName name="_xlnm._FilterDatabase" localSheetId="7" hidden="1">'October 2024 to April 2025'!$A$4:$K$4</definedName>
  </definedNames>
  <calcPr calcId="124519" calcMode="manual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32" i="3"/>
  <c r="AY32" s="1"/>
  <c r="AW32"/>
  <c r="AU32"/>
  <c r="AV32" s="1"/>
  <c r="AT32"/>
  <c r="AZ32" s="1"/>
  <c r="AS32"/>
  <c r="AP32"/>
  <c r="AM32"/>
  <c r="AJ32"/>
  <c r="AG32"/>
  <c r="AD32"/>
  <c r="AA32"/>
  <c r="X32"/>
  <c r="U32"/>
  <c r="R32"/>
  <c r="O32"/>
  <c r="L32"/>
  <c r="I32"/>
  <c r="F32"/>
  <c r="K83" i="10"/>
  <c r="K85"/>
  <c r="K86"/>
  <c r="AT85" i="4"/>
  <c r="AV85" s="1"/>
  <c r="AU85"/>
  <c r="AW85"/>
  <c r="AX85"/>
  <c r="AY85" s="1"/>
  <c r="AT87"/>
  <c r="AU87"/>
  <c r="BA87" s="1"/>
  <c r="BB87" s="1"/>
  <c r="AV87"/>
  <c r="AW87"/>
  <c r="AX87"/>
  <c r="AY87" s="1"/>
  <c r="AZ87"/>
  <c r="AT88"/>
  <c r="AZ88" s="1"/>
  <c r="AU88"/>
  <c r="BA88" s="1"/>
  <c r="AW88"/>
  <c r="AX88"/>
  <c r="AY88"/>
  <c r="AT85" i="7"/>
  <c r="AV85" s="1"/>
  <c r="AU85"/>
  <c r="AW85"/>
  <c r="AX85"/>
  <c r="AY85" s="1"/>
  <c r="AT87"/>
  <c r="AU87"/>
  <c r="BA87" s="1"/>
  <c r="BB87" s="1"/>
  <c r="AV87"/>
  <c r="AW87"/>
  <c r="AX87"/>
  <c r="AY87" s="1"/>
  <c r="AZ87"/>
  <c r="AT88"/>
  <c r="AZ88" s="1"/>
  <c r="AU88"/>
  <c r="AV88" s="1"/>
  <c r="AW88"/>
  <c r="AX88"/>
  <c r="AY88"/>
  <c r="BA88"/>
  <c r="AT85" i="6"/>
  <c r="AV85" s="1"/>
  <c r="AU85"/>
  <c r="AW85"/>
  <c r="AX85"/>
  <c r="AY85" s="1"/>
  <c r="AZ85"/>
  <c r="AT87"/>
  <c r="AU87"/>
  <c r="AV87"/>
  <c r="AW87"/>
  <c r="AX87"/>
  <c r="BA87" s="1"/>
  <c r="BB87" s="1"/>
  <c r="AZ87"/>
  <c r="AT88"/>
  <c r="AU88"/>
  <c r="AV88" s="1"/>
  <c r="AW88"/>
  <c r="AZ88" s="1"/>
  <c r="AX88"/>
  <c r="AY88"/>
  <c r="BA88"/>
  <c r="AT8"/>
  <c r="AU8"/>
  <c r="AV8" s="1"/>
  <c r="AW8"/>
  <c r="AZ8" s="1"/>
  <c r="AX8"/>
  <c r="BA8" s="1"/>
  <c r="BB8" s="1"/>
  <c r="AT9"/>
  <c r="AV9" s="1"/>
  <c r="AU9"/>
  <c r="BA9" s="1"/>
  <c r="BB9" s="1"/>
  <c r="AW9"/>
  <c r="AX9"/>
  <c r="AY9" s="1"/>
  <c r="AZ9"/>
  <c r="AT10"/>
  <c r="AZ10" s="1"/>
  <c r="AU10"/>
  <c r="AV10" s="1"/>
  <c r="AW10"/>
  <c r="AY10" s="1"/>
  <c r="AX10"/>
  <c r="BA10"/>
  <c r="BB10" s="1"/>
  <c r="AT11"/>
  <c r="AU11"/>
  <c r="AV11"/>
  <c r="AW11"/>
  <c r="AX11"/>
  <c r="BA11" s="1"/>
  <c r="BB11" s="1"/>
  <c r="AZ11"/>
  <c r="AT12"/>
  <c r="AU12"/>
  <c r="AV12" s="1"/>
  <c r="AW12"/>
  <c r="AZ12" s="1"/>
  <c r="AX12"/>
  <c r="AY12"/>
  <c r="BA12"/>
  <c r="BB12" s="1"/>
  <c r="AT13"/>
  <c r="AV13" s="1"/>
  <c r="AU13"/>
  <c r="AW13"/>
  <c r="AX13"/>
  <c r="AY13" s="1"/>
  <c r="AT14"/>
  <c r="AU14"/>
  <c r="AV14" s="1"/>
  <c r="AW14"/>
  <c r="AY14" s="1"/>
  <c r="AX14"/>
  <c r="BA14"/>
  <c r="AT15"/>
  <c r="AU15"/>
  <c r="AV15"/>
  <c r="AW15"/>
  <c r="AX15"/>
  <c r="BA15" s="1"/>
  <c r="BB15" s="1"/>
  <c r="AZ15"/>
  <c r="AT16"/>
  <c r="AU16"/>
  <c r="AV16" s="1"/>
  <c r="AW16"/>
  <c r="AZ16" s="1"/>
  <c r="AX16"/>
  <c r="BA16"/>
  <c r="AT17"/>
  <c r="AV17" s="1"/>
  <c r="AU17"/>
  <c r="AW17"/>
  <c r="AX17"/>
  <c r="AY17" s="1"/>
  <c r="AZ17"/>
  <c r="AT18"/>
  <c r="AU18"/>
  <c r="AV18" s="1"/>
  <c r="AW18"/>
  <c r="AY18" s="1"/>
  <c r="AX18"/>
  <c r="BA18"/>
  <c r="AT19"/>
  <c r="AV19" s="1"/>
  <c r="AU19"/>
  <c r="AW19"/>
  <c r="AX19"/>
  <c r="BA19" s="1"/>
  <c r="BB19" s="1"/>
  <c r="AZ19"/>
  <c r="AT20"/>
  <c r="AU20"/>
  <c r="AV20" s="1"/>
  <c r="AW20"/>
  <c r="AZ20" s="1"/>
  <c r="AX20"/>
  <c r="BA20"/>
  <c r="AT21"/>
  <c r="AV21" s="1"/>
  <c r="AU21"/>
  <c r="AW21"/>
  <c r="AX21"/>
  <c r="AY21" s="1"/>
  <c r="AZ21"/>
  <c r="AT22"/>
  <c r="AU22"/>
  <c r="AV22" s="1"/>
  <c r="AW22"/>
  <c r="AY22" s="1"/>
  <c r="AX22"/>
  <c r="BA22"/>
  <c r="AT23"/>
  <c r="AV23" s="1"/>
  <c r="AU23"/>
  <c r="AW23"/>
  <c r="AX23"/>
  <c r="BA23" s="1"/>
  <c r="BB23" s="1"/>
  <c r="AZ23"/>
  <c r="AT24"/>
  <c r="AU24"/>
  <c r="AV24" s="1"/>
  <c r="AW24"/>
  <c r="AZ24" s="1"/>
  <c r="AX24"/>
  <c r="BA24"/>
  <c r="AT25"/>
  <c r="AU25"/>
  <c r="AV25"/>
  <c r="AW25"/>
  <c r="AX25"/>
  <c r="AY25" s="1"/>
  <c r="AZ25"/>
  <c r="AT26"/>
  <c r="AU26"/>
  <c r="AV26" s="1"/>
  <c r="AW26"/>
  <c r="AY26" s="1"/>
  <c r="AX26"/>
  <c r="BA26"/>
  <c r="AT27"/>
  <c r="AV27" s="1"/>
  <c r="AU27"/>
  <c r="AW27"/>
  <c r="AX27"/>
  <c r="BA27" s="1"/>
  <c r="BB27" s="1"/>
  <c r="AZ27"/>
  <c r="AT28"/>
  <c r="AZ28" s="1"/>
  <c r="AU28"/>
  <c r="AV28" s="1"/>
  <c r="AW28"/>
  <c r="AY28" s="1"/>
  <c r="AX28"/>
  <c r="BA28"/>
  <c r="BB28" s="1"/>
  <c r="AT29"/>
  <c r="AV29" s="1"/>
  <c r="AU29"/>
  <c r="AW29"/>
  <c r="AX29"/>
  <c r="AY29" s="1"/>
  <c r="AZ29"/>
  <c r="AT30"/>
  <c r="AU30"/>
  <c r="AV30" s="1"/>
  <c r="AW30"/>
  <c r="AY30" s="1"/>
  <c r="AX30"/>
  <c r="BA30"/>
  <c r="AT31"/>
  <c r="AU31"/>
  <c r="AV31"/>
  <c r="AW31"/>
  <c r="AX31"/>
  <c r="BA31" s="1"/>
  <c r="BB31" s="1"/>
  <c r="AZ31"/>
  <c r="AT32"/>
  <c r="AZ32" s="1"/>
  <c r="AU32"/>
  <c r="AV32" s="1"/>
  <c r="AW32"/>
  <c r="AX32"/>
  <c r="AY32" s="1"/>
  <c r="BA32"/>
  <c r="AT33"/>
  <c r="AV33" s="1"/>
  <c r="AU33"/>
  <c r="AW33"/>
  <c r="AX33"/>
  <c r="AY33" s="1"/>
  <c r="AZ33"/>
  <c r="AT34"/>
  <c r="AU34"/>
  <c r="AV34" s="1"/>
  <c r="AW34"/>
  <c r="AY34" s="1"/>
  <c r="AX34"/>
  <c r="BA34"/>
  <c r="AT35"/>
  <c r="AU35"/>
  <c r="AV35"/>
  <c r="AW35"/>
  <c r="AX35"/>
  <c r="BA35" s="1"/>
  <c r="BB35" s="1"/>
  <c r="AZ35"/>
  <c r="AT36"/>
  <c r="AZ36" s="1"/>
  <c r="AU36"/>
  <c r="AV36" s="1"/>
  <c r="AW36"/>
  <c r="AY36" s="1"/>
  <c r="AX36"/>
  <c r="BA36"/>
  <c r="BB36" s="1"/>
  <c r="AT37"/>
  <c r="AV37" s="1"/>
  <c r="AU37"/>
  <c r="AW37"/>
  <c r="AX37"/>
  <c r="AY37" s="1"/>
  <c r="AZ37"/>
  <c r="AT38"/>
  <c r="AU38"/>
  <c r="AV38" s="1"/>
  <c r="AW38"/>
  <c r="AY38" s="1"/>
  <c r="AX38"/>
  <c r="BA38"/>
  <c r="AT39"/>
  <c r="AU39"/>
  <c r="BA39" s="1"/>
  <c r="BB39" s="1"/>
  <c r="AV39"/>
  <c r="AW39"/>
  <c r="AX39"/>
  <c r="AY39" s="1"/>
  <c r="AZ39"/>
  <c r="AT40"/>
  <c r="AZ40" s="1"/>
  <c r="AU40"/>
  <c r="AV40" s="1"/>
  <c r="AW40"/>
  <c r="AX40"/>
  <c r="AY40"/>
  <c r="BA40"/>
  <c r="BB40" s="1"/>
  <c r="AT41"/>
  <c r="AV41" s="1"/>
  <c r="AU41"/>
  <c r="AW41"/>
  <c r="AX41"/>
  <c r="AY41" s="1"/>
  <c r="AT42"/>
  <c r="AU42"/>
  <c r="AV42" s="1"/>
  <c r="AW42"/>
  <c r="AY42" s="1"/>
  <c r="AX42"/>
  <c r="BA42"/>
  <c r="AT43"/>
  <c r="AU43"/>
  <c r="BA43" s="1"/>
  <c r="BB43" s="1"/>
  <c r="AV43"/>
  <c r="AW43"/>
  <c r="AX43"/>
  <c r="AY43" s="1"/>
  <c r="AZ43"/>
  <c r="AT44"/>
  <c r="AZ44" s="1"/>
  <c r="AU44"/>
  <c r="AV44" s="1"/>
  <c r="AW44"/>
  <c r="AX44"/>
  <c r="AY44"/>
  <c r="BA44"/>
  <c r="AT45"/>
  <c r="AV45" s="1"/>
  <c r="AU45"/>
  <c r="AW45"/>
  <c r="AX45"/>
  <c r="AY45" s="1"/>
  <c r="AT46"/>
  <c r="AU46"/>
  <c r="AV46" s="1"/>
  <c r="AW46"/>
  <c r="AY46" s="1"/>
  <c r="AX46"/>
  <c r="BA46"/>
  <c r="AT47"/>
  <c r="AU47"/>
  <c r="AV47"/>
  <c r="AW47"/>
  <c r="AX47"/>
  <c r="BA47" s="1"/>
  <c r="BB47" s="1"/>
  <c r="AZ47"/>
  <c r="AT48"/>
  <c r="AZ48" s="1"/>
  <c r="AU48"/>
  <c r="AV48" s="1"/>
  <c r="AW48"/>
  <c r="AX48"/>
  <c r="AY48"/>
  <c r="BA48"/>
  <c r="BB48" s="1"/>
  <c r="AT49"/>
  <c r="AV49" s="1"/>
  <c r="AU49"/>
  <c r="AW49"/>
  <c r="AX49"/>
  <c r="AY49" s="1"/>
  <c r="AZ49"/>
  <c r="AT50"/>
  <c r="AU50"/>
  <c r="AV50" s="1"/>
  <c r="AW50"/>
  <c r="AY50" s="1"/>
  <c r="AX50"/>
  <c r="BA50"/>
  <c r="AT51"/>
  <c r="AU51"/>
  <c r="AV51"/>
  <c r="AW51"/>
  <c r="AX51"/>
  <c r="BA51" s="1"/>
  <c r="BB51" s="1"/>
  <c r="AZ51"/>
  <c r="AT52"/>
  <c r="AZ52" s="1"/>
  <c r="AU52"/>
  <c r="AV52" s="1"/>
  <c r="AW52"/>
  <c r="AX52"/>
  <c r="AY52"/>
  <c r="BA52"/>
  <c r="BB52" s="1"/>
  <c r="AT53"/>
  <c r="AV53" s="1"/>
  <c r="AU53"/>
  <c r="AW53"/>
  <c r="AX53"/>
  <c r="AY53" s="1"/>
  <c r="AT54"/>
  <c r="AU54"/>
  <c r="AV54" s="1"/>
  <c r="AW54"/>
  <c r="AY54" s="1"/>
  <c r="AX54"/>
  <c r="BA54"/>
  <c r="AT55"/>
  <c r="AU55"/>
  <c r="AV55"/>
  <c r="AW55"/>
  <c r="AX55"/>
  <c r="BA55" s="1"/>
  <c r="BB55" s="1"/>
  <c r="AZ55"/>
  <c r="AT56"/>
  <c r="AZ56" s="1"/>
  <c r="AU56"/>
  <c r="AV56" s="1"/>
  <c r="AW56"/>
  <c r="AX56"/>
  <c r="AY56"/>
  <c r="BA56"/>
  <c r="AT57"/>
  <c r="AV57" s="1"/>
  <c r="AU57"/>
  <c r="AW57"/>
  <c r="AX57"/>
  <c r="AY57" s="1"/>
  <c r="AT58"/>
  <c r="AU58"/>
  <c r="AV58" s="1"/>
  <c r="AW58"/>
  <c r="AY58" s="1"/>
  <c r="AX58"/>
  <c r="BA58"/>
  <c r="AT59"/>
  <c r="AU59"/>
  <c r="AV59"/>
  <c r="AW59"/>
  <c r="AX59"/>
  <c r="BA59" s="1"/>
  <c r="BB59" s="1"/>
  <c r="AZ59"/>
  <c r="AT60"/>
  <c r="AZ60" s="1"/>
  <c r="AU60"/>
  <c r="AV60" s="1"/>
  <c r="AW60"/>
  <c r="AX60"/>
  <c r="AY60"/>
  <c r="BA60"/>
  <c r="BB60" s="1"/>
  <c r="AT61"/>
  <c r="AV61" s="1"/>
  <c r="AU61"/>
  <c r="AW61"/>
  <c r="AX61"/>
  <c r="AY61" s="1"/>
  <c r="AT62"/>
  <c r="AU62"/>
  <c r="AV62" s="1"/>
  <c r="AW62"/>
  <c r="AY62" s="1"/>
  <c r="AX62"/>
  <c r="BA62"/>
  <c r="AT63"/>
  <c r="AU63"/>
  <c r="AV63"/>
  <c r="AW63"/>
  <c r="AX63"/>
  <c r="BA63" s="1"/>
  <c r="BB63" s="1"/>
  <c r="AZ63"/>
  <c r="AT64"/>
  <c r="AZ64" s="1"/>
  <c r="AU64"/>
  <c r="AV64" s="1"/>
  <c r="AW64"/>
  <c r="AX64"/>
  <c r="AY64"/>
  <c r="BA64"/>
  <c r="AT65"/>
  <c r="AV65" s="1"/>
  <c r="AU65"/>
  <c r="AW65"/>
  <c r="AX65"/>
  <c r="AY65" s="1"/>
  <c r="AZ65"/>
  <c r="AT66"/>
  <c r="AU66"/>
  <c r="AV66" s="1"/>
  <c r="AW66"/>
  <c r="AY66" s="1"/>
  <c r="AX66"/>
  <c r="BA66"/>
  <c r="AT67"/>
  <c r="AU67"/>
  <c r="AV67"/>
  <c r="AW67"/>
  <c r="AX67"/>
  <c r="BA67" s="1"/>
  <c r="BB67" s="1"/>
  <c r="AZ67"/>
  <c r="AT68"/>
  <c r="AZ68" s="1"/>
  <c r="AU68"/>
  <c r="AV68" s="1"/>
  <c r="AW68"/>
  <c r="AX68"/>
  <c r="AY68"/>
  <c r="BA68"/>
  <c r="AT69"/>
  <c r="AV69" s="1"/>
  <c r="AU69"/>
  <c r="AW69"/>
  <c r="AX69"/>
  <c r="AY69" s="1"/>
  <c r="AT70"/>
  <c r="AU70"/>
  <c r="AV70" s="1"/>
  <c r="AW70"/>
  <c r="AY70" s="1"/>
  <c r="AX70"/>
  <c r="BA70"/>
  <c r="AT71"/>
  <c r="AU71"/>
  <c r="AV71" s="1"/>
  <c r="AW71"/>
  <c r="AX71"/>
  <c r="AZ71"/>
  <c r="AT72"/>
  <c r="AU72"/>
  <c r="AV72" s="1"/>
  <c r="AW72"/>
  <c r="AZ72" s="1"/>
  <c r="AX72"/>
  <c r="BA72"/>
  <c r="AT73"/>
  <c r="AV73" s="1"/>
  <c r="AU73"/>
  <c r="AW73"/>
  <c r="AX73"/>
  <c r="AY73" s="1"/>
  <c r="AZ73"/>
  <c r="AT74"/>
  <c r="AU74"/>
  <c r="AV74" s="1"/>
  <c r="AW74"/>
  <c r="AY74" s="1"/>
  <c r="AX74"/>
  <c r="BA74"/>
  <c r="AT75"/>
  <c r="AU75"/>
  <c r="AV75"/>
  <c r="AW75"/>
  <c r="AX75"/>
  <c r="BA75" s="1"/>
  <c r="BB75" s="1"/>
  <c r="AZ75"/>
  <c r="AT76"/>
  <c r="AZ76" s="1"/>
  <c r="AU76"/>
  <c r="AV76" s="1"/>
  <c r="AW76"/>
  <c r="AX76"/>
  <c r="AY76"/>
  <c r="BA76"/>
  <c r="AT77"/>
  <c r="AV77" s="1"/>
  <c r="AU77"/>
  <c r="AW77"/>
  <c r="AX77"/>
  <c r="AY77" s="1"/>
  <c r="AT78"/>
  <c r="AU78"/>
  <c r="AV78" s="1"/>
  <c r="AW78"/>
  <c r="AY78" s="1"/>
  <c r="AX78"/>
  <c r="BA78"/>
  <c r="AT79"/>
  <c r="AU79"/>
  <c r="BA79" s="1"/>
  <c r="BB79" s="1"/>
  <c r="AV79"/>
  <c r="AW79"/>
  <c r="AX79"/>
  <c r="AY79" s="1"/>
  <c r="AZ79"/>
  <c r="AT80"/>
  <c r="AZ80" s="1"/>
  <c r="AU80"/>
  <c r="AV80" s="1"/>
  <c r="AW80"/>
  <c r="AX80"/>
  <c r="AY80"/>
  <c r="BA80"/>
  <c r="BB80" s="1"/>
  <c r="AT81"/>
  <c r="AV81" s="1"/>
  <c r="AU81"/>
  <c r="AW81"/>
  <c r="AX81"/>
  <c r="AY81" s="1"/>
  <c r="AT82"/>
  <c r="AU82"/>
  <c r="AV82" s="1"/>
  <c r="AW82"/>
  <c r="AY82" s="1"/>
  <c r="AX82"/>
  <c r="BA82"/>
  <c r="AT83"/>
  <c r="AU83"/>
  <c r="AV83"/>
  <c r="AW83"/>
  <c r="AX83"/>
  <c r="BA83" s="1"/>
  <c r="BB83" s="1"/>
  <c r="AZ83"/>
  <c r="AS88"/>
  <c r="AS87"/>
  <c r="AS85"/>
  <c r="AS83"/>
  <c r="AS82"/>
  <c r="AS81"/>
  <c r="AS80"/>
  <c r="AS79"/>
  <c r="AS78"/>
  <c r="AS77"/>
  <c r="AS76"/>
  <c r="AS75"/>
  <c r="AS74"/>
  <c r="AS73"/>
  <c r="AS72"/>
  <c r="AS71"/>
  <c r="AS70"/>
  <c r="AS69"/>
  <c r="AS68"/>
  <c r="AS67"/>
  <c r="AS66"/>
  <c r="AS65"/>
  <c r="AS64"/>
  <c r="AS63"/>
  <c r="AS62"/>
  <c r="AS61"/>
  <c r="AS60"/>
  <c r="AS59"/>
  <c r="AS58"/>
  <c r="AS57"/>
  <c r="AS56"/>
  <c r="AS55"/>
  <c r="AS54"/>
  <c r="AS53"/>
  <c r="AS52"/>
  <c r="AS51"/>
  <c r="AS50"/>
  <c r="AS49"/>
  <c r="AS48"/>
  <c r="AS47"/>
  <c r="AS46"/>
  <c r="AS45"/>
  <c r="AS44"/>
  <c r="AS43"/>
  <c r="AS42"/>
  <c r="AS41"/>
  <c r="AS40"/>
  <c r="AS39"/>
  <c r="AS38"/>
  <c r="AS37"/>
  <c r="AS36"/>
  <c r="AS35"/>
  <c r="AS34"/>
  <c r="AS33"/>
  <c r="AS32"/>
  <c r="AS31"/>
  <c r="AS30"/>
  <c r="AS29"/>
  <c r="AS28"/>
  <c r="AS27"/>
  <c r="AS26"/>
  <c r="AS25"/>
  <c r="AS24"/>
  <c r="AS23"/>
  <c r="AS22"/>
  <c r="AS21"/>
  <c r="AS20"/>
  <c r="AS19"/>
  <c r="AS18"/>
  <c r="AS17"/>
  <c r="AS16"/>
  <c r="AS15"/>
  <c r="AS14"/>
  <c r="AS13"/>
  <c r="AS12"/>
  <c r="AS11"/>
  <c r="AS10"/>
  <c r="AS9"/>
  <c r="AS8"/>
  <c r="AS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5"/>
  <c r="AP87"/>
  <c r="AP88"/>
  <c r="AP7"/>
  <c r="AM85"/>
  <c r="AM87"/>
  <c r="AM88"/>
  <c r="AJ85"/>
  <c r="AJ87"/>
  <c r="AJ88"/>
  <c r="AG85"/>
  <c r="AG87"/>
  <c r="AG88"/>
  <c r="AD85"/>
  <c r="AD87"/>
  <c r="AD88"/>
  <c r="AA85"/>
  <c r="AA87"/>
  <c r="AA88"/>
  <c r="X85"/>
  <c r="X87"/>
  <c r="X88"/>
  <c r="U85"/>
  <c r="U87"/>
  <c r="U88"/>
  <c r="R85"/>
  <c r="R87"/>
  <c r="R88"/>
  <c r="O85"/>
  <c r="O87"/>
  <c r="O88"/>
  <c r="L88"/>
  <c r="L85"/>
  <c r="L87"/>
  <c r="I85"/>
  <c r="I87"/>
  <c r="I88"/>
  <c r="F85"/>
  <c r="F87"/>
  <c r="F88"/>
  <c r="AT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X8"/>
  <c r="X9"/>
  <c r="X10"/>
  <c r="X11"/>
  <c r="X12"/>
  <c r="X13"/>
  <c r="X14"/>
  <c r="X15"/>
  <c r="X16"/>
  <c r="X17"/>
  <c r="X18"/>
  <c r="X19"/>
  <c r="X20"/>
  <c r="X21"/>
  <c r="X22"/>
  <c r="X23"/>
  <c r="X24"/>
  <c r="X25"/>
  <c r="X26"/>
  <c r="X27"/>
  <c r="X28"/>
  <c r="X29"/>
  <c r="X30"/>
  <c r="X31"/>
  <c r="X32"/>
  <c r="X33"/>
  <c r="X34"/>
  <c r="X35"/>
  <c r="X36"/>
  <c r="X37"/>
  <c r="X38"/>
  <c r="X39"/>
  <c r="X40"/>
  <c r="X41"/>
  <c r="X42"/>
  <c r="X43"/>
  <c r="X44"/>
  <c r="X45"/>
  <c r="X46"/>
  <c r="X47"/>
  <c r="X48"/>
  <c r="X49"/>
  <c r="X50"/>
  <c r="X51"/>
  <c r="X52"/>
  <c r="X53"/>
  <c r="X54"/>
  <c r="X55"/>
  <c r="X56"/>
  <c r="X57"/>
  <c r="X58"/>
  <c r="X59"/>
  <c r="X60"/>
  <c r="X61"/>
  <c r="X62"/>
  <c r="X63"/>
  <c r="X64"/>
  <c r="X65"/>
  <c r="X66"/>
  <c r="X67"/>
  <c r="X68"/>
  <c r="X69"/>
  <c r="X70"/>
  <c r="X71"/>
  <c r="X72"/>
  <c r="X73"/>
  <c r="X74"/>
  <c r="X75"/>
  <c r="X76"/>
  <c r="X77"/>
  <c r="X78"/>
  <c r="X79"/>
  <c r="X80"/>
  <c r="X81"/>
  <c r="X82"/>
  <c r="X83"/>
  <c r="X7"/>
  <c r="L35"/>
  <c r="L36"/>
  <c r="O53"/>
  <c r="F70"/>
  <c r="AG83" i="5"/>
  <c r="AD83"/>
  <c r="AG82"/>
  <c r="AD82"/>
  <c r="AG81"/>
  <c r="AD81"/>
  <c r="AG80"/>
  <c r="AD80"/>
  <c r="AG79"/>
  <c r="AD79"/>
  <c r="AG78"/>
  <c r="AD78"/>
  <c r="AG77"/>
  <c r="AD77"/>
  <c r="AG76"/>
  <c r="AD76"/>
  <c r="AG75"/>
  <c r="AD75"/>
  <c r="AG74"/>
  <c r="AD74"/>
  <c r="AG73"/>
  <c r="AD73"/>
  <c r="AG72"/>
  <c r="AD72"/>
  <c r="AG71"/>
  <c r="AD71"/>
  <c r="AG70"/>
  <c r="AD70"/>
  <c r="AG69"/>
  <c r="AD69"/>
  <c r="AG68"/>
  <c r="AD68"/>
  <c r="AG67"/>
  <c r="AD67"/>
  <c r="AG66"/>
  <c r="AD66"/>
  <c r="AG65"/>
  <c r="AD65"/>
  <c r="AG64"/>
  <c r="AD64"/>
  <c r="AG63"/>
  <c r="AD63"/>
  <c r="AG62"/>
  <c r="AD62"/>
  <c r="AG61"/>
  <c r="AD61"/>
  <c r="AG60"/>
  <c r="AD60"/>
  <c r="AG59"/>
  <c r="AD59"/>
  <c r="AG58"/>
  <c r="AD58"/>
  <c r="AG57"/>
  <c r="AD57"/>
  <c r="AG56"/>
  <c r="AD56"/>
  <c r="AG55"/>
  <c r="AD55"/>
  <c r="AG54"/>
  <c r="AD54"/>
  <c r="AG53"/>
  <c r="AD53"/>
  <c r="AG52"/>
  <c r="AD52"/>
  <c r="AG51"/>
  <c r="AD51"/>
  <c r="AG50"/>
  <c r="AD50"/>
  <c r="AG49"/>
  <c r="AD49"/>
  <c r="AG48"/>
  <c r="AD48"/>
  <c r="AG47"/>
  <c r="AD47"/>
  <c r="AG46"/>
  <c r="AD46"/>
  <c r="AG45"/>
  <c r="AD45"/>
  <c r="AG44"/>
  <c r="AD44"/>
  <c r="AG43"/>
  <c r="AD43"/>
  <c r="AG42"/>
  <c r="AD42"/>
  <c r="AG41"/>
  <c r="AD41"/>
  <c r="AG40"/>
  <c r="AD40"/>
  <c r="AG39"/>
  <c r="AD39"/>
  <c r="AG38"/>
  <c r="AD38"/>
  <c r="AG37"/>
  <c r="AD37"/>
  <c r="AG36"/>
  <c r="AD36"/>
  <c r="AG35"/>
  <c r="AD35"/>
  <c r="AG34"/>
  <c r="AD34"/>
  <c r="AG33"/>
  <c r="AD33"/>
  <c r="AG32"/>
  <c r="AD32"/>
  <c r="AG31"/>
  <c r="AD31"/>
  <c r="AG30"/>
  <c r="AD30"/>
  <c r="AG29"/>
  <c r="AD29"/>
  <c r="AG28"/>
  <c r="AD28"/>
  <c r="AG27"/>
  <c r="AD27"/>
  <c r="AG26"/>
  <c r="AD26"/>
  <c r="AG25"/>
  <c r="AD25"/>
  <c r="AG24"/>
  <c r="AD24"/>
  <c r="AG23"/>
  <c r="AD23"/>
  <c r="AG22"/>
  <c r="AD22"/>
  <c r="AG21"/>
  <c r="AD21"/>
  <c r="AG20"/>
  <c r="AD20"/>
  <c r="AG19"/>
  <c r="AD19"/>
  <c r="AG18"/>
  <c r="AD18"/>
  <c r="AG17"/>
  <c r="AD17"/>
  <c r="AG16"/>
  <c r="AD16"/>
  <c r="AG15"/>
  <c r="AD15"/>
  <c r="AG14"/>
  <c r="AD14"/>
  <c r="AG13"/>
  <c r="AD13"/>
  <c r="AG12"/>
  <c r="AD12"/>
  <c r="AG11"/>
  <c r="AD11"/>
  <c r="AG10"/>
  <c r="AD10"/>
  <c r="AG9"/>
  <c r="AD9"/>
  <c r="AG8"/>
  <c r="AD8"/>
  <c r="AG7"/>
  <c r="AD7"/>
  <c r="U83"/>
  <c r="R83"/>
  <c r="U82"/>
  <c r="R82"/>
  <c r="U81"/>
  <c r="R81"/>
  <c r="U80"/>
  <c r="R80"/>
  <c r="U79"/>
  <c r="R79"/>
  <c r="U78"/>
  <c r="R78"/>
  <c r="U77"/>
  <c r="R77"/>
  <c r="U76"/>
  <c r="R76"/>
  <c r="U75"/>
  <c r="R75"/>
  <c r="U74"/>
  <c r="R74"/>
  <c r="U73"/>
  <c r="R73"/>
  <c r="U72"/>
  <c r="R72"/>
  <c r="U71"/>
  <c r="R71"/>
  <c r="U70"/>
  <c r="R70"/>
  <c r="U69"/>
  <c r="R69"/>
  <c r="U68"/>
  <c r="R68"/>
  <c r="U67"/>
  <c r="R67"/>
  <c r="U66"/>
  <c r="R66"/>
  <c r="U65"/>
  <c r="R65"/>
  <c r="U64"/>
  <c r="R64"/>
  <c r="U63"/>
  <c r="R63"/>
  <c r="U62"/>
  <c r="R62"/>
  <c r="U61"/>
  <c r="R61"/>
  <c r="U60"/>
  <c r="R60"/>
  <c r="U59"/>
  <c r="R59"/>
  <c r="U58"/>
  <c r="R58"/>
  <c r="U57"/>
  <c r="R57"/>
  <c r="U56"/>
  <c r="R56"/>
  <c r="U55"/>
  <c r="R55"/>
  <c r="U54"/>
  <c r="R54"/>
  <c r="U53"/>
  <c r="R53"/>
  <c r="U52"/>
  <c r="R52"/>
  <c r="U51"/>
  <c r="R51"/>
  <c r="U50"/>
  <c r="R50"/>
  <c r="U49"/>
  <c r="R49"/>
  <c r="U48"/>
  <c r="R48"/>
  <c r="U47"/>
  <c r="R47"/>
  <c r="U46"/>
  <c r="R46"/>
  <c r="U45"/>
  <c r="R45"/>
  <c r="U44"/>
  <c r="R44"/>
  <c r="U43"/>
  <c r="R43"/>
  <c r="U42"/>
  <c r="R42"/>
  <c r="U41"/>
  <c r="R41"/>
  <c r="U40"/>
  <c r="R40"/>
  <c r="U39"/>
  <c r="R39"/>
  <c r="U38"/>
  <c r="R38"/>
  <c r="U37"/>
  <c r="R37"/>
  <c r="U36"/>
  <c r="R36"/>
  <c r="U35"/>
  <c r="R35"/>
  <c r="U34"/>
  <c r="R34"/>
  <c r="U33"/>
  <c r="R33"/>
  <c r="U32"/>
  <c r="R32"/>
  <c r="U31"/>
  <c r="R31"/>
  <c r="U30"/>
  <c r="R30"/>
  <c r="U29"/>
  <c r="R29"/>
  <c r="U28"/>
  <c r="R28"/>
  <c r="U27"/>
  <c r="R27"/>
  <c r="U26"/>
  <c r="R26"/>
  <c r="U25"/>
  <c r="R25"/>
  <c r="U24"/>
  <c r="R24"/>
  <c r="U23"/>
  <c r="R23"/>
  <c r="U22"/>
  <c r="R22"/>
  <c r="U21"/>
  <c r="R21"/>
  <c r="U20"/>
  <c r="R20"/>
  <c r="U19"/>
  <c r="R19"/>
  <c r="U18"/>
  <c r="R18"/>
  <c r="U17"/>
  <c r="R17"/>
  <c r="U16"/>
  <c r="R16"/>
  <c r="U15"/>
  <c r="R15"/>
  <c r="U14"/>
  <c r="R14"/>
  <c r="U13"/>
  <c r="R13"/>
  <c r="U12"/>
  <c r="R12"/>
  <c r="U11"/>
  <c r="R11"/>
  <c r="U10"/>
  <c r="R10"/>
  <c r="U9"/>
  <c r="R9"/>
  <c r="U8"/>
  <c r="R8"/>
  <c r="U7"/>
  <c r="R7"/>
  <c r="X7"/>
  <c r="AA7"/>
  <c r="X8"/>
  <c r="AA8"/>
  <c r="X9"/>
  <c r="AA9"/>
  <c r="X10"/>
  <c r="AA10"/>
  <c r="X11"/>
  <c r="AA11"/>
  <c r="X12"/>
  <c r="AA12"/>
  <c r="X13"/>
  <c r="AA13"/>
  <c r="X14"/>
  <c r="AA14"/>
  <c r="X15"/>
  <c r="AA15"/>
  <c r="X16"/>
  <c r="AA16"/>
  <c r="X17"/>
  <c r="AA17"/>
  <c r="X18"/>
  <c r="AA18"/>
  <c r="X19"/>
  <c r="AA19"/>
  <c r="X20"/>
  <c r="AA20"/>
  <c r="X21"/>
  <c r="AA21"/>
  <c r="X22"/>
  <c r="AA22"/>
  <c r="X23"/>
  <c r="AA23"/>
  <c r="X24"/>
  <c r="AA24"/>
  <c r="X25"/>
  <c r="AA25"/>
  <c r="X26"/>
  <c r="AA26"/>
  <c r="X27"/>
  <c r="AA27"/>
  <c r="X28"/>
  <c r="AA28"/>
  <c r="X29"/>
  <c r="AA29"/>
  <c r="X30"/>
  <c r="AA30"/>
  <c r="X31"/>
  <c r="AA31"/>
  <c r="X32"/>
  <c r="AA32"/>
  <c r="X33"/>
  <c r="AA33"/>
  <c r="X34"/>
  <c r="AA34"/>
  <c r="X35"/>
  <c r="AA35"/>
  <c r="X36"/>
  <c r="AA36"/>
  <c r="X37"/>
  <c r="AA37"/>
  <c r="X38"/>
  <c r="AA38"/>
  <c r="X39"/>
  <c r="AA39"/>
  <c r="X40"/>
  <c r="AA40"/>
  <c r="X41"/>
  <c r="AA41"/>
  <c r="X42"/>
  <c r="AA42"/>
  <c r="X43"/>
  <c r="AA43"/>
  <c r="X44"/>
  <c r="AA44"/>
  <c r="X45"/>
  <c r="AA45"/>
  <c r="X46"/>
  <c r="AA46"/>
  <c r="X47"/>
  <c r="AA47"/>
  <c r="X48"/>
  <c r="AA48"/>
  <c r="X49"/>
  <c r="AA49"/>
  <c r="X50"/>
  <c r="AA50"/>
  <c r="X51"/>
  <c r="AA51"/>
  <c r="X52"/>
  <c r="AA52"/>
  <c r="X53"/>
  <c r="AA53"/>
  <c r="X54"/>
  <c r="AA54"/>
  <c r="X55"/>
  <c r="AA55"/>
  <c r="X56"/>
  <c r="AA56"/>
  <c r="X57"/>
  <c r="AA57"/>
  <c r="X58"/>
  <c r="AA58"/>
  <c r="X59"/>
  <c r="AA59"/>
  <c r="X60"/>
  <c r="AA60"/>
  <c r="X61"/>
  <c r="AA61"/>
  <c r="X62"/>
  <c r="AA62"/>
  <c r="X63"/>
  <c r="AA63"/>
  <c r="X64"/>
  <c r="AA64"/>
  <c r="X65"/>
  <c r="AA65"/>
  <c r="X66"/>
  <c r="AA66"/>
  <c r="X67"/>
  <c r="AA67"/>
  <c r="X68"/>
  <c r="AA68"/>
  <c r="X69"/>
  <c r="AA69"/>
  <c r="X70"/>
  <c r="AA70"/>
  <c r="X71"/>
  <c r="AA71"/>
  <c r="X72"/>
  <c r="AA72"/>
  <c r="X73"/>
  <c r="AA73"/>
  <c r="X74"/>
  <c r="AA74"/>
  <c r="X75"/>
  <c r="AA75"/>
  <c r="X76"/>
  <c r="AA76"/>
  <c r="X77"/>
  <c r="AA77"/>
  <c r="X78"/>
  <c r="AA78"/>
  <c r="X79"/>
  <c r="AA79"/>
  <c r="X80"/>
  <c r="AA80"/>
  <c r="X81"/>
  <c r="AA81"/>
  <c r="X82"/>
  <c r="AA82"/>
  <c r="X83"/>
  <c r="AA83"/>
  <c r="AZ88" i="3"/>
  <c r="AY88"/>
  <c r="AX88"/>
  <c r="AW88"/>
  <c r="AU88"/>
  <c r="AV88" s="1"/>
  <c r="AT88"/>
  <c r="AS88"/>
  <c r="AP88"/>
  <c r="AM88"/>
  <c r="AJ88"/>
  <c r="AG88"/>
  <c r="AD88"/>
  <c r="AA88"/>
  <c r="X88"/>
  <c r="U88"/>
  <c r="R88"/>
  <c r="O88"/>
  <c r="L88"/>
  <c r="F88"/>
  <c r="AX87"/>
  <c r="BA87" s="1"/>
  <c r="BB87" s="1"/>
  <c r="AW87"/>
  <c r="AU87"/>
  <c r="AV87" s="1"/>
  <c r="AT87"/>
  <c r="AZ87" s="1"/>
  <c r="AS87"/>
  <c r="AP87"/>
  <c r="AM87"/>
  <c r="AJ87"/>
  <c r="AG87"/>
  <c r="AD87"/>
  <c r="AA87"/>
  <c r="X87"/>
  <c r="U87"/>
  <c r="R87"/>
  <c r="O87"/>
  <c r="L87"/>
  <c r="F87"/>
  <c r="AZ85"/>
  <c r="AY85"/>
  <c r="AX85"/>
  <c r="AW85"/>
  <c r="AU85"/>
  <c r="AV85" s="1"/>
  <c r="AT85"/>
  <c r="AS85"/>
  <c r="AP85"/>
  <c r="AM85"/>
  <c r="AJ85"/>
  <c r="AG85"/>
  <c r="AD85"/>
  <c r="AA85"/>
  <c r="X85"/>
  <c r="U85"/>
  <c r="R85"/>
  <c r="O85"/>
  <c r="L85"/>
  <c r="F85"/>
  <c r="AZ88" i="2"/>
  <c r="AZ87"/>
  <c r="BB87" s="1"/>
  <c r="AZ85"/>
  <c r="BB88"/>
  <c r="BB85"/>
  <c r="BA88"/>
  <c r="BA87"/>
  <c r="BA85"/>
  <c r="AY88"/>
  <c r="AY87"/>
  <c r="AY85"/>
  <c r="AX88"/>
  <c r="AX87"/>
  <c r="AX85"/>
  <c r="AW88"/>
  <c r="AW87"/>
  <c r="AW85"/>
  <c r="AV88"/>
  <c r="AV87"/>
  <c r="AV85"/>
  <c r="AU88"/>
  <c r="AU87"/>
  <c r="AU85"/>
  <c r="AT88"/>
  <c r="AT87"/>
  <c r="AT85"/>
  <c r="AS88"/>
  <c r="AS87"/>
  <c r="AS85"/>
  <c r="AP88"/>
  <c r="AP87"/>
  <c r="AP85"/>
  <c r="AM88"/>
  <c r="AM87"/>
  <c r="AM85"/>
  <c r="AJ88"/>
  <c r="AJ87"/>
  <c r="AJ85"/>
  <c r="AG88"/>
  <c r="AG87"/>
  <c r="AG85"/>
  <c r="AD88"/>
  <c r="AD87"/>
  <c r="AD85"/>
  <c r="AA88"/>
  <c r="AA87"/>
  <c r="AA85"/>
  <c r="X88"/>
  <c r="X87"/>
  <c r="X85"/>
  <c r="U88"/>
  <c r="U87"/>
  <c r="U85"/>
  <c r="R88"/>
  <c r="R87"/>
  <c r="R85"/>
  <c r="O88"/>
  <c r="O87"/>
  <c r="O85"/>
  <c r="L88"/>
  <c r="L87"/>
  <c r="L85"/>
  <c r="F88"/>
  <c r="F87"/>
  <c r="F85"/>
  <c r="AX83" i="3"/>
  <c r="AW83"/>
  <c r="AU83"/>
  <c r="BA83" s="1"/>
  <c r="AT83"/>
  <c r="AV83" s="1"/>
  <c r="AS83"/>
  <c r="AP83"/>
  <c r="AM83"/>
  <c r="AJ83"/>
  <c r="AG83"/>
  <c r="AD83"/>
  <c r="AA83"/>
  <c r="X83"/>
  <c r="U83"/>
  <c r="R83"/>
  <c r="O83"/>
  <c r="L83"/>
  <c r="I83"/>
  <c r="F83"/>
  <c r="BA82"/>
  <c r="AZ82"/>
  <c r="AX82"/>
  <c r="AW82"/>
  <c r="AY82" s="1"/>
  <c r="AV82"/>
  <c r="AU82"/>
  <c r="AT82"/>
  <c r="AS82"/>
  <c r="AP82"/>
  <c r="AM82"/>
  <c r="AJ82"/>
  <c r="AG82"/>
  <c r="AD82"/>
  <c r="AA82"/>
  <c r="X82"/>
  <c r="U82"/>
  <c r="R82"/>
  <c r="O82"/>
  <c r="L82"/>
  <c r="I82"/>
  <c r="F82"/>
  <c r="AZ81"/>
  <c r="AY81"/>
  <c r="AX81"/>
  <c r="AW81"/>
  <c r="AU81"/>
  <c r="AT81"/>
  <c r="AS81"/>
  <c r="AP81"/>
  <c r="AM81"/>
  <c r="AJ81"/>
  <c r="AG81"/>
  <c r="AD81"/>
  <c r="AA81"/>
  <c r="X81"/>
  <c r="U81"/>
  <c r="R81"/>
  <c r="O81"/>
  <c r="L81"/>
  <c r="I81"/>
  <c r="F81"/>
  <c r="AX80"/>
  <c r="AY80" s="1"/>
  <c r="AW80"/>
  <c r="AU80"/>
  <c r="AT80"/>
  <c r="AZ80" s="1"/>
  <c r="AS80"/>
  <c r="AP80"/>
  <c r="AM80"/>
  <c r="AJ80"/>
  <c r="AG80"/>
  <c r="AD80"/>
  <c r="AA80"/>
  <c r="X80"/>
  <c r="U80"/>
  <c r="R80"/>
  <c r="O80"/>
  <c r="L80"/>
  <c r="I80"/>
  <c r="F80"/>
  <c r="BA79"/>
  <c r="AX79"/>
  <c r="AY79" s="1"/>
  <c r="AW79"/>
  <c r="AU79"/>
  <c r="AT79"/>
  <c r="AS79"/>
  <c r="AP79"/>
  <c r="AM79"/>
  <c r="AJ79"/>
  <c r="AG79"/>
  <c r="AD79"/>
  <c r="AA79"/>
  <c r="X79"/>
  <c r="U79"/>
  <c r="R79"/>
  <c r="O79"/>
  <c r="L79"/>
  <c r="I79"/>
  <c r="F79"/>
  <c r="BA78"/>
  <c r="AZ78"/>
  <c r="AX78"/>
  <c r="AW78"/>
  <c r="AY78" s="1"/>
  <c r="AV78"/>
  <c r="AU78"/>
  <c r="AT78"/>
  <c r="AS78"/>
  <c r="AP78"/>
  <c r="AM78"/>
  <c r="AJ78"/>
  <c r="AG78"/>
  <c r="AD78"/>
  <c r="AA78"/>
  <c r="X78"/>
  <c r="U78"/>
  <c r="R78"/>
  <c r="O78"/>
  <c r="L78"/>
  <c r="I78"/>
  <c r="F78"/>
  <c r="AZ77"/>
  <c r="AY77"/>
  <c r="AX77"/>
  <c r="AW77"/>
  <c r="AU77"/>
  <c r="AT77"/>
  <c r="AS77"/>
  <c r="AP77"/>
  <c r="AM77"/>
  <c r="AJ77"/>
  <c r="AG77"/>
  <c r="AD77"/>
  <c r="AA77"/>
  <c r="X77"/>
  <c r="U77"/>
  <c r="R77"/>
  <c r="O77"/>
  <c r="L77"/>
  <c r="I77"/>
  <c r="F77"/>
  <c r="AY76"/>
  <c r="AX76"/>
  <c r="AW76"/>
  <c r="AU76"/>
  <c r="AT76"/>
  <c r="AZ76" s="1"/>
  <c r="AS76"/>
  <c r="AP76"/>
  <c r="AM76"/>
  <c r="AJ76"/>
  <c r="AG76"/>
  <c r="AD76"/>
  <c r="AA76"/>
  <c r="X76"/>
  <c r="U76"/>
  <c r="R76"/>
  <c r="O76"/>
  <c r="L76"/>
  <c r="I76"/>
  <c r="F76"/>
  <c r="BA75"/>
  <c r="AX75"/>
  <c r="AW75"/>
  <c r="AU75"/>
  <c r="AT75"/>
  <c r="AS75"/>
  <c r="AP75"/>
  <c r="AM75"/>
  <c r="AJ75"/>
  <c r="AG75"/>
  <c r="AD75"/>
  <c r="AA75"/>
  <c r="X75"/>
  <c r="U75"/>
  <c r="R75"/>
  <c r="O75"/>
  <c r="L75"/>
  <c r="I75"/>
  <c r="F75"/>
  <c r="BA74"/>
  <c r="AZ74"/>
  <c r="AX74"/>
  <c r="AW74"/>
  <c r="AY74" s="1"/>
  <c r="AV74"/>
  <c r="AU74"/>
  <c r="AT74"/>
  <c r="AS74"/>
  <c r="AP74"/>
  <c r="AM74"/>
  <c r="AJ74"/>
  <c r="AG74"/>
  <c r="AD74"/>
  <c r="AA74"/>
  <c r="X74"/>
  <c r="U74"/>
  <c r="R74"/>
  <c r="O74"/>
  <c r="L74"/>
  <c r="I74"/>
  <c r="F74"/>
  <c r="AZ73"/>
  <c r="AY73"/>
  <c r="AX73"/>
  <c r="AW73"/>
  <c r="AV73"/>
  <c r="AU73"/>
  <c r="BA73" s="1"/>
  <c r="AT73"/>
  <c r="AS73"/>
  <c r="AP73"/>
  <c r="AM73"/>
  <c r="AJ73"/>
  <c r="AG73"/>
  <c r="AD73"/>
  <c r="AA73"/>
  <c r="X73"/>
  <c r="U73"/>
  <c r="R73"/>
  <c r="O73"/>
  <c r="L73"/>
  <c r="I73"/>
  <c r="F73"/>
  <c r="AX72"/>
  <c r="AY72" s="1"/>
  <c r="AW72"/>
  <c r="AU72"/>
  <c r="AT72"/>
  <c r="AZ72" s="1"/>
  <c r="AS72"/>
  <c r="AP72"/>
  <c r="AM72"/>
  <c r="AJ72"/>
  <c r="AG72"/>
  <c r="AD72"/>
  <c r="AA72"/>
  <c r="X72"/>
  <c r="U72"/>
  <c r="R72"/>
  <c r="O72"/>
  <c r="L72"/>
  <c r="I72"/>
  <c r="F72"/>
  <c r="AX71"/>
  <c r="BA71" s="1"/>
  <c r="AW71"/>
  <c r="AU71"/>
  <c r="AT71"/>
  <c r="AS71"/>
  <c r="AP71"/>
  <c r="AM71"/>
  <c r="AJ71"/>
  <c r="AG71"/>
  <c r="AD71"/>
  <c r="AA71"/>
  <c r="X71"/>
  <c r="U71"/>
  <c r="R71"/>
  <c r="O71"/>
  <c r="L71"/>
  <c r="I71"/>
  <c r="F71"/>
  <c r="BA70"/>
  <c r="AX70"/>
  <c r="AW70"/>
  <c r="AY70" s="1"/>
  <c r="AV70"/>
  <c r="AU70"/>
  <c r="AT70"/>
  <c r="AS70"/>
  <c r="AP70"/>
  <c r="AM70"/>
  <c r="AJ70"/>
  <c r="AG70"/>
  <c r="AD70"/>
  <c r="AA70"/>
  <c r="X70"/>
  <c r="U70"/>
  <c r="R70"/>
  <c r="O70"/>
  <c r="L70"/>
  <c r="I70"/>
  <c r="F70"/>
  <c r="AZ69"/>
  <c r="AY69"/>
  <c r="AX69"/>
  <c r="AW69"/>
  <c r="AV69"/>
  <c r="AU69"/>
  <c r="BA69" s="1"/>
  <c r="AT69"/>
  <c r="AS69"/>
  <c r="AP69"/>
  <c r="AM69"/>
  <c r="AJ69"/>
  <c r="AG69"/>
  <c r="AD69"/>
  <c r="AA69"/>
  <c r="X69"/>
  <c r="U69"/>
  <c r="R69"/>
  <c r="O69"/>
  <c r="L69"/>
  <c r="I69"/>
  <c r="F69"/>
  <c r="AY68"/>
  <c r="AX68"/>
  <c r="AW68"/>
  <c r="AU68"/>
  <c r="AT68"/>
  <c r="AZ68" s="1"/>
  <c r="AS68"/>
  <c r="AP68"/>
  <c r="AM68"/>
  <c r="AJ68"/>
  <c r="AG68"/>
  <c r="AD68"/>
  <c r="AA68"/>
  <c r="X68"/>
  <c r="U68"/>
  <c r="R68"/>
  <c r="O68"/>
  <c r="L68"/>
  <c r="I68"/>
  <c r="F68"/>
  <c r="BA67"/>
  <c r="AX67"/>
  <c r="AW67"/>
  <c r="AU67"/>
  <c r="AT67"/>
  <c r="AS67"/>
  <c r="AP67"/>
  <c r="AM67"/>
  <c r="AJ67"/>
  <c r="AG67"/>
  <c r="AD67"/>
  <c r="AA67"/>
  <c r="X67"/>
  <c r="U67"/>
  <c r="R67"/>
  <c r="O67"/>
  <c r="L67"/>
  <c r="I67"/>
  <c r="F67"/>
  <c r="BA66"/>
  <c r="AZ66"/>
  <c r="AX66"/>
  <c r="AW66"/>
  <c r="AY66" s="1"/>
  <c r="AV66"/>
  <c r="AU66"/>
  <c r="AT66"/>
  <c r="AS66"/>
  <c r="AP66"/>
  <c r="AM66"/>
  <c r="AJ66"/>
  <c r="AG66"/>
  <c r="AD66"/>
  <c r="AA66"/>
  <c r="X66"/>
  <c r="U66"/>
  <c r="R66"/>
  <c r="O66"/>
  <c r="L66"/>
  <c r="I66"/>
  <c r="F66"/>
  <c r="AZ65"/>
  <c r="AY65"/>
  <c r="AX65"/>
  <c r="AW65"/>
  <c r="AV65"/>
  <c r="AU65"/>
  <c r="BA65" s="1"/>
  <c r="AT65"/>
  <c r="AS65"/>
  <c r="AP65"/>
  <c r="AM65"/>
  <c r="AJ65"/>
  <c r="AG65"/>
  <c r="AD65"/>
  <c r="AA65"/>
  <c r="X65"/>
  <c r="U65"/>
  <c r="R65"/>
  <c r="O65"/>
  <c r="L65"/>
  <c r="I65"/>
  <c r="F65"/>
  <c r="AX64"/>
  <c r="AY64" s="1"/>
  <c r="AW64"/>
  <c r="AU64"/>
  <c r="AT64"/>
  <c r="AZ64" s="1"/>
  <c r="AS64"/>
  <c r="AP64"/>
  <c r="AM64"/>
  <c r="AJ64"/>
  <c r="AG64"/>
  <c r="AD64"/>
  <c r="AA64"/>
  <c r="X64"/>
  <c r="U64"/>
  <c r="R64"/>
  <c r="O64"/>
  <c r="L64"/>
  <c r="I64"/>
  <c r="F64"/>
  <c r="BA63"/>
  <c r="AX63"/>
  <c r="AW63"/>
  <c r="AU63"/>
  <c r="AT63"/>
  <c r="AS63"/>
  <c r="AP63"/>
  <c r="AM63"/>
  <c r="AJ63"/>
  <c r="AG63"/>
  <c r="AD63"/>
  <c r="AA63"/>
  <c r="X63"/>
  <c r="U63"/>
  <c r="R63"/>
  <c r="O63"/>
  <c r="L63"/>
  <c r="I63"/>
  <c r="F63"/>
  <c r="BA62"/>
  <c r="AX62"/>
  <c r="AW62"/>
  <c r="AY62" s="1"/>
  <c r="AV62"/>
  <c r="AU62"/>
  <c r="AT62"/>
  <c r="AS62"/>
  <c r="AP62"/>
  <c r="AM62"/>
  <c r="AJ62"/>
  <c r="AG62"/>
  <c r="AD62"/>
  <c r="AA62"/>
  <c r="X62"/>
  <c r="U62"/>
  <c r="R62"/>
  <c r="O62"/>
  <c r="L62"/>
  <c r="I62"/>
  <c r="F62"/>
  <c r="AZ61"/>
  <c r="AY61"/>
  <c r="AX61"/>
  <c r="AW61"/>
  <c r="AV61"/>
  <c r="AU61"/>
  <c r="BA61" s="1"/>
  <c r="AT61"/>
  <c r="AS61"/>
  <c r="AP61"/>
  <c r="AM61"/>
  <c r="AJ61"/>
  <c r="AG61"/>
  <c r="AD61"/>
  <c r="AA61"/>
  <c r="X61"/>
  <c r="U61"/>
  <c r="R61"/>
  <c r="O61"/>
  <c r="L61"/>
  <c r="I61"/>
  <c r="F61"/>
  <c r="AY60"/>
  <c r="AX60"/>
  <c r="AW60"/>
  <c r="AU60"/>
  <c r="AT60"/>
  <c r="AZ60" s="1"/>
  <c r="AS60"/>
  <c r="AP60"/>
  <c r="AM60"/>
  <c r="AJ60"/>
  <c r="AG60"/>
  <c r="AD60"/>
  <c r="AA60"/>
  <c r="X60"/>
  <c r="U60"/>
  <c r="R60"/>
  <c r="O60"/>
  <c r="L60"/>
  <c r="I60"/>
  <c r="F60"/>
  <c r="BA59"/>
  <c r="AX59"/>
  <c r="AW59"/>
  <c r="AU59"/>
  <c r="AT59"/>
  <c r="AS59"/>
  <c r="AP59"/>
  <c r="AM59"/>
  <c r="AJ59"/>
  <c r="AG59"/>
  <c r="AD59"/>
  <c r="AA59"/>
  <c r="X59"/>
  <c r="U59"/>
  <c r="R59"/>
  <c r="O59"/>
  <c r="L59"/>
  <c r="I59"/>
  <c r="F59"/>
  <c r="BA58"/>
  <c r="AZ58"/>
  <c r="AX58"/>
  <c r="AW58"/>
  <c r="AY58" s="1"/>
  <c r="AV58"/>
  <c r="AU58"/>
  <c r="AT58"/>
  <c r="AS58"/>
  <c r="AP58"/>
  <c r="AM58"/>
  <c r="AJ58"/>
  <c r="AG58"/>
  <c r="AD58"/>
  <c r="AA58"/>
  <c r="X58"/>
  <c r="U58"/>
  <c r="R58"/>
  <c r="O58"/>
  <c r="L58"/>
  <c r="I58"/>
  <c r="F58"/>
  <c r="AZ57"/>
  <c r="AY57"/>
  <c r="AX57"/>
  <c r="AW57"/>
  <c r="AV57"/>
  <c r="AU57"/>
  <c r="BA57" s="1"/>
  <c r="AT57"/>
  <c r="AS57"/>
  <c r="AP57"/>
  <c r="AM57"/>
  <c r="AJ57"/>
  <c r="AG57"/>
  <c r="AD57"/>
  <c r="AA57"/>
  <c r="X57"/>
  <c r="U57"/>
  <c r="R57"/>
  <c r="O57"/>
  <c r="L57"/>
  <c r="I57"/>
  <c r="F57"/>
  <c r="AX56"/>
  <c r="AY56" s="1"/>
  <c r="AW56"/>
  <c r="AU56"/>
  <c r="AT56"/>
  <c r="AZ56" s="1"/>
  <c r="AS56"/>
  <c r="AP56"/>
  <c r="AM56"/>
  <c r="AJ56"/>
  <c r="AG56"/>
  <c r="AD56"/>
  <c r="AA56"/>
  <c r="X56"/>
  <c r="U56"/>
  <c r="R56"/>
  <c r="O56"/>
  <c r="L56"/>
  <c r="I56"/>
  <c r="F56"/>
  <c r="BA55"/>
  <c r="AX55"/>
  <c r="AW55"/>
  <c r="AU55"/>
  <c r="AT55"/>
  <c r="AS55"/>
  <c r="AP55"/>
  <c r="AM55"/>
  <c r="AJ55"/>
  <c r="AG55"/>
  <c r="AD55"/>
  <c r="AA55"/>
  <c r="X55"/>
  <c r="U55"/>
  <c r="R55"/>
  <c r="O55"/>
  <c r="L55"/>
  <c r="I55"/>
  <c r="F55"/>
  <c r="BA54"/>
  <c r="AX54"/>
  <c r="AW54"/>
  <c r="AY54" s="1"/>
  <c r="AV54"/>
  <c r="AU54"/>
  <c r="AT54"/>
  <c r="AS54"/>
  <c r="AP54"/>
  <c r="AM54"/>
  <c r="AJ54"/>
  <c r="AG54"/>
  <c r="AD54"/>
  <c r="AA54"/>
  <c r="X54"/>
  <c r="U54"/>
  <c r="R54"/>
  <c r="O54"/>
  <c r="L54"/>
  <c r="I54"/>
  <c r="F54"/>
  <c r="AZ53"/>
  <c r="AY53"/>
  <c r="AX53"/>
  <c r="AW53"/>
  <c r="AV53"/>
  <c r="AU53"/>
  <c r="BA53" s="1"/>
  <c r="AT53"/>
  <c r="AS53"/>
  <c r="AP53"/>
  <c r="AM53"/>
  <c r="AJ53"/>
  <c r="AG53"/>
  <c r="AD53"/>
  <c r="AA53"/>
  <c r="X53"/>
  <c r="U53"/>
  <c r="R53"/>
  <c r="O53"/>
  <c r="L53"/>
  <c r="I53"/>
  <c r="F53"/>
  <c r="AY52"/>
  <c r="AX52"/>
  <c r="AW52"/>
  <c r="AU52"/>
  <c r="AT52"/>
  <c r="AZ52" s="1"/>
  <c r="AS52"/>
  <c r="AP52"/>
  <c r="AM52"/>
  <c r="AJ52"/>
  <c r="AG52"/>
  <c r="AD52"/>
  <c r="AA52"/>
  <c r="X52"/>
  <c r="U52"/>
  <c r="R52"/>
  <c r="O52"/>
  <c r="L52"/>
  <c r="I52"/>
  <c r="F52"/>
  <c r="BA51"/>
  <c r="AX51"/>
  <c r="AW51"/>
  <c r="AU51"/>
  <c r="AT51"/>
  <c r="AS51"/>
  <c r="AP51"/>
  <c r="AM51"/>
  <c r="AJ51"/>
  <c r="AG51"/>
  <c r="AD51"/>
  <c r="AA51"/>
  <c r="X51"/>
  <c r="U51"/>
  <c r="R51"/>
  <c r="O51"/>
  <c r="L51"/>
  <c r="I51"/>
  <c r="F51"/>
  <c r="BA50"/>
  <c r="AZ50"/>
  <c r="AX50"/>
  <c r="AW50"/>
  <c r="AY50" s="1"/>
  <c r="AV50"/>
  <c r="AU50"/>
  <c r="AT50"/>
  <c r="AS50"/>
  <c r="AP50"/>
  <c r="AM50"/>
  <c r="AJ50"/>
  <c r="AG50"/>
  <c r="AD50"/>
  <c r="AA50"/>
  <c r="X50"/>
  <c r="U50"/>
  <c r="R50"/>
  <c r="O50"/>
  <c r="L50"/>
  <c r="I50"/>
  <c r="F50"/>
  <c r="AZ49"/>
  <c r="AY49"/>
  <c r="AX49"/>
  <c r="AW49"/>
  <c r="AV49"/>
  <c r="AU49"/>
  <c r="BA49" s="1"/>
  <c r="AT49"/>
  <c r="AS49"/>
  <c r="AP49"/>
  <c r="AM49"/>
  <c r="AJ49"/>
  <c r="AG49"/>
  <c r="AD49"/>
  <c r="AA49"/>
  <c r="X49"/>
  <c r="U49"/>
  <c r="R49"/>
  <c r="O49"/>
  <c r="L49"/>
  <c r="I49"/>
  <c r="F49"/>
  <c r="AX48"/>
  <c r="AY48" s="1"/>
  <c r="AW48"/>
  <c r="AU48"/>
  <c r="AT48"/>
  <c r="AZ48" s="1"/>
  <c r="AS48"/>
  <c r="AP48"/>
  <c r="AM48"/>
  <c r="AJ48"/>
  <c r="AG48"/>
  <c r="AD48"/>
  <c r="AA48"/>
  <c r="X48"/>
  <c r="U48"/>
  <c r="R48"/>
  <c r="O48"/>
  <c r="L48"/>
  <c r="I48"/>
  <c r="F48"/>
  <c r="BA47"/>
  <c r="AX47"/>
  <c r="AW47"/>
  <c r="AU47"/>
  <c r="AT47"/>
  <c r="AS47"/>
  <c r="AP47"/>
  <c r="AM47"/>
  <c r="AJ47"/>
  <c r="AG47"/>
  <c r="AD47"/>
  <c r="AA47"/>
  <c r="X47"/>
  <c r="U47"/>
  <c r="R47"/>
  <c r="O47"/>
  <c r="L47"/>
  <c r="I47"/>
  <c r="F47"/>
  <c r="BA46"/>
  <c r="AX46"/>
  <c r="AW46"/>
  <c r="AY46" s="1"/>
  <c r="AV46"/>
  <c r="AU46"/>
  <c r="AT46"/>
  <c r="AS46"/>
  <c r="AP46"/>
  <c r="AM46"/>
  <c r="AJ46"/>
  <c r="AG46"/>
  <c r="AD46"/>
  <c r="AA46"/>
  <c r="X46"/>
  <c r="U46"/>
  <c r="R46"/>
  <c r="O46"/>
  <c r="L46"/>
  <c r="I46"/>
  <c r="F46"/>
  <c r="AZ45"/>
  <c r="AY45"/>
  <c r="AX45"/>
  <c r="AW45"/>
  <c r="AV45"/>
  <c r="AU45"/>
  <c r="BA45" s="1"/>
  <c r="AT45"/>
  <c r="AS45"/>
  <c r="AP45"/>
  <c r="AM45"/>
  <c r="AJ45"/>
  <c r="AG45"/>
  <c r="AD45"/>
  <c r="AA45"/>
  <c r="X45"/>
  <c r="U45"/>
  <c r="R45"/>
  <c r="O45"/>
  <c r="L45"/>
  <c r="I45"/>
  <c r="F45"/>
  <c r="AY44"/>
  <c r="AX44"/>
  <c r="AW44"/>
  <c r="AU44"/>
  <c r="AT44"/>
  <c r="AZ44" s="1"/>
  <c r="AS44"/>
  <c r="AP44"/>
  <c r="AM44"/>
  <c r="AJ44"/>
  <c r="AG44"/>
  <c r="AD44"/>
  <c r="AA44"/>
  <c r="X44"/>
  <c r="U44"/>
  <c r="R44"/>
  <c r="O44"/>
  <c r="L44"/>
  <c r="I44"/>
  <c r="F44"/>
  <c r="BA43"/>
  <c r="AX43"/>
  <c r="AW43"/>
  <c r="AU43"/>
  <c r="AT43"/>
  <c r="AS43"/>
  <c r="AP43"/>
  <c r="AM43"/>
  <c r="AJ43"/>
  <c r="AG43"/>
  <c r="AD43"/>
  <c r="AA43"/>
  <c r="X43"/>
  <c r="U43"/>
  <c r="R43"/>
  <c r="O43"/>
  <c r="L43"/>
  <c r="I43"/>
  <c r="F43"/>
  <c r="BA42"/>
  <c r="AZ42"/>
  <c r="AX42"/>
  <c r="AW42"/>
  <c r="AY42" s="1"/>
  <c r="AV42"/>
  <c r="AU42"/>
  <c r="AT42"/>
  <c r="AS42"/>
  <c r="AP42"/>
  <c r="AM42"/>
  <c r="AJ42"/>
  <c r="AG42"/>
  <c r="AD42"/>
  <c r="AA42"/>
  <c r="X42"/>
  <c r="U42"/>
  <c r="R42"/>
  <c r="O42"/>
  <c r="L42"/>
  <c r="I42"/>
  <c r="F42"/>
  <c r="AZ41"/>
  <c r="AY41"/>
  <c r="AX41"/>
  <c r="AW41"/>
  <c r="AV41"/>
  <c r="AU41"/>
  <c r="BA41" s="1"/>
  <c r="AT41"/>
  <c r="AS41"/>
  <c r="AP41"/>
  <c r="AM41"/>
  <c r="AJ41"/>
  <c r="AG41"/>
  <c r="AD41"/>
  <c r="AA41"/>
  <c r="X41"/>
  <c r="U41"/>
  <c r="R41"/>
  <c r="O41"/>
  <c r="L41"/>
  <c r="I41"/>
  <c r="F41"/>
  <c r="AY40"/>
  <c r="AX40"/>
  <c r="AW40"/>
  <c r="AU40"/>
  <c r="AT40"/>
  <c r="AZ40" s="1"/>
  <c r="AS40"/>
  <c r="AP40"/>
  <c r="AM40"/>
  <c r="AJ40"/>
  <c r="AG40"/>
  <c r="AD40"/>
  <c r="AA40"/>
  <c r="X40"/>
  <c r="U40"/>
  <c r="R40"/>
  <c r="O40"/>
  <c r="L40"/>
  <c r="I40"/>
  <c r="F40"/>
  <c r="BA39"/>
  <c r="AX39"/>
  <c r="AW39"/>
  <c r="AU39"/>
  <c r="AT39"/>
  <c r="AS39"/>
  <c r="AP39"/>
  <c r="AM39"/>
  <c r="AJ39"/>
  <c r="AG39"/>
  <c r="AD39"/>
  <c r="AA39"/>
  <c r="X39"/>
  <c r="U39"/>
  <c r="R39"/>
  <c r="O39"/>
  <c r="L39"/>
  <c r="I39"/>
  <c r="F39"/>
  <c r="BA38"/>
  <c r="AZ38"/>
  <c r="AX38"/>
  <c r="AW38"/>
  <c r="AY38" s="1"/>
  <c r="AV38"/>
  <c r="AU38"/>
  <c r="AT38"/>
  <c r="AS38"/>
  <c r="AP38"/>
  <c r="AM38"/>
  <c r="AJ38"/>
  <c r="AG38"/>
  <c r="AD38"/>
  <c r="AA38"/>
  <c r="X38"/>
  <c r="U38"/>
  <c r="R38"/>
  <c r="O38"/>
  <c r="L38"/>
  <c r="I38"/>
  <c r="F38"/>
  <c r="AZ37"/>
  <c r="AY37"/>
  <c r="AX37"/>
  <c r="AW37"/>
  <c r="AV37"/>
  <c r="AU37"/>
  <c r="BA37" s="1"/>
  <c r="AT37"/>
  <c r="AS37"/>
  <c r="AP37"/>
  <c r="AM37"/>
  <c r="AJ37"/>
  <c r="AG37"/>
  <c r="AD37"/>
  <c r="AA37"/>
  <c r="X37"/>
  <c r="U37"/>
  <c r="R37"/>
  <c r="O37"/>
  <c r="L37"/>
  <c r="I37"/>
  <c r="F37"/>
  <c r="AY36"/>
  <c r="AX36"/>
  <c r="AW36"/>
  <c r="AU36"/>
  <c r="AT36"/>
  <c r="AZ36" s="1"/>
  <c r="AS36"/>
  <c r="AP36"/>
  <c r="AM36"/>
  <c r="AJ36"/>
  <c r="AG36"/>
  <c r="AD36"/>
  <c r="AA36"/>
  <c r="X36"/>
  <c r="U36"/>
  <c r="R36"/>
  <c r="O36"/>
  <c r="L36"/>
  <c r="I36"/>
  <c r="F36"/>
  <c r="BA35"/>
  <c r="AX35"/>
  <c r="AW35"/>
  <c r="AU35"/>
  <c r="AT35"/>
  <c r="AS35"/>
  <c r="AP35"/>
  <c r="AM35"/>
  <c r="AJ35"/>
  <c r="AG35"/>
  <c r="AD35"/>
  <c r="AA35"/>
  <c r="X35"/>
  <c r="U35"/>
  <c r="R35"/>
  <c r="O35"/>
  <c r="L35"/>
  <c r="I35"/>
  <c r="F35"/>
  <c r="BA34"/>
  <c r="AZ34"/>
  <c r="AX34"/>
  <c r="AW34"/>
  <c r="AY34" s="1"/>
  <c r="AV34"/>
  <c r="AU34"/>
  <c r="AT34"/>
  <c r="AS34"/>
  <c r="AP34"/>
  <c r="AM34"/>
  <c r="AJ34"/>
  <c r="AG34"/>
  <c r="AD34"/>
  <c r="AA34"/>
  <c r="X34"/>
  <c r="U34"/>
  <c r="R34"/>
  <c r="O34"/>
  <c r="L34"/>
  <c r="I34"/>
  <c r="F34"/>
  <c r="AZ33"/>
  <c r="AY33"/>
  <c r="AX33"/>
  <c r="AW33"/>
  <c r="AV33"/>
  <c r="AU33"/>
  <c r="BA33" s="1"/>
  <c r="AT33"/>
  <c r="AS33"/>
  <c r="AP33"/>
  <c r="AM33"/>
  <c r="AJ33"/>
  <c r="AG33"/>
  <c r="AD33"/>
  <c r="AA33"/>
  <c r="X33"/>
  <c r="U33"/>
  <c r="R33"/>
  <c r="O33"/>
  <c r="L33"/>
  <c r="I33"/>
  <c r="F33"/>
  <c r="AX31"/>
  <c r="AY31" s="1"/>
  <c r="AW31"/>
  <c r="AU31"/>
  <c r="AT31"/>
  <c r="AZ31" s="1"/>
  <c r="AS31"/>
  <c r="AP31"/>
  <c r="AM31"/>
  <c r="AJ31"/>
  <c r="AG31"/>
  <c r="AD31"/>
  <c r="AA31"/>
  <c r="X31"/>
  <c r="U31"/>
  <c r="R31"/>
  <c r="O31"/>
  <c r="L31"/>
  <c r="I31"/>
  <c r="F31"/>
  <c r="AZ30"/>
  <c r="AY30"/>
  <c r="AX30"/>
  <c r="AW30"/>
  <c r="AV30"/>
  <c r="AU30"/>
  <c r="BA30" s="1"/>
  <c r="BB30" s="1"/>
  <c r="AT30"/>
  <c r="AS30"/>
  <c r="AP30"/>
  <c r="AM30"/>
  <c r="AJ30"/>
  <c r="AG30"/>
  <c r="AD30"/>
  <c r="AA30"/>
  <c r="X30"/>
  <c r="U30"/>
  <c r="R30"/>
  <c r="O30"/>
  <c r="L30"/>
  <c r="I30"/>
  <c r="F30"/>
  <c r="AX29"/>
  <c r="AY29" s="1"/>
  <c r="AW29"/>
  <c r="AU29"/>
  <c r="AT29"/>
  <c r="AZ29" s="1"/>
  <c r="AS29"/>
  <c r="AP29"/>
  <c r="AM29"/>
  <c r="AJ29"/>
  <c r="AG29"/>
  <c r="AD29"/>
  <c r="AA29"/>
  <c r="X29"/>
  <c r="U29"/>
  <c r="R29"/>
  <c r="O29"/>
  <c r="L29"/>
  <c r="I29"/>
  <c r="F29"/>
  <c r="AX28"/>
  <c r="AY28" s="1"/>
  <c r="AW28"/>
  <c r="AU28"/>
  <c r="AV28" s="1"/>
  <c r="AT28"/>
  <c r="AS28"/>
  <c r="AP28"/>
  <c r="AM28"/>
  <c r="AJ28"/>
  <c r="AG28"/>
  <c r="AD28"/>
  <c r="AA28"/>
  <c r="X28"/>
  <c r="U28"/>
  <c r="R28"/>
  <c r="O28"/>
  <c r="L28"/>
  <c r="I28"/>
  <c r="F28"/>
  <c r="BA27"/>
  <c r="AX27"/>
  <c r="AW27"/>
  <c r="AU27"/>
  <c r="AT27"/>
  <c r="AZ27" s="1"/>
  <c r="BB27" s="1"/>
  <c r="AS27"/>
  <c r="AP27"/>
  <c r="AM27"/>
  <c r="AJ27"/>
  <c r="AG27"/>
  <c r="AD27"/>
  <c r="AA27"/>
  <c r="X27"/>
  <c r="U27"/>
  <c r="R27"/>
  <c r="O27"/>
  <c r="L27"/>
  <c r="I27"/>
  <c r="F27"/>
  <c r="AZ26"/>
  <c r="AY26"/>
  <c r="AX26"/>
  <c r="AW26"/>
  <c r="AU26"/>
  <c r="AV26" s="1"/>
  <c r="AT26"/>
  <c r="AS26"/>
  <c r="AP26"/>
  <c r="AM26"/>
  <c r="AJ26"/>
  <c r="AG26"/>
  <c r="AD26"/>
  <c r="AA26"/>
  <c r="X26"/>
  <c r="U26"/>
  <c r="R26"/>
  <c r="O26"/>
  <c r="L26"/>
  <c r="I26"/>
  <c r="F26"/>
  <c r="AX25"/>
  <c r="AY25" s="1"/>
  <c r="AW25"/>
  <c r="AU25"/>
  <c r="AV25" s="1"/>
  <c r="AT25"/>
  <c r="AZ25" s="1"/>
  <c r="AS25"/>
  <c r="AP25"/>
  <c r="AM25"/>
  <c r="AJ25"/>
  <c r="AG25"/>
  <c r="AD25"/>
  <c r="AA25"/>
  <c r="X25"/>
  <c r="U25"/>
  <c r="R25"/>
  <c r="O25"/>
  <c r="L25"/>
  <c r="I25"/>
  <c r="F25"/>
  <c r="AY24"/>
  <c r="AX24"/>
  <c r="AW24"/>
  <c r="AU24"/>
  <c r="AT24"/>
  <c r="AZ24" s="1"/>
  <c r="AS24"/>
  <c r="AP24"/>
  <c r="AM24"/>
  <c r="AJ24"/>
  <c r="AG24"/>
  <c r="AD24"/>
  <c r="AA24"/>
  <c r="X24"/>
  <c r="U24"/>
  <c r="R24"/>
  <c r="O24"/>
  <c r="L24"/>
  <c r="I24"/>
  <c r="F24"/>
  <c r="BA23"/>
  <c r="BB23" s="1"/>
  <c r="AX23"/>
  <c r="AW23"/>
  <c r="AV23"/>
  <c r="AU23"/>
  <c r="AT23"/>
  <c r="AZ23" s="1"/>
  <c r="AS23"/>
  <c r="AP23"/>
  <c r="AM23"/>
  <c r="AJ23"/>
  <c r="AG23"/>
  <c r="AD23"/>
  <c r="AA23"/>
  <c r="X23"/>
  <c r="U23"/>
  <c r="R23"/>
  <c r="O23"/>
  <c r="L23"/>
  <c r="I23"/>
  <c r="F23"/>
  <c r="AZ22"/>
  <c r="AY22"/>
  <c r="AX22"/>
  <c r="AW22"/>
  <c r="AV22"/>
  <c r="AU22"/>
  <c r="BA22" s="1"/>
  <c r="BB22" s="1"/>
  <c r="AT22"/>
  <c r="AS22"/>
  <c r="AP22"/>
  <c r="AM22"/>
  <c r="AJ22"/>
  <c r="AG22"/>
  <c r="AD22"/>
  <c r="AA22"/>
  <c r="X22"/>
  <c r="U22"/>
  <c r="R22"/>
  <c r="O22"/>
  <c r="L22"/>
  <c r="I22"/>
  <c r="F22"/>
  <c r="AX21"/>
  <c r="AY21" s="1"/>
  <c r="AW21"/>
  <c r="AU21"/>
  <c r="AT21"/>
  <c r="AZ21" s="1"/>
  <c r="AS21"/>
  <c r="AP21"/>
  <c r="AM21"/>
  <c r="AJ21"/>
  <c r="AG21"/>
  <c r="AD21"/>
  <c r="AA21"/>
  <c r="X21"/>
  <c r="U21"/>
  <c r="R21"/>
  <c r="O21"/>
  <c r="L21"/>
  <c r="I21"/>
  <c r="F21"/>
  <c r="AX20"/>
  <c r="AW20"/>
  <c r="AY20" s="1"/>
  <c r="AU20"/>
  <c r="AV20" s="1"/>
  <c r="AT20"/>
  <c r="AZ20" s="1"/>
  <c r="AS20"/>
  <c r="AP20"/>
  <c r="AM20"/>
  <c r="AJ20"/>
  <c r="AG20"/>
  <c r="AD20"/>
  <c r="AA20"/>
  <c r="X20"/>
  <c r="U20"/>
  <c r="R20"/>
  <c r="O20"/>
  <c r="L20"/>
  <c r="I20"/>
  <c r="F20"/>
  <c r="BA19"/>
  <c r="AX19"/>
  <c r="AW19"/>
  <c r="AU19"/>
  <c r="AT19"/>
  <c r="AZ19" s="1"/>
  <c r="BB19" s="1"/>
  <c r="AS19"/>
  <c r="AP19"/>
  <c r="AM19"/>
  <c r="AJ19"/>
  <c r="AG19"/>
  <c r="AD19"/>
  <c r="AA19"/>
  <c r="X19"/>
  <c r="U19"/>
  <c r="R19"/>
  <c r="O19"/>
  <c r="L19"/>
  <c r="I19"/>
  <c r="F19"/>
  <c r="AZ18"/>
  <c r="AY18"/>
  <c r="AX18"/>
  <c r="AW18"/>
  <c r="AU18"/>
  <c r="BA18" s="1"/>
  <c r="BB18" s="1"/>
  <c r="AT18"/>
  <c r="AS18"/>
  <c r="AP18"/>
  <c r="AM18"/>
  <c r="AJ18"/>
  <c r="AG18"/>
  <c r="AD18"/>
  <c r="AA18"/>
  <c r="X18"/>
  <c r="U18"/>
  <c r="R18"/>
  <c r="O18"/>
  <c r="L18"/>
  <c r="I18"/>
  <c r="F18"/>
  <c r="AX17"/>
  <c r="AY17" s="1"/>
  <c r="AW17"/>
  <c r="AU17"/>
  <c r="AT17"/>
  <c r="AZ17" s="1"/>
  <c r="AS17"/>
  <c r="AP17"/>
  <c r="AM17"/>
  <c r="AJ17"/>
  <c r="AG17"/>
  <c r="AD17"/>
  <c r="AA17"/>
  <c r="X17"/>
  <c r="U17"/>
  <c r="R17"/>
  <c r="O17"/>
  <c r="L17"/>
  <c r="I17"/>
  <c r="F17"/>
  <c r="AY16"/>
  <c r="AX16"/>
  <c r="AW16"/>
  <c r="AU16"/>
  <c r="AT16"/>
  <c r="AZ16" s="1"/>
  <c r="AS16"/>
  <c r="AP16"/>
  <c r="AM16"/>
  <c r="AJ16"/>
  <c r="AG16"/>
  <c r="AD16"/>
  <c r="AA16"/>
  <c r="X16"/>
  <c r="U16"/>
  <c r="R16"/>
  <c r="O16"/>
  <c r="L16"/>
  <c r="I16"/>
  <c r="F16"/>
  <c r="BA15"/>
  <c r="BB15" s="1"/>
  <c r="AX15"/>
  <c r="AW15"/>
  <c r="AZ15" s="1"/>
  <c r="AV15"/>
  <c r="AU15"/>
  <c r="AT15"/>
  <c r="AS15"/>
  <c r="AP15"/>
  <c r="AM15"/>
  <c r="AJ15"/>
  <c r="AG15"/>
  <c r="AD15"/>
  <c r="AA15"/>
  <c r="X15"/>
  <c r="U15"/>
  <c r="R15"/>
  <c r="O15"/>
  <c r="L15"/>
  <c r="I15"/>
  <c r="F15"/>
  <c r="AY14"/>
  <c r="AX14"/>
  <c r="AW14"/>
  <c r="AZ14" s="1"/>
  <c r="AU14"/>
  <c r="AV14" s="1"/>
  <c r="AT14"/>
  <c r="AS14"/>
  <c r="AP14"/>
  <c r="AM14"/>
  <c r="AJ14"/>
  <c r="AG14"/>
  <c r="AD14"/>
  <c r="AA14"/>
  <c r="X14"/>
  <c r="U14"/>
  <c r="R14"/>
  <c r="O14"/>
  <c r="L14"/>
  <c r="I14"/>
  <c r="F14"/>
  <c r="AZ13"/>
  <c r="BB13" s="1"/>
  <c r="AY13"/>
  <c r="AX13"/>
  <c r="AW13"/>
  <c r="AV13"/>
  <c r="AU13"/>
  <c r="BA13" s="1"/>
  <c r="AT13"/>
  <c r="AS13"/>
  <c r="AP13"/>
  <c r="AM13"/>
  <c r="AJ13"/>
  <c r="AG13"/>
  <c r="AD13"/>
  <c r="AA13"/>
  <c r="X13"/>
  <c r="U13"/>
  <c r="R13"/>
  <c r="O13"/>
  <c r="L13"/>
  <c r="I13"/>
  <c r="F13"/>
  <c r="AX12"/>
  <c r="AY12" s="1"/>
  <c r="AW12"/>
  <c r="AU12"/>
  <c r="AT12"/>
  <c r="AZ12" s="1"/>
  <c r="AS12"/>
  <c r="AP12"/>
  <c r="AM12"/>
  <c r="AJ12"/>
  <c r="AG12"/>
  <c r="AD12"/>
  <c r="AA12"/>
  <c r="X12"/>
  <c r="U12"/>
  <c r="R12"/>
  <c r="O12"/>
  <c r="L12"/>
  <c r="I12"/>
  <c r="F12"/>
  <c r="BA11"/>
  <c r="BB11" s="1"/>
  <c r="AZ11"/>
  <c r="AX11"/>
  <c r="AY11" s="1"/>
  <c r="AW11"/>
  <c r="AV11"/>
  <c r="AU11"/>
  <c r="AT11"/>
  <c r="AS11"/>
  <c r="AP11"/>
  <c r="AM11"/>
  <c r="AJ11"/>
  <c r="AG11"/>
  <c r="AD11"/>
  <c r="AA11"/>
  <c r="X11"/>
  <c r="U11"/>
  <c r="R11"/>
  <c r="O11"/>
  <c r="L11"/>
  <c r="I11"/>
  <c r="F11"/>
  <c r="BA10"/>
  <c r="AX10"/>
  <c r="AW10"/>
  <c r="AY10" s="1"/>
  <c r="AV10"/>
  <c r="AU10"/>
  <c r="AT10"/>
  <c r="AS10"/>
  <c r="AP10"/>
  <c r="AM10"/>
  <c r="AJ10"/>
  <c r="AG10"/>
  <c r="AD10"/>
  <c r="AA10"/>
  <c r="X10"/>
  <c r="U10"/>
  <c r="R10"/>
  <c r="O10"/>
  <c r="L10"/>
  <c r="I10"/>
  <c r="F10"/>
  <c r="AY9"/>
  <c r="AX9"/>
  <c r="AW9"/>
  <c r="AU9"/>
  <c r="BA9" s="1"/>
  <c r="AT9"/>
  <c r="AZ9" s="1"/>
  <c r="AS9"/>
  <c r="AP9"/>
  <c r="AM9"/>
  <c r="AJ9"/>
  <c r="AG9"/>
  <c r="AD9"/>
  <c r="AA9"/>
  <c r="X9"/>
  <c r="U9"/>
  <c r="R9"/>
  <c r="O9"/>
  <c r="L9"/>
  <c r="I9"/>
  <c r="F9"/>
  <c r="AX8"/>
  <c r="AY8" s="1"/>
  <c r="AW8"/>
  <c r="AU8"/>
  <c r="AV8" s="1"/>
  <c r="AT8"/>
  <c r="AS8"/>
  <c r="AP8"/>
  <c r="AM8"/>
  <c r="AJ8"/>
  <c r="AG8"/>
  <c r="AD8"/>
  <c r="AA8"/>
  <c r="X8"/>
  <c r="U8"/>
  <c r="R8"/>
  <c r="O8"/>
  <c r="L8"/>
  <c r="I8"/>
  <c r="F8"/>
  <c r="AX7"/>
  <c r="AY7" s="1"/>
  <c r="AW7"/>
  <c r="AU7"/>
  <c r="AT7"/>
  <c r="AV7" s="1"/>
  <c r="AS7"/>
  <c r="AP7"/>
  <c r="AM7"/>
  <c r="AJ7"/>
  <c r="AG7"/>
  <c r="AD7"/>
  <c r="AA7"/>
  <c r="X7"/>
  <c r="U7"/>
  <c r="R7"/>
  <c r="O7"/>
  <c r="L7"/>
  <c r="I7"/>
  <c r="F7"/>
  <c r="AM88" i="4"/>
  <c r="AM87"/>
  <c r="AM85"/>
  <c r="AJ88"/>
  <c r="AJ87"/>
  <c r="AJ85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D56"/>
  <c r="X44"/>
  <c r="X45"/>
  <c r="X46"/>
  <c r="X47"/>
  <c r="X48"/>
  <c r="X49"/>
  <c r="X50"/>
  <c r="X51"/>
  <c r="X52"/>
  <c r="X53"/>
  <c r="X54"/>
  <c r="X55"/>
  <c r="X56"/>
  <c r="X57"/>
  <c r="X58"/>
  <c r="X59"/>
  <c r="X60"/>
  <c r="X61"/>
  <c r="X62"/>
  <c r="X63"/>
  <c r="X64"/>
  <c r="X65"/>
  <c r="X66"/>
  <c r="X67"/>
  <c r="X68"/>
  <c r="X69"/>
  <c r="X70"/>
  <c r="X71"/>
  <c r="X72"/>
  <c r="X73"/>
  <c r="X74"/>
  <c r="X75"/>
  <c r="X76"/>
  <c r="X77"/>
  <c r="X78"/>
  <c r="X79"/>
  <c r="X80"/>
  <c r="X81"/>
  <c r="X82"/>
  <c r="X83"/>
  <c r="U88"/>
  <c r="U87"/>
  <c r="U85"/>
  <c r="R88"/>
  <c r="R87"/>
  <c r="R85"/>
  <c r="O88"/>
  <c r="O87"/>
  <c r="O85"/>
  <c r="L88"/>
  <c r="L87"/>
  <c r="L85"/>
  <c r="O18"/>
  <c r="I23"/>
  <c r="X88" i="7"/>
  <c r="X87"/>
  <c r="X85"/>
  <c r="AA88"/>
  <c r="AA87"/>
  <c r="AA85"/>
  <c r="AA8"/>
  <c r="AA9"/>
  <c r="AA10"/>
  <c r="AA11"/>
  <c r="AA12"/>
  <c r="AA13"/>
  <c r="AA14"/>
  <c r="AA15"/>
  <c r="AA16"/>
  <c r="AA17"/>
  <c r="AA18"/>
  <c r="AA19"/>
  <c r="AA20"/>
  <c r="AA21"/>
  <c r="AA22"/>
  <c r="AA23"/>
  <c r="AA24"/>
  <c r="AA25"/>
  <c r="AA26"/>
  <c r="AA27"/>
  <c r="AA28"/>
  <c r="AA29"/>
  <c r="AA30"/>
  <c r="AA31"/>
  <c r="AA32"/>
  <c r="AA33"/>
  <c r="AA34"/>
  <c r="AA35"/>
  <c r="AA36"/>
  <c r="AA37"/>
  <c r="AA38"/>
  <c r="AA39"/>
  <c r="AA40"/>
  <c r="AA41"/>
  <c r="AA42"/>
  <c r="AA43"/>
  <c r="AA44"/>
  <c r="AA45"/>
  <c r="AA46"/>
  <c r="AA47"/>
  <c r="AA48"/>
  <c r="AA49"/>
  <c r="AA50"/>
  <c r="AA51"/>
  <c r="AA52"/>
  <c r="AA53"/>
  <c r="AA54"/>
  <c r="AA55"/>
  <c r="AA56"/>
  <c r="AA57"/>
  <c r="AA58"/>
  <c r="AA59"/>
  <c r="AA60"/>
  <c r="AA61"/>
  <c r="AA62"/>
  <c r="AA63"/>
  <c r="AA64"/>
  <c r="AA65"/>
  <c r="AA66"/>
  <c r="AA67"/>
  <c r="AA68"/>
  <c r="AA69"/>
  <c r="AA70"/>
  <c r="AA71"/>
  <c r="AA72"/>
  <c r="AA73"/>
  <c r="AA74"/>
  <c r="AA75"/>
  <c r="AA76"/>
  <c r="AA77"/>
  <c r="AA78"/>
  <c r="AA79"/>
  <c r="AA80"/>
  <c r="AA81"/>
  <c r="AA82"/>
  <c r="AA83"/>
  <c r="AA7"/>
  <c r="AP58" i="2"/>
  <c r="AS83"/>
  <c r="AP83"/>
  <c r="AM83"/>
  <c r="AJ83"/>
  <c r="AG83"/>
  <c r="AD83"/>
  <c r="AA83"/>
  <c r="X83"/>
  <c r="U83"/>
  <c r="R83"/>
  <c r="O83"/>
  <c r="L83"/>
  <c r="I83"/>
  <c r="F83"/>
  <c r="AS82"/>
  <c r="AP82"/>
  <c r="AM82"/>
  <c r="AJ82"/>
  <c r="AG82"/>
  <c r="AD82"/>
  <c r="AA82"/>
  <c r="X82"/>
  <c r="U82"/>
  <c r="R82"/>
  <c r="O82"/>
  <c r="L82"/>
  <c r="I82"/>
  <c r="F82"/>
  <c r="AS81"/>
  <c r="AP81"/>
  <c r="AM81"/>
  <c r="AJ81"/>
  <c r="AG81"/>
  <c r="AD81"/>
  <c r="AA81"/>
  <c r="X81"/>
  <c r="U81"/>
  <c r="R81"/>
  <c r="O81"/>
  <c r="L81"/>
  <c r="I81"/>
  <c r="F81"/>
  <c r="AS80"/>
  <c r="AP80"/>
  <c r="AM80"/>
  <c r="AJ80"/>
  <c r="AG80"/>
  <c r="AD80"/>
  <c r="AA80"/>
  <c r="X80"/>
  <c r="U80"/>
  <c r="R80"/>
  <c r="O80"/>
  <c r="L80"/>
  <c r="I80"/>
  <c r="F80"/>
  <c r="AS79"/>
  <c r="AP79"/>
  <c r="AM79"/>
  <c r="AJ79"/>
  <c r="AG79"/>
  <c r="AD79"/>
  <c r="AA79"/>
  <c r="X79"/>
  <c r="U79"/>
  <c r="R79"/>
  <c r="O79"/>
  <c r="L79"/>
  <c r="I79"/>
  <c r="F79"/>
  <c r="AS78"/>
  <c r="AP78"/>
  <c r="AM78"/>
  <c r="AJ78"/>
  <c r="AG78"/>
  <c r="AD78"/>
  <c r="AA78"/>
  <c r="X78"/>
  <c r="U78"/>
  <c r="R78"/>
  <c r="O78"/>
  <c r="L78"/>
  <c r="I78"/>
  <c r="F78"/>
  <c r="AS77"/>
  <c r="AP77"/>
  <c r="AM77"/>
  <c r="AJ77"/>
  <c r="AG77"/>
  <c r="AD77"/>
  <c r="AA77"/>
  <c r="X77"/>
  <c r="U77"/>
  <c r="R77"/>
  <c r="O77"/>
  <c r="L77"/>
  <c r="I77"/>
  <c r="F77"/>
  <c r="AS76"/>
  <c r="AP76"/>
  <c r="AM76"/>
  <c r="AJ76"/>
  <c r="AG76"/>
  <c r="AD76"/>
  <c r="AA76"/>
  <c r="X76"/>
  <c r="U76"/>
  <c r="R76"/>
  <c r="O76"/>
  <c r="L76"/>
  <c r="I76"/>
  <c r="F76"/>
  <c r="AS75"/>
  <c r="AP75"/>
  <c r="AM75"/>
  <c r="AJ75"/>
  <c r="AG75"/>
  <c r="AD75"/>
  <c r="AA75"/>
  <c r="X75"/>
  <c r="U75"/>
  <c r="R75"/>
  <c r="O75"/>
  <c r="L75"/>
  <c r="I75"/>
  <c r="F75"/>
  <c r="AS74"/>
  <c r="AP74"/>
  <c r="AM74"/>
  <c r="AJ74"/>
  <c r="AG74"/>
  <c r="AD74"/>
  <c r="AA74"/>
  <c r="X74"/>
  <c r="U74"/>
  <c r="R74"/>
  <c r="O74"/>
  <c r="L74"/>
  <c r="I74"/>
  <c r="F74"/>
  <c r="AS73"/>
  <c r="AP73"/>
  <c r="AM73"/>
  <c r="AJ73"/>
  <c r="AG73"/>
  <c r="AD73"/>
  <c r="AA73"/>
  <c r="X73"/>
  <c r="U73"/>
  <c r="R73"/>
  <c r="O73"/>
  <c r="L73"/>
  <c r="I73"/>
  <c r="F73"/>
  <c r="AS72"/>
  <c r="AP72"/>
  <c r="AM72"/>
  <c r="AJ72"/>
  <c r="AG72"/>
  <c r="AD72"/>
  <c r="AA72"/>
  <c r="X72"/>
  <c r="U72"/>
  <c r="R72"/>
  <c r="O72"/>
  <c r="L72"/>
  <c r="I72"/>
  <c r="F72"/>
  <c r="AS71"/>
  <c r="AP71"/>
  <c r="AM71"/>
  <c r="AJ71"/>
  <c r="AG71"/>
  <c r="AD71"/>
  <c r="AA71"/>
  <c r="X71"/>
  <c r="U71"/>
  <c r="R71"/>
  <c r="O71"/>
  <c r="L71"/>
  <c r="I71"/>
  <c r="F71"/>
  <c r="AS70"/>
  <c r="AP70"/>
  <c r="AM70"/>
  <c r="AJ70"/>
  <c r="AG70"/>
  <c r="AD70"/>
  <c r="AA70"/>
  <c r="X70"/>
  <c r="U70"/>
  <c r="R70"/>
  <c r="O70"/>
  <c r="L70"/>
  <c r="I70"/>
  <c r="F70"/>
  <c r="AS69"/>
  <c r="AP69"/>
  <c r="AM69"/>
  <c r="AJ69"/>
  <c r="AG69"/>
  <c r="AD69"/>
  <c r="AA69"/>
  <c r="X69"/>
  <c r="U69"/>
  <c r="R69"/>
  <c r="O69"/>
  <c r="L69"/>
  <c r="I69"/>
  <c r="F69"/>
  <c r="AS68"/>
  <c r="AP68"/>
  <c r="AM68"/>
  <c r="AJ68"/>
  <c r="AG68"/>
  <c r="AD68"/>
  <c r="AA68"/>
  <c r="X68"/>
  <c r="U68"/>
  <c r="R68"/>
  <c r="O68"/>
  <c r="L68"/>
  <c r="I68"/>
  <c r="F68"/>
  <c r="AS67"/>
  <c r="AP67"/>
  <c r="AM67"/>
  <c r="AJ67"/>
  <c r="AG67"/>
  <c r="AD67"/>
  <c r="AA67"/>
  <c r="X67"/>
  <c r="U67"/>
  <c r="R67"/>
  <c r="O67"/>
  <c r="L67"/>
  <c r="I67"/>
  <c r="F67"/>
  <c r="AS66"/>
  <c r="AP66"/>
  <c r="AM66"/>
  <c r="AJ66"/>
  <c r="AG66"/>
  <c r="AD66"/>
  <c r="AA66"/>
  <c r="X66"/>
  <c r="U66"/>
  <c r="R66"/>
  <c r="O66"/>
  <c r="L66"/>
  <c r="I66"/>
  <c r="F66"/>
  <c r="AS65"/>
  <c r="AP65"/>
  <c r="AM65"/>
  <c r="AJ65"/>
  <c r="AG65"/>
  <c r="AD65"/>
  <c r="AA65"/>
  <c r="X65"/>
  <c r="U65"/>
  <c r="R65"/>
  <c r="O65"/>
  <c r="L65"/>
  <c r="I65"/>
  <c r="F65"/>
  <c r="AS64"/>
  <c r="AP64"/>
  <c r="AM64"/>
  <c r="AJ64"/>
  <c r="AG64"/>
  <c r="AD64"/>
  <c r="AA64"/>
  <c r="X64"/>
  <c r="U64"/>
  <c r="R64"/>
  <c r="O64"/>
  <c r="L64"/>
  <c r="I64"/>
  <c r="F64"/>
  <c r="AS63"/>
  <c r="AP63"/>
  <c r="AM63"/>
  <c r="AJ63"/>
  <c r="AG63"/>
  <c r="AD63"/>
  <c r="AA63"/>
  <c r="X63"/>
  <c r="U63"/>
  <c r="R63"/>
  <c r="O63"/>
  <c r="L63"/>
  <c r="I63"/>
  <c r="F63"/>
  <c r="AS62"/>
  <c r="AP62"/>
  <c r="AM62"/>
  <c r="AJ62"/>
  <c r="AG62"/>
  <c r="AD62"/>
  <c r="AA62"/>
  <c r="X62"/>
  <c r="U62"/>
  <c r="R62"/>
  <c r="O62"/>
  <c r="L62"/>
  <c r="I62"/>
  <c r="F62"/>
  <c r="AS61"/>
  <c r="AP61"/>
  <c r="AM61"/>
  <c r="AJ61"/>
  <c r="AG61"/>
  <c r="AD61"/>
  <c r="AA61"/>
  <c r="X61"/>
  <c r="U61"/>
  <c r="R61"/>
  <c r="O61"/>
  <c r="L61"/>
  <c r="I61"/>
  <c r="F61"/>
  <c r="AS60"/>
  <c r="AP60"/>
  <c r="AM60"/>
  <c r="AJ60"/>
  <c r="AG60"/>
  <c r="AD60"/>
  <c r="AA60"/>
  <c r="X60"/>
  <c r="U60"/>
  <c r="R60"/>
  <c r="O60"/>
  <c r="L60"/>
  <c r="I60"/>
  <c r="F60"/>
  <c r="AS59"/>
  <c r="AP59"/>
  <c r="AM59"/>
  <c r="AJ59"/>
  <c r="AG59"/>
  <c r="AD59"/>
  <c r="AA59"/>
  <c r="X59"/>
  <c r="U59"/>
  <c r="R59"/>
  <c r="O59"/>
  <c r="L59"/>
  <c r="I59"/>
  <c r="F59"/>
  <c r="AS58"/>
  <c r="AM58"/>
  <c r="AJ58"/>
  <c r="AG58"/>
  <c r="AD58"/>
  <c r="AA58"/>
  <c r="X58"/>
  <c r="U58"/>
  <c r="R58"/>
  <c r="O58"/>
  <c r="L58"/>
  <c r="I58"/>
  <c r="F58"/>
  <c r="AS57"/>
  <c r="AP57"/>
  <c r="AM57"/>
  <c r="AJ57"/>
  <c r="AG57"/>
  <c r="AD57"/>
  <c r="AA57"/>
  <c r="X57"/>
  <c r="U57"/>
  <c r="R57"/>
  <c r="O57"/>
  <c r="L57"/>
  <c r="I57"/>
  <c r="F57"/>
  <c r="AS56"/>
  <c r="AP56"/>
  <c r="AM56"/>
  <c r="AJ56"/>
  <c r="AG56"/>
  <c r="AD56"/>
  <c r="AA56"/>
  <c r="X56"/>
  <c r="U56"/>
  <c r="R56"/>
  <c r="O56"/>
  <c r="L56"/>
  <c r="I56"/>
  <c r="F56"/>
  <c r="AS55"/>
  <c r="AP55"/>
  <c r="AM55"/>
  <c r="AJ55"/>
  <c r="AG55"/>
  <c r="AD55"/>
  <c r="AA55"/>
  <c r="X55"/>
  <c r="U55"/>
  <c r="R55"/>
  <c r="O55"/>
  <c r="L55"/>
  <c r="I55"/>
  <c r="F55"/>
  <c r="AS54"/>
  <c r="AP54"/>
  <c r="AM54"/>
  <c r="AJ54"/>
  <c r="AG54"/>
  <c r="AD54"/>
  <c r="AA54"/>
  <c r="X54"/>
  <c r="U54"/>
  <c r="R54"/>
  <c r="O54"/>
  <c r="L54"/>
  <c r="I54"/>
  <c r="F54"/>
  <c r="AS53"/>
  <c r="AP53"/>
  <c r="AM53"/>
  <c r="AJ53"/>
  <c r="AG53"/>
  <c r="AD53"/>
  <c r="AA53"/>
  <c r="X53"/>
  <c r="U53"/>
  <c r="R53"/>
  <c r="O53"/>
  <c r="L53"/>
  <c r="I53"/>
  <c r="F53"/>
  <c r="AS52"/>
  <c r="AP52"/>
  <c r="AM52"/>
  <c r="AJ52"/>
  <c r="AG52"/>
  <c r="AD52"/>
  <c r="AA52"/>
  <c r="X52"/>
  <c r="U52"/>
  <c r="R52"/>
  <c r="O52"/>
  <c r="L52"/>
  <c r="I52"/>
  <c r="F52"/>
  <c r="AS51"/>
  <c r="AP51"/>
  <c r="AM51"/>
  <c r="AJ51"/>
  <c r="AG51"/>
  <c r="AD51"/>
  <c r="AA51"/>
  <c r="X51"/>
  <c r="U51"/>
  <c r="R51"/>
  <c r="O51"/>
  <c r="L51"/>
  <c r="I51"/>
  <c r="F51"/>
  <c r="AS50"/>
  <c r="AP50"/>
  <c r="AM50"/>
  <c r="AJ50"/>
  <c r="AG50"/>
  <c r="AD50"/>
  <c r="AA50"/>
  <c r="X50"/>
  <c r="U50"/>
  <c r="R50"/>
  <c r="O50"/>
  <c r="L50"/>
  <c r="I50"/>
  <c r="F50"/>
  <c r="AS49"/>
  <c r="AP49"/>
  <c r="AM49"/>
  <c r="AJ49"/>
  <c r="AG49"/>
  <c r="AD49"/>
  <c r="AA49"/>
  <c r="X49"/>
  <c r="U49"/>
  <c r="R49"/>
  <c r="O49"/>
  <c r="L49"/>
  <c r="I49"/>
  <c r="F49"/>
  <c r="AS48"/>
  <c r="AP48"/>
  <c r="AM48"/>
  <c r="AJ48"/>
  <c r="AG48"/>
  <c r="AD48"/>
  <c r="AA48"/>
  <c r="X48"/>
  <c r="U48"/>
  <c r="R48"/>
  <c r="O48"/>
  <c r="L48"/>
  <c r="I48"/>
  <c r="F48"/>
  <c r="AS47"/>
  <c r="AP47"/>
  <c r="AM47"/>
  <c r="AJ47"/>
  <c r="AG47"/>
  <c r="AD47"/>
  <c r="AA47"/>
  <c r="X47"/>
  <c r="U47"/>
  <c r="R47"/>
  <c r="O47"/>
  <c r="L47"/>
  <c r="I47"/>
  <c r="F47"/>
  <c r="AS46"/>
  <c r="AP46"/>
  <c r="AM46"/>
  <c r="AJ46"/>
  <c r="AG46"/>
  <c r="AD46"/>
  <c r="AA46"/>
  <c r="X46"/>
  <c r="U46"/>
  <c r="R46"/>
  <c r="O46"/>
  <c r="L46"/>
  <c r="I46"/>
  <c r="F46"/>
  <c r="AS45"/>
  <c r="AP45"/>
  <c r="AM45"/>
  <c r="AJ45"/>
  <c r="AG45"/>
  <c r="AD45"/>
  <c r="AA45"/>
  <c r="X45"/>
  <c r="U45"/>
  <c r="R45"/>
  <c r="O45"/>
  <c r="L45"/>
  <c r="I45"/>
  <c r="F45"/>
  <c r="AS44"/>
  <c r="AP44"/>
  <c r="AM44"/>
  <c r="AJ44"/>
  <c r="AG44"/>
  <c r="AD44"/>
  <c r="AA44"/>
  <c r="X44"/>
  <c r="U44"/>
  <c r="R44"/>
  <c r="O44"/>
  <c r="L44"/>
  <c r="I44"/>
  <c r="F44"/>
  <c r="AS43"/>
  <c r="AP43"/>
  <c r="AM43"/>
  <c r="AJ43"/>
  <c r="AG43"/>
  <c r="AD43"/>
  <c r="AA43"/>
  <c r="X43"/>
  <c r="U43"/>
  <c r="R43"/>
  <c r="O43"/>
  <c r="L43"/>
  <c r="I43"/>
  <c r="F43"/>
  <c r="AS42"/>
  <c r="AP42"/>
  <c r="AM42"/>
  <c r="AJ42"/>
  <c r="AG42"/>
  <c r="AD42"/>
  <c r="AA42"/>
  <c r="X42"/>
  <c r="U42"/>
  <c r="R42"/>
  <c r="O42"/>
  <c r="L42"/>
  <c r="I42"/>
  <c r="F42"/>
  <c r="AS41"/>
  <c r="AP41"/>
  <c r="AM41"/>
  <c r="AJ41"/>
  <c r="AG41"/>
  <c r="AD41"/>
  <c r="AA41"/>
  <c r="X41"/>
  <c r="U41"/>
  <c r="R41"/>
  <c r="O41"/>
  <c r="L41"/>
  <c r="I41"/>
  <c r="F41"/>
  <c r="AS40"/>
  <c r="AP40"/>
  <c r="AM40"/>
  <c r="AJ40"/>
  <c r="AG40"/>
  <c r="AD40"/>
  <c r="AA40"/>
  <c r="X40"/>
  <c r="U40"/>
  <c r="R40"/>
  <c r="O40"/>
  <c r="L40"/>
  <c r="I40"/>
  <c r="F40"/>
  <c r="AS39"/>
  <c r="AP39"/>
  <c r="AM39"/>
  <c r="AJ39"/>
  <c r="AG39"/>
  <c r="AD39"/>
  <c r="AA39"/>
  <c r="X39"/>
  <c r="U39"/>
  <c r="R39"/>
  <c r="O39"/>
  <c r="L39"/>
  <c r="I39"/>
  <c r="F39"/>
  <c r="AS38"/>
  <c r="AP38"/>
  <c r="AM38"/>
  <c r="AJ38"/>
  <c r="AG38"/>
  <c r="AD38"/>
  <c r="AA38"/>
  <c r="X38"/>
  <c r="U38"/>
  <c r="R38"/>
  <c r="O38"/>
  <c r="L38"/>
  <c r="I38"/>
  <c r="F38"/>
  <c r="AS37"/>
  <c r="AP37"/>
  <c r="AM37"/>
  <c r="AJ37"/>
  <c r="AG37"/>
  <c r="AD37"/>
  <c r="AA37"/>
  <c r="X37"/>
  <c r="U37"/>
  <c r="R37"/>
  <c r="O37"/>
  <c r="L37"/>
  <c r="I37"/>
  <c r="F37"/>
  <c r="AS36"/>
  <c r="AP36"/>
  <c r="AM36"/>
  <c r="AJ36"/>
  <c r="AG36"/>
  <c r="AD36"/>
  <c r="AA36"/>
  <c r="X36"/>
  <c r="U36"/>
  <c r="R36"/>
  <c r="O36"/>
  <c r="L36"/>
  <c r="I36"/>
  <c r="F36"/>
  <c r="AS35"/>
  <c r="AP35"/>
  <c r="AM35"/>
  <c r="AJ35"/>
  <c r="AG35"/>
  <c r="AD35"/>
  <c r="AA35"/>
  <c r="X35"/>
  <c r="U35"/>
  <c r="R35"/>
  <c r="O35"/>
  <c r="L35"/>
  <c r="I35"/>
  <c r="F35"/>
  <c r="AS34"/>
  <c r="AP34"/>
  <c r="AM34"/>
  <c r="AJ34"/>
  <c r="AG34"/>
  <c r="AD34"/>
  <c r="AA34"/>
  <c r="X34"/>
  <c r="U34"/>
  <c r="R34"/>
  <c r="O34"/>
  <c r="L34"/>
  <c r="I34"/>
  <c r="F34"/>
  <c r="AS33"/>
  <c r="AP33"/>
  <c r="AM33"/>
  <c r="AJ33"/>
  <c r="AG33"/>
  <c r="AD33"/>
  <c r="AA33"/>
  <c r="X33"/>
  <c r="U33"/>
  <c r="R33"/>
  <c r="O33"/>
  <c r="L33"/>
  <c r="I33"/>
  <c r="F33"/>
  <c r="AS32"/>
  <c r="AP32"/>
  <c r="AM32"/>
  <c r="AJ32"/>
  <c r="AG32"/>
  <c r="AD32"/>
  <c r="AA32"/>
  <c r="X32"/>
  <c r="U32"/>
  <c r="R32"/>
  <c r="O32"/>
  <c r="L32"/>
  <c r="I32"/>
  <c r="F32"/>
  <c r="AS31"/>
  <c r="AP31"/>
  <c r="AM31"/>
  <c r="AJ31"/>
  <c r="AG31"/>
  <c r="AD31"/>
  <c r="AA31"/>
  <c r="X31"/>
  <c r="U31"/>
  <c r="R31"/>
  <c r="O31"/>
  <c r="L31"/>
  <c r="I31"/>
  <c r="F31"/>
  <c r="AS30"/>
  <c r="AP30"/>
  <c r="AM30"/>
  <c r="AJ30"/>
  <c r="AG30"/>
  <c r="AD30"/>
  <c r="AA30"/>
  <c r="X30"/>
  <c r="U30"/>
  <c r="R30"/>
  <c r="O30"/>
  <c r="L30"/>
  <c r="I30"/>
  <c r="F30"/>
  <c r="AS29"/>
  <c r="AP29"/>
  <c r="AM29"/>
  <c r="AJ29"/>
  <c r="AG29"/>
  <c r="AD29"/>
  <c r="AA29"/>
  <c r="X29"/>
  <c r="U29"/>
  <c r="R29"/>
  <c r="O29"/>
  <c r="L29"/>
  <c r="I29"/>
  <c r="F29"/>
  <c r="AS28"/>
  <c r="AP28"/>
  <c r="AM28"/>
  <c r="AJ28"/>
  <c r="AG28"/>
  <c r="AD28"/>
  <c r="AA28"/>
  <c r="X28"/>
  <c r="U28"/>
  <c r="R28"/>
  <c r="O28"/>
  <c r="L28"/>
  <c r="I28"/>
  <c r="F28"/>
  <c r="AS27"/>
  <c r="AP27"/>
  <c r="AM27"/>
  <c r="AJ27"/>
  <c r="AG27"/>
  <c r="AD27"/>
  <c r="AA27"/>
  <c r="X27"/>
  <c r="U27"/>
  <c r="R27"/>
  <c r="O27"/>
  <c r="L27"/>
  <c r="I27"/>
  <c r="F27"/>
  <c r="AS26"/>
  <c r="AP26"/>
  <c r="AM26"/>
  <c r="AJ26"/>
  <c r="AG26"/>
  <c r="AD26"/>
  <c r="AA26"/>
  <c r="X26"/>
  <c r="U26"/>
  <c r="R26"/>
  <c r="O26"/>
  <c r="L26"/>
  <c r="I26"/>
  <c r="F26"/>
  <c r="AS25"/>
  <c r="AP25"/>
  <c r="AM25"/>
  <c r="AJ25"/>
  <c r="AG25"/>
  <c r="AD25"/>
  <c r="AA25"/>
  <c r="X25"/>
  <c r="U25"/>
  <c r="R25"/>
  <c r="O25"/>
  <c r="L25"/>
  <c r="I25"/>
  <c r="F25"/>
  <c r="AS24"/>
  <c r="AP24"/>
  <c r="AM24"/>
  <c r="AJ24"/>
  <c r="AG24"/>
  <c r="AD24"/>
  <c r="AA24"/>
  <c r="X24"/>
  <c r="U24"/>
  <c r="R24"/>
  <c r="O24"/>
  <c r="L24"/>
  <c r="I24"/>
  <c r="F24"/>
  <c r="AS23"/>
  <c r="AP23"/>
  <c r="AM23"/>
  <c r="AJ23"/>
  <c r="AG23"/>
  <c r="AD23"/>
  <c r="AA23"/>
  <c r="X23"/>
  <c r="U23"/>
  <c r="R23"/>
  <c r="O23"/>
  <c r="L23"/>
  <c r="I23"/>
  <c r="F23"/>
  <c r="AS22"/>
  <c r="AP22"/>
  <c r="AM22"/>
  <c r="AJ22"/>
  <c r="AG22"/>
  <c r="AD22"/>
  <c r="AA22"/>
  <c r="X22"/>
  <c r="U22"/>
  <c r="R22"/>
  <c r="O22"/>
  <c r="L22"/>
  <c r="I22"/>
  <c r="F22"/>
  <c r="AS21"/>
  <c r="AP21"/>
  <c r="AM21"/>
  <c r="AJ21"/>
  <c r="AG21"/>
  <c r="AD21"/>
  <c r="AA21"/>
  <c r="X21"/>
  <c r="U21"/>
  <c r="R21"/>
  <c r="O21"/>
  <c r="L21"/>
  <c r="I21"/>
  <c r="F21"/>
  <c r="AS20"/>
  <c r="AP20"/>
  <c r="AM20"/>
  <c r="AJ20"/>
  <c r="AG20"/>
  <c r="AD20"/>
  <c r="AA20"/>
  <c r="X20"/>
  <c r="U20"/>
  <c r="R20"/>
  <c r="O20"/>
  <c r="L20"/>
  <c r="I20"/>
  <c r="F20"/>
  <c r="AS19"/>
  <c r="AP19"/>
  <c r="AM19"/>
  <c r="AJ19"/>
  <c r="AG19"/>
  <c r="AD19"/>
  <c r="AA19"/>
  <c r="X19"/>
  <c r="U19"/>
  <c r="R19"/>
  <c r="O19"/>
  <c r="L19"/>
  <c r="I19"/>
  <c r="F19"/>
  <c r="AS18"/>
  <c r="AP18"/>
  <c r="AM18"/>
  <c r="AJ18"/>
  <c r="AG18"/>
  <c r="AD18"/>
  <c r="AA18"/>
  <c r="X18"/>
  <c r="U18"/>
  <c r="R18"/>
  <c r="O18"/>
  <c r="L18"/>
  <c r="I18"/>
  <c r="F18"/>
  <c r="AS17"/>
  <c r="AP17"/>
  <c r="AM17"/>
  <c r="AJ17"/>
  <c r="AG17"/>
  <c r="AD17"/>
  <c r="AA17"/>
  <c r="X17"/>
  <c r="U17"/>
  <c r="R17"/>
  <c r="O17"/>
  <c r="L17"/>
  <c r="I17"/>
  <c r="F17"/>
  <c r="AS16"/>
  <c r="AP16"/>
  <c r="AM16"/>
  <c r="AJ16"/>
  <c r="AG16"/>
  <c r="AD16"/>
  <c r="AA16"/>
  <c r="X16"/>
  <c r="U16"/>
  <c r="R16"/>
  <c r="O16"/>
  <c r="L16"/>
  <c r="I16"/>
  <c r="F16"/>
  <c r="AS15"/>
  <c r="AP15"/>
  <c r="AM15"/>
  <c r="AJ15"/>
  <c r="AG15"/>
  <c r="AD15"/>
  <c r="AA15"/>
  <c r="X15"/>
  <c r="U15"/>
  <c r="R15"/>
  <c r="O15"/>
  <c r="L15"/>
  <c r="I15"/>
  <c r="F15"/>
  <c r="AS14"/>
  <c r="AP14"/>
  <c r="AM14"/>
  <c r="AJ14"/>
  <c r="AG14"/>
  <c r="AD14"/>
  <c r="AA14"/>
  <c r="X14"/>
  <c r="U14"/>
  <c r="R14"/>
  <c r="O14"/>
  <c r="L14"/>
  <c r="I14"/>
  <c r="F14"/>
  <c r="AS13"/>
  <c r="AP13"/>
  <c r="AM13"/>
  <c r="AJ13"/>
  <c r="AG13"/>
  <c r="AD13"/>
  <c r="AA13"/>
  <c r="X13"/>
  <c r="U13"/>
  <c r="R13"/>
  <c r="O13"/>
  <c r="L13"/>
  <c r="I13"/>
  <c r="F13"/>
  <c r="AS12"/>
  <c r="AP12"/>
  <c r="AM12"/>
  <c r="AJ12"/>
  <c r="AG12"/>
  <c r="AD12"/>
  <c r="AA12"/>
  <c r="X12"/>
  <c r="U12"/>
  <c r="R12"/>
  <c r="O12"/>
  <c r="L12"/>
  <c r="I12"/>
  <c r="F12"/>
  <c r="AS11"/>
  <c r="AP11"/>
  <c r="AM11"/>
  <c r="AJ11"/>
  <c r="AG11"/>
  <c r="AD11"/>
  <c r="AA11"/>
  <c r="X11"/>
  <c r="U11"/>
  <c r="R11"/>
  <c r="O11"/>
  <c r="L11"/>
  <c r="I11"/>
  <c r="F11"/>
  <c r="AS10"/>
  <c r="AP10"/>
  <c r="AM10"/>
  <c r="AJ10"/>
  <c r="AG10"/>
  <c r="AD10"/>
  <c r="AA10"/>
  <c r="X10"/>
  <c r="U10"/>
  <c r="R10"/>
  <c r="O10"/>
  <c r="L10"/>
  <c r="I10"/>
  <c r="F10"/>
  <c r="AS9"/>
  <c r="AP9"/>
  <c r="AM9"/>
  <c r="AJ9"/>
  <c r="AG9"/>
  <c r="AD9"/>
  <c r="AA9"/>
  <c r="X9"/>
  <c r="U9"/>
  <c r="R9"/>
  <c r="O9"/>
  <c r="L9"/>
  <c r="I9"/>
  <c r="F9"/>
  <c r="AS8"/>
  <c r="AP8"/>
  <c r="AM8"/>
  <c r="AJ8"/>
  <c r="AG8"/>
  <c r="AD8"/>
  <c r="AA8"/>
  <c r="X8"/>
  <c r="U8"/>
  <c r="R8"/>
  <c r="O8"/>
  <c r="L8"/>
  <c r="I8"/>
  <c r="F8"/>
  <c r="AS7"/>
  <c r="AP7"/>
  <c r="AM7"/>
  <c r="AJ7"/>
  <c r="AG7"/>
  <c r="AD7"/>
  <c r="AA7"/>
  <c r="X7"/>
  <c r="U7"/>
  <c r="R7"/>
  <c r="O7"/>
  <c r="L7"/>
  <c r="I7"/>
  <c r="F7"/>
  <c r="AX83" i="5"/>
  <c r="AW83"/>
  <c r="AU83"/>
  <c r="AT83"/>
  <c r="AZ83" s="1"/>
  <c r="AX82"/>
  <c r="AY82" s="1"/>
  <c r="AW82"/>
  <c r="AU82"/>
  <c r="AT82"/>
  <c r="AZ82" s="1"/>
  <c r="AX81"/>
  <c r="AY81" s="1"/>
  <c r="AW81"/>
  <c r="AU81"/>
  <c r="AT81"/>
  <c r="AZ81" s="1"/>
  <c r="AX80"/>
  <c r="AY80" s="1"/>
  <c r="AW80"/>
  <c r="AU80"/>
  <c r="AT80"/>
  <c r="AZ80" s="1"/>
  <c r="AX79"/>
  <c r="AY79" s="1"/>
  <c r="AW79"/>
  <c r="AU79"/>
  <c r="AT79"/>
  <c r="AZ79" s="1"/>
  <c r="AX78"/>
  <c r="AY78" s="1"/>
  <c r="AW78"/>
  <c r="AU78"/>
  <c r="AT78"/>
  <c r="AZ78" s="1"/>
  <c r="AX77"/>
  <c r="AW77"/>
  <c r="AU77"/>
  <c r="AT77"/>
  <c r="AX76"/>
  <c r="AW76"/>
  <c r="AU76"/>
  <c r="AT76"/>
  <c r="AX75"/>
  <c r="AW75"/>
  <c r="AU75"/>
  <c r="AT75"/>
  <c r="AX74"/>
  <c r="AW74"/>
  <c r="AU74"/>
  <c r="AT74"/>
  <c r="AX73"/>
  <c r="AY73" s="1"/>
  <c r="AW73"/>
  <c r="AU73"/>
  <c r="AT73"/>
  <c r="AX72"/>
  <c r="AW72"/>
  <c r="AU72"/>
  <c r="AT72"/>
  <c r="AX71"/>
  <c r="AW71"/>
  <c r="AU71"/>
  <c r="AT71"/>
  <c r="AX70"/>
  <c r="AW70"/>
  <c r="AU70"/>
  <c r="AT70"/>
  <c r="AX69"/>
  <c r="AY69" s="1"/>
  <c r="AW69"/>
  <c r="AU69"/>
  <c r="AT69"/>
  <c r="AZ69" s="1"/>
  <c r="AX68"/>
  <c r="AW68"/>
  <c r="AU68"/>
  <c r="BA68" s="1"/>
  <c r="AT68"/>
  <c r="AZ68" s="1"/>
  <c r="AX67"/>
  <c r="AW67"/>
  <c r="AU67"/>
  <c r="AT67"/>
  <c r="AX66"/>
  <c r="AW66"/>
  <c r="AU66"/>
  <c r="AT66"/>
  <c r="AX65"/>
  <c r="AW65"/>
  <c r="AU65"/>
  <c r="AT65"/>
  <c r="AZ65" s="1"/>
  <c r="AX64"/>
  <c r="AW64"/>
  <c r="AU64"/>
  <c r="BA64" s="1"/>
  <c r="AT64"/>
  <c r="AZ64" s="1"/>
  <c r="AX63"/>
  <c r="AW63"/>
  <c r="AU63"/>
  <c r="AT63"/>
  <c r="AX62"/>
  <c r="AW62"/>
  <c r="AU62"/>
  <c r="AT62"/>
  <c r="AX61"/>
  <c r="AW61"/>
  <c r="AU61"/>
  <c r="AT61"/>
  <c r="AX60"/>
  <c r="AW60"/>
  <c r="AU60"/>
  <c r="BA60" s="1"/>
  <c r="AT60"/>
  <c r="AZ60" s="1"/>
  <c r="AX59"/>
  <c r="AW59"/>
  <c r="AU59"/>
  <c r="AT59"/>
  <c r="AX58"/>
  <c r="AW58"/>
  <c r="AU58"/>
  <c r="AT58"/>
  <c r="AX57"/>
  <c r="AW57"/>
  <c r="AU57"/>
  <c r="AT57"/>
  <c r="AZ57" s="1"/>
  <c r="AX56"/>
  <c r="AW56"/>
  <c r="AU56"/>
  <c r="BA56" s="1"/>
  <c r="AT56"/>
  <c r="AZ56" s="1"/>
  <c r="AX55"/>
  <c r="AW55"/>
  <c r="AU55"/>
  <c r="AT55"/>
  <c r="AX54"/>
  <c r="AW54"/>
  <c r="AU54"/>
  <c r="AT54"/>
  <c r="AX53"/>
  <c r="AY53" s="1"/>
  <c r="AW53"/>
  <c r="AU53"/>
  <c r="AT53"/>
  <c r="AZ53" s="1"/>
  <c r="AX52"/>
  <c r="AW52"/>
  <c r="AU52"/>
  <c r="BA52" s="1"/>
  <c r="AT52"/>
  <c r="AZ52" s="1"/>
  <c r="AX51"/>
  <c r="AW51"/>
  <c r="AY51" s="1"/>
  <c r="AU51"/>
  <c r="AT51"/>
  <c r="AX50"/>
  <c r="AW50"/>
  <c r="AU50"/>
  <c r="AT50"/>
  <c r="AX49"/>
  <c r="AW49"/>
  <c r="AU49"/>
  <c r="AT49"/>
  <c r="AZ49" s="1"/>
  <c r="AX48"/>
  <c r="AW48"/>
  <c r="AU48"/>
  <c r="BA48" s="1"/>
  <c r="AT48"/>
  <c r="AZ48" s="1"/>
  <c r="AX47"/>
  <c r="AW47"/>
  <c r="AY47" s="1"/>
  <c r="AU47"/>
  <c r="AT47"/>
  <c r="AX46"/>
  <c r="AW46"/>
  <c r="AU46"/>
  <c r="AT46"/>
  <c r="AX45"/>
  <c r="AW45"/>
  <c r="AU45"/>
  <c r="AT45"/>
  <c r="AX44"/>
  <c r="AW44"/>
  <c r="AU44"/>
  <c r="AT44"/>
  <c r="AZ44" s="1"/>
  <c r="AX43"/>
  <c r="AW43"/>
  <c r="AU43"/>
  <c r="AT43"/>
  <c r="AX42"/>
  <c r="AW42"/>
  <c r="AU42"/>
  <c r="AT42"/>
  <c r="AX41"/>
  <c r="AW41"/>
  <c r="AU41"/>
  <c r="AT41"/>
  <c r="AX40"/>
  <c r="AW40"/>
  <c r="AU40"/>
  <c r="AT40"/>
  <c r="AZ40" s="1"/>
  <c r="AX39"/>
  <c r="AW39"/>
  <c r="AU39"/>
  <c r="AT39"/>
  <c r="AX38"/>
  <c r="AW38"/>
  <c r="AU38"/>
  <c r="AT38"/>
  <c r="AX37"/>
  <c r="AY37" s="1"/>
  <c r="AW37"/>
  <c r="AU37"/>
  <c r="AT37"/>
  <c r="AX36"/>
  <c r="AY36" s="1"/>
  <c r="AW36"/>
  <c r="AU36"/>
  <c r="AT36"/>
  <c r="AZ36" s="1"/>
  <c r="AX35"/>
  <c r="AW35"/>
  <c r="AU35"/>
  <c r="AT35"/>
  <c r="AX34"/>
  <c r="AW34"/>
  <c r="AU34"/>
  <c r="AT34"/>
  <c r="AX33"/>
  <c r="AY33" s="1"/>
  <c r="AW33"/>
  <c r="AU33"/>
  <c r="AT33"/>
  <c r="AX32"/>
  <c r="AW32"/>
  <c r="AU32"/>
  <c r="AT32"/>
  <c r="AZ32" s="1"/>
  <c r="AX31"/>
  <c r="AW31"/>
  <c r="AU31"/>
  <c r="AT31"/>
  <c r="AX30"/>
  <c r="AW30"/>
  <c r="AU30"/>
  <c r="AT30"/>
  <c r="AX29"/>
  <c r="AW29"/>
  <c r="AU29"/>
  <c r="AT29"/>
  <c r="AX28"/>
  <c r="AW28"/>
  <c r="AU28"/>
  <c r="BA28" s="1"/>
  <c r="AT28"/>
  <c r="AZ28" s="1"/>
  <c r="AX27"/>
  <c r="AW27"/>
  <c r="AU27"/>
  <c r="AT27"/>
  <c r="AX26"/>
  <c r="AW26"/>
  <c r="AU26"/>
  <c r="AT26"/>
  <c r="AX25"/>
  <c r="AW25"/>
  <c r="AU25"/>
  <c r="AT25"/>
  <c r="AX24"/>
  <c r="AY24" s="1"/>
  <c r="AW24"/>
  <c r="AU24"/>
  <c r="AT24"/>
  <c r="AZ24" s="1"/>
  <c r="AX23"/>
  <c r="AW23"/>
  <c r="AU23"/>
  <c r="AT23"/>
  <c r="AX22"/>
  <c r="AW22"/>
  <c r="AU22"/>
  <c r="AT22"/>
  <c r="AX21"/>
  <c r="AY21" s="1"/>
  <c r="AW21"/>
  <c r="AU21"/>
  <c r="AT21"/>
  <c r="AZ21" s="1"/>
  <c r="AX20"/>
  <c r="AY20" s="1"/>
  <c r="AW20"/>
  <c r="AU20"/>
  <c r="BA20" s="1"/>
  <c r="AT20"/>
  <c r="AZ20" s="1"/>
  <c r="AX19"/>
  <c r="AW19"/>
  <c r="AU19"/>
  <c r="AT19"/>
  <c r="AX18"/>
  <c r="AW18"/>
  <c r="AU18"/>
  <c r="AT18"/>
  <c r="AX17"/>
  <c r="AY17" s="1"/>
  <c r="AW17"/>
  <c r="AU17"/>
  <c r="AT17"/>
  <c r="AZ17" s="1"/>
  <c r="AX16"/>
  <c r="AW16"/>
  <c r="AU16"/>
  <c r="BA16" s="1"/>
  <c r="AT16"/>
  <c r="AZ16" s="1"/>
  <c r="AX15"/>
  <c r="AW15"/>
  <c r="AU15"/>
  <c r="AT15"/>
  <c r="AX14"/>
  <c r="AW14"/>
  <c r="AU14"/>
  <c r="AT14"/>
  <c r="AX13"/>
  <c r="AW13"/>
  <c r="AU13"/>
  <c r="AT13"/>
  <c r="AZ13" s="1"/>
  <c r="AX12"/>
  <c r="AW12"/>
  <c r="AU12"/>
  <c r="BA12" s="1"/>
  <c r="AT12"/>
  <c r="AZ12" s="1"/>
  <c r="AX11"/>
  <c r="AW11"/>
  <c r="AY11" s="1"/>
  <c r="AU11"/>
  <c r="AT11"/>
  <c r="AX10"/>
  <c r="AW10"/>
  <c r="AU10"/>
  <c r="AT10"/>
  <c r="AX9"/>
  <c r="AW9"/>
  <c r="AU9"/>
  <c r="AT9"/>
  <c r="AX8"/>
  <c r="AW8"/>
  <c r="AU8"/>
  <c r="AT8"/>
  <c r="AZ8" s="1"/>
  <c r="AX7"/>
  <c r="AW7"/>
  <c r="AU7"/>
  <c r="AT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7"/>
  <c r="K48" i="10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9"/>
  <c r="K80"/>
  <c r="K81"/>
  <c r="AT85" i="1"/>
  <c r="AV85" s="1"/>
  <c r="AU85"/>
  <c r="AW85"/>
  <c r="AX85"/>
  <c r="AY85" s="1"/>
  <c r="AT87"/>
  <c r="AU87"/>
  <c r="BA87" s="1"/>
  <c r="BB87" s="1"/>
  <c r="AV87"/>
  <c r="AW87"/>
  <c r="AX87"/>
  <c r="AY87" s="1"/>
  <c r="AZ87"/>
  <c r="AT88"/>
  <c r="AZ88" s="1"/>
  <c r="AU88"/>
  <c r="BA88" s="1"/>
  <c r="AW88"/>
  <c r="AX88"/>
  <c r="AY88"/>
  <c r="AT7"/>
  <c r="AX83"/>
  <c r="AW83"/>
  <c r="AY83" s="1"/>
  <c r="AU83"/>
  <c r="AV83" s="1"/>
  <c r="AT83"/>
  <c r="AZ83" s="1"/>
  <c r="AX82"/>
  <c r="AY82" s="1"/>
  <c r="AW82"/>
  <c r="AU82"/>
  <c r="BA82" s="1"/>
  <c r="AT82"/>
  <c r="AZ82" s="1"/>
  <c r="AY81"/>
  <c r="AX81"/>
  <c r="AW81"/>
  <c r="AU81"/>
  <c r="BA81" s="1"/>
  <c r="BB81" s="1"/>
  <c r="AT81"/>
  <c r="AZ81" s="1"/>
  <c r="AZ80"/>
  <c r="AX80"/>
  <c r="AY80" s="1"/>
  <c r="AW80"/>
  <c r="AV80"/>
  <c r="AU80"/>
  <c r="BA80" s="1"/>
  <c r="BB80" s="1"/>
  <c r="AT80"/>
  <c r="BA79"/>
  <c r="AX79"/>
  <c r="AW79"/>
  <c r="AY79" s="1"/>
  <c r="AU79"/>
  <c r="AV79" s="1"/>
  <c r="AT79"/>
  <c r="AZ79" s="1"/>
  <c r="AX78"/>
  <c r="AY78" s="1"/>
  <c r="AW78"/>
  <c r="AU78"/>
  <c r="BA78" s="1"/>
  <c r="AT78"/>
  <c r="AZ78" s="1"/>
  <c r="AY77"/>
  <c r="AX77"/>
  <c r="AW77"/>
  <c r="AU77"/>
  <c r="BA77" s="1"/>
  <c r="BB77" s="1"/>
  <c r="AT77"/>
  <c r="AZ77" s="1"/>
  <c r="AZ76"/>
  <c r="AX76"/>
  <c r="AY76" s="1"/>
  <c r="AW76"/>
  <c r="AV76"/>
  <c r="AU76"/>
  <c r="BA76" s="1"/>
  <c r="BB76" s="1"/>
  <c r="AT76"/>
  <c r="BA75"/>
  <c r="AX75"/>
  <c r="AW75"/>
  <c r="AY75" s="1"/>
  <c r="AU75"/>
  <c r="AV75" s="1"/>
  <c r="AT75"/>
  <c r="AZ75" s="1"/>
  <c r="AX74"/>
  <c r="AY74" s="1"/>
  <c r="AW74"/>
  <c r="AU74"/>
  <c r="BA74" s="1"/>
  <c r="AT74"/>
  <c r="AZ74" s="1"/>
  <c r="AY73"/>
  <c r="AX73"/>
  <c r="AW73"/>
  <c r="AU73"/>
  <c r="BA73" s="1"/>
  <c r="BB73" s="1"/>
  <c r="AT73"/>
  <c r="AZ73" s="1"/>
  <c r="AZ72"/>
  <c r="AX72"/>
  <c r="AY72" s="1"/>
  <c r="AW72"/>
  <c r="AV72"/>
  <c r="AU72"/>
  <c r="BA72" s="1"/>
  <c r="BB72" s="1"/>
  <c r="AT72"/>
  <c r="BA71"/>
  <c r="AX71"/>
  <c r="AW71"/>
  <c r="AY71" s="1"/>
  <c r="AU71"/>
  <c r="AV71" s="1"/>
  <c r="AT71"/>
  <c r="AZ71" s="1"/>
  <c r="AX70"/>
  <c r="AY70" s="1"/>
  <c r="AW70"/>
  <c r="AU70"/>
  <c r="BA70" s="1"/>
  <c r="AT70"/>
  <c r="AZ70" s="1"/>
  <c r="AY69"/>
  <c r="AX69"/>
  <c r="AW69"/>
  <c r="AU69"/>
  <c r="BA69" s="1"/>
  <c r="BB69" s="1"/>
  <c r="AT69"/>
  <c r="AZ69" s="1"/>
  <c r="AZ68"/>
  <c r="AX68"/>
  <c r="AY68" s="1"/>
  <c r="AW68"/>
  <c r="AV68"/>
  <c r="AU68"/>
  <c r="BA68" s="1"/>
  <c r="BB68" s="1"/>
  <c r="AT68"/>
  <c r="BA67"/>
  <c r="AX67"/>
  <c r="AW67"/>
  <c r="AY67" s="1"/>
  <c r="AU67"/>
  <c r="AV67" s="1"/>
  <c r="AT67"/>
  <c r="AZ67" s="1"/>
  <c r="AX66"/>
  <c r="AY66" s="1"/>
  <c r="AW66"/>
  <c r="AU66"/>
  <c r="BA66" s="1"/>
  <c r="AT66"/>
  <c r="AZ66" s="1"/>
  <c r="AY65"/>
  <c r="AX65"/>
  <c r="AW65"/>
  <c r="AU65"/>
  <c r="BA65" s="1"/>
  <c r="BB65" s="1"/>
  <c r="AT65"/>
  <c r="AZ65" s="1"/>
  <c r="AZ64"/>
  <c r="AX64"/>
  <c r="AY64" s="1"/>
  <c r="AW64"/>
  <c r="AV64"/>
  <c r="AU64"/>
  <c r="BA64" s="1"/>
  <c r="BB64" s="1"/>
  <c r="AT64"/>
  <c r="BA63"/>
  <c r="AX63"/>
  <c r="AW63"/>
  <c r="AY63" s="1"/>
  <c r="AU63"/>
  <c r="AV63" s="1"/>
  <c r="AT63"/>
  <c r="AZ63" s="1"/>
  <c r="AX62"/>
  <c r="AY62" s="1"/>
  <c r="AW62"/>
  <c r="AU62"/>
  <c r="BA62" s="1"/>
  <c r="AT62"/>
  <c r="AZ62" s="1"/>
  <c r="AY61"/>
  <c r="AX61"/>
  <c r="AW61"/>
  <c r="AU61"/>
  <c r="BA61" s="1"/>
  <c r="BB61" s="1"/>
  <c r="AT61"/>
  <c r="AZ61" s="1"/>
  <c r="AZ60"/>
  <c r="AX60"/>
  <c r="AY60" s="1"/>
  <c r="AW60"/>
  <c r="AV60"/>
  <c r="AU60"/>
  <c r="BA60" s="1"/>
  <c r="BB60" s="1"/>
  <c r="AT60"/>
  <c r="BA59"/>
  <c r="AX59"/>
  <c r="AW59"/>
  <c r="AY59" s="1"/>
  <c r="AU59"/>
  <c r="AV59" s="1"/>
  <c r="AT59"/>
  <c r="AZ59" s="1"/>
  <c r="AX58"/>
  <c r="AY58" s="1"/>
  <c r="AW58"/>
  <c r="AU58"/>
  <c r="BA58" s="1"/>
  <c r="AT58"/>
  <c r="AZ58" s="1"/>
  <c r="AY57"/>
  <c r="AX57"/>
  <c r="AW57"/>
  <c r="AU57"/>
  <c r="BA57" s="1"/>
  <c r="BB57" s="1"/>
  <c r="AT57"/>
  <c r="AZ57" s="1"/>
  <c r="AZ56"/>
  <c r="AX56"/>
  <c r="AY56" s="1"/>
  <c r="AW56"/>
  <c r="AV56"/>
  <c r="AU56"/>
  <c r="BA56" s="1"/>
  <c r="BB56" s="1"/>
  <c r="AT56"/>
  <c r="BA55"/>
  <c r="AX55"/>
  <c r="AW55"/>
  <c r="AY55" s="1"/>
  <c r="AU55"/>
  <c r="AV55" s="1"/>
  <c r="AT55"/>
  <c r="AZ55" s="1"/>
  <c r="AX54"/>
  <c r="AY54" s="1"/>
  <c r="AW54"/>
  <c r="AU54"/>
  <c r="BA54" s="1"/>
  <c r="AT54"/>
  <c r="AZ54" s="1"/>
  <c r="AY53"/>
  <c r="AX53"/>
  <c r="AW53"/>
  <c r="AU53"/>
  <c r="BA53" s="1"/>
  <c r="BB53" s="1"/>
  <c r="AT53"/>
  <c r="AZ53" s="1"/>
  <c r="AZ52"/>
  <c r="AX52"/>
  <c r="AY52" s="1"/>
  <c r="AW52"/>
  <c r="AV52"/>
  <c r="AU52"/>
  <c r="BA52" s="1"/>
  <c r="BB52" s="1"/>
  <c r="AT52"/>
  <c r="BA51"/>
  <c r="AX51"/>
  <c r="AW51"/>
  <c r="AY51" s="1"/>
  <c r="AU51"/>
  <c r="AV51" s="1"/>
  <c r="AT51"/>
  <c r="AZ51" s="1"/>
  <c r="AX50"/>
  <c r="AY50" s="1"/>
  <c r="AW50"/>
  <c r="AU50"/>
  <c r="BA50" s="1"/>
  <c r="AT50"/>
  <c r="AZ50" s="1"/>
  <c r="AY49"/>
  <c r="AX49"/>
  <c r="AW49"/>
  <c r="AU49"/>
  <c r="BA49" s="1"/>
  <c r="BB49" s="1"/>
  <c r="AT49"/>
  <c r="AZ49" s="1"/>
  <c r="AZ48"/>
  <c r="AX48"/>
  <c r="AY48" s="1"/>
  <c r="AW48"/>
  <c r="AV48"/>
  <c r="AU48"/>
  <c r="BA48" s="1"/>
  <c r="BB48" s="1"/>
  <c r="AT48"/>
  <c r="BA47"/>
  <c r="AX47"/>
  <c r="AW47"/>
  <c r="AY47" s="1"/>
  <c r="AU47"/>
  <c r="AV47" s="1"/>
  <c r="AT47"/>
  <c r="AZ47" s="1"/>
  <c r="AX46"/>
  <c r="AY46" s="1"/>
  <c r="AW46"/>
  <c r="AU46"/>
  <c r="BA46" s="1"/>
  <c r="AT46"/>
  <c r="AZ46" s="1"/>
  <c r="AY45"/>
  <c r="AX45"/>
  <c r="AW45"/>
  <c r="AU45"/>
  <c r="BA45" s="1"/>
  <c r="BB45" s="1"/>
  <c r="AT45"/>
  <c r="AZ45" s="1"/>
  <c r="AZ44"/>
  <c r="AX44"/>
  <c r="AY44" s="1"/>
  <c r="AW44"/>
  <c r="AV44"/>
  <c r="AU44"/>
  <c r="BA44" s="1"/>
  <c r="BB44" s="1"/>
  <c r="AT44"/>
  <c r="BA43"/>
  <c r="AX43"/>
  <c r="AW43"/>
  <c r="AY43" s="1"/>
  <c r="AU43"/>
  <c r="AV43" s="1"/>
  <c r="AT43"/>
  <c r="AZ43" s="1"/>
  <c r="AX42"/>
  <c r="AY42" s="1"/>
  <c r="AW42"/>
  <c r="AU42"/>
  <c r="BA42" s="1"/>
  <c r="AT42"/>
  <c r="AZ42" s="1"/>
  <c r="AY41"/>
  <c r="AX41"/>
  <c r="AW41"/>
  <c r="AU41"/>
  <c r="BA41" s="1"/>
  <c r="BB41" s="1"/>
  <c r="AT41"/>
  <c r="AZ41" s="1"/>
  <c r="AZ40"/>
  <c r="AX40"/>
  <c r="AY40" s="1"/>
  <c r="AW40"/>
  <c r="AV40"/>
  <c r="AU40"/>
  <c r="BA40" s="1"/>
  <c r="BB40" s="1"/>
  <c r="AT40"/>
  <c r="BA39"/>
  <c r="AX39"/>
  <c r="AW39"/>
  <c r="AY39" s="1"/>
  <c r="AU39"/>
  <c r="AV39" s="1"/>
  <c r="AT39"/>
  <c r="AZ39" s="1"/>
  <c r="AX38"/>
  <c r="AY38" s="1"/>
  <c r="AW38"/>
  <c r="AU38"/>
  <c r="BA38" s="1"/>
  <c r="AT38"/>
  <c r="AZ38" s="1"/>
  <c r="AY37"/>
  <c r="AX37"/>
  <c r="AW37"/>
  <c r="AU37"/>
  <c r="BA37" s="1"/>
  <c r="BB37" s="1"/>
  <c r="AT37"/>
  <c r="AZ37" s="1"/>
  <c r="AZ36"/>
  <c r="AX36"/>
  <c r="AY36" s="1"/>
  <c r="AW36"/>
  <c r="AV36"/>
  <c r="AU36"/>
  <c r="BA36" s="1"/>
  <c r="BB36" s="1"/>
  <c r="AT36"/>
  <c r="BA35"/>
  <c r="AX35"/>
  <c r="AW35"/>
  <c r="AY35" s="1"/>
  <c r="AU35"/>
  <c r="AV35" s="1"/>
  <c r="AT35"/>
  <c r="AZ35" s="1"/>
  <c r="AX34"/>
  <c r="AY34" s="1"/>
  <c r="AW34"/>
  <c r="AU34"/>
  <c r="BA34" s="1"/>
  <c r="AT34"/>
  <c r="AZ34" s="1"/>
  <c r="AY33"/>
  <c r="AX33"/>
  <c r="AW33"/>
  <c r="AU33"/>
  <c r="BA33" s="1"/>
  <c r="BB33" s="1"/>
  <c r="AT33"/>
  <c r="AZ33" s="1"/>
  <c r="AZ32"/>
  <c r="AX32"/>
  <c r="AY32" s="1"/>
  <c r="AW32"/>
  <c r="AV32"/>
  <c r="AU32"/>
  <c r="BA32" s="1"/>
  <c r="BB32" s="1"/>
  <c r="AT32"/>
  <c r="BA31"/>
  <c r="AX31"/>
  <c r="AW31"/>
  <c r="AY31" s="1"/>
  <c r="AU31"/>
  <c r="AV31" s="1"/>
  <c r="AT31"/>
  <c r="AZ31" s="1"/>
  <c r="AX30"/>
  <c r="AY30" s="1"/>
  <c r="AW30"/>
  <c r="AU30"/>
  <c r="BA30" s="1"/>
  <c r="AT30"/>
  <c r="AZ30" s="1"/>
  <c r="AY29"/>
  <c r="AX29"/>
  <c r="AW29"/>
  <c r="AU29"/>
  <c r="BA29" s="1"/>
  <c r="BB29" s="1"/>
  <c r="AT29"/>
  <c r="AZ29" s="1"/>
  <c r="AZ28"/>
  <c r="AX28"/>
  <c r="AY28" s="1"/>
  <c r="AW28"/>
  <c r="AV28"/>
  <c r="AU28"/>
  <c r="BA28" s="1"/>
  <c r="BB28" s="1"/>
  <c r="AT28"/>
  <c r="BA27"/>
  <c r="AX27"/>
  <c r="AW27"/>
  <c r="AY27" s="1"/>
  <c r="AU27"/>
  <c r="AV27" s="1"/>
  <c r="AT27"/>
  <c r="AZ27" s="1"/>
  <c r="AX26"/>
  <c r="AY26" s="1"/>
  <c r="AW26"/>
  <c r="AU26"/>
  <c r="BA26" s="1"/>
  <c r="AT26"/>
  <c r="AZ26" s="1"/>
  <c r="AY25"/>
  <c r="AX25"/>
  <c r="AW25"/>
  <c r="AU25"/>
  <c r="BA25" s="1"/>
  <c r="BB25" s="1"/>
  <c r="AT25"/>
  <c r="AZ25" s="1"/>
  <c r="AZ24"/>
  <c r="AX24"/>
  <c r="AY24" s="1"/>
  <c r="AW24"/>
  <c r="AV24"/>
  <c r="AU24"/>
  <c r="BA24" s="1"/>
  <c r="BB24" s="1"/>
  <c r="AT24"/>
  <c r="BA23"/>
  <c r="AX23"/>
  <c r="AW23"/>
  <c r="AY23" s="1"/>
  <c r="AU23"/>
  <c r="AV23" s="1"/>
  <c r="AT23"/>
  <c r="AZ23" s="1"/>
  <c r="AX22"/>
  <c r="AY22" s="1"/>
  <c r="AW22"/>
  <c r="AU22"/>
  <c r="BA22" s="1"/>
  <c r="AT22"/>
  <c r="AZ22" s="1"/>
  <c r="AY21"/>
  <c r="AX21"/>
  <c r="AW21"/>
  <c r="AU21"/>
  <c r="BA21" s="1"/>
  <c r="BB21" s="1"/>
  <c r="AT21"/>
  <c r="AZ21" s="1"/>
  <c r="AZ20"/>
  <c r="AX20"/>
  <c r="AY20" s="1"/>
  <c r="AW20"/>
  <c r="AV20"/>
  <c r="AU20"/>
  <c r="BA20" s="1"/>
  <c r="BB20" s="1"/>
  <c r="AT20"/>
  <c r="BA19"/>
  <c r="AX19"/>
  <c r="AW19"/>
  <c r="AY19" s="1"/>
  <c r="AU19"/>
  <c r="AV19" s="1"/>
  <c r="AT19"/>
  <c r="AZ19" s="1"/>
  <c r="AX18"/>
  <c r="AY18" s="1"/>
  <c r="AW18"/>
  <c r="AU18"/>
  <c r="BA18" s="1"/>
  <c r="AT18"/>
  <c r="AZ18" s="1"/>
  <c r="AY17"/>
  <c r="AX17"/>
  <c r="AW17"/>
  <c r="AU17"/>
  <c r="BA17" s="1"/>
  <c r="BB17" s="1"/>
  <c r="AT17"/>
  <c r="AZ17" s="1"/>
  <c r="AZ16"/>
  <c r="AX16"/>
  <c r="AY16" s="1"/>
  <c r="AW16"/>
  <c r="AV16"/>
  <c r="AU16"/>
  <c r="BA16" s="1"/>
  <c r="BB16" s="1"/>
  <c r="AT16"/>
  <c r="BA15"/>
  <c r="AX15"/>
  <c r="AW15"/>
  <c r="AY15" s="1"/>
  <c r="AU15"/>
  <c r="AV15" s="1"/>
  <c r="AT15"/>
  <c r="AZ15" s="1"/>
  <c r="AX14"/>
  <c r="AY14" s="1"/>
  <c r="AW14"/>
  <c r="AU14"/>
  <c r="BA14" s="1"/>
  <c r="AT14"/>
  <c r="AZ14" s="1"/>
  <c r="AY13"/>
  <c r="AX13"/>
  <c r="AW13"/>
  <c r="AU13"/>
  <c r="BA13" s="1"/>
  <c r="BB13" s="1"/>
  <c r="AT13"/>
  <c r="AZ13" s="1"/>
  <c r="AZ12"/>
  <c r="AX12"/>
  <c r="AY12" s="1"/>
  <c r="AW12"/>
  <c r="AV12"/>
  <c r="AU12"/>
  <c r="BA12" s="1"/>
  <c r="BB12" s="1"/>
  <c r="AT12"/>
  <c r="BA11"/>
  <c r="AX11"/>
  <c r="AW11"/>
  <c r="AY11" s="1"/>
  <c r="AU11"/>
  <c r="AV11" s="1"/>
  <c r="AT11"/>
  <c r="AZ11" s="1"/>
  <c r="AX10"/>
  <c r="AY10" s="1"/>
  <c r="AW10"/>
  <c r="AU10"/>
  <c r="BA10" s="1"/>
  <c r="AT10"/>
  <c r="AZ10" s="1"/>
  <c r="AY9"/>
  <c r="AX9"/>
  <c r="AW9"/>
  <c r="AU9"/>
  <c r="BA9" s="1"/>
  <c r="BB9" s="1"/>
  <c r="AT9"/>
  <c r="AZ9" s="1"/>
  <c r="AZ8"/>
  <c r="AX8"/>
  <c r="AY8" s="1"/>
  <c r="AW8"/>
  <c r="AV8"/>
  <c r="AU8"/>
  <c r="BA8" s="1"/>
  <c r="BB8" s="1"/>
  <c r="AT8"/>
  <c r="BA7"/>
  <c r="AX7"/>
  <c r="AW7"/>
  <c r="AY7" s="1"/>
  <c r="AU7"/>
  <c r="AV7" s="1"/>
  <c r="AZ7"/>
  <c r="F88"/>
  <c r="F87"/>
  <c r="F85"/>
  <c r="I88"/>
  <c r="I87"/>
  <c r="I85"/>
  <c r="L88"/>
  <c r="L87"/>
  <c r="L85"/>
  <c r="O88"/>
  <c r="O87"/>
  <c r="O85"/>
  <c r="R88"/>
  <c r="R87"/>
  <c r="R85"/>
  <c r="U88"/>
  <c r="U87"/>
  <c r="U85"/>
  <c r="X88"/>
  <c r="X87"/>
  <c r="X85"/>
  <c r="AA88"/>
  <c r="AA87"/>
  <c r="AA85"/>
  <c r="AD88"/>
  <c r="AD87"/>
  <c r="AD85"/>
  <c r="AG88"/>
  <c r="AG87"/>
  <c r="AG85"/>
  <c r="AJ88"/>
  <c r="AJ87"/>
  <c r="AJ85"/>
  <c r="AM88"/>
  <c r="AM87"/>
  <c r="AM85"/>
  <c r="AP88"/>
  <c r="AP87"/>
  <c r="AP85"/>
  <c r="AS88"/>
  <c r="AS87"/>
  <c r="AS85"/>
  <c r="AS83"/>
  <c r="AS82"/>
  <c r="AS81"/>
  <c r="AS80"/>
  <c r="AS79"/>
  <c r="AS78"/>
  <c r="AS77"/>
  <c r="AS76"/>
  <c r="AS75"/>
  <c r="AS74"/>
  <c r="AS73"/>
  <c r="AS72"/>
  <c r="AS71"/>
  <c r="AS70"/>
  <c r="AS69"/>
  <c r="AS68"/>
  <c r="AS67"/>
  <c r="AS66"/>
  <c r="AS65"/>
  <c r="AS64"/>
  <c r="AS63"/>
  <c r="AS62"/>
  <c r="AS61"/>
  <c r="AS60"/>
  <c r="AS59"/>
  <c r="AS58"/>
  <c r="AS57"/>
  <c r="AS56"/>
  <c r="AS55"/>
  <c r="AS54"/>
  <c r="AS53"/>
  <c r="AS52"/>
  <c r="AS51"/>
  <c r="AS50"/>
  <c r="AS49"/>
  <c r="AS48"/>
  <c r="AS47"/>
  <c r="AS46"/>
  <c r="AS45"/>
  <c r="AS44"/>
  <c r="AS43"/>
  <c r="AS42"/>
  <c r="AS41"/>
  <c r="AS40"/>
  <c r="AS39"/>
  <c r="AS38"/>
  <c r="AS37"/>
  <c r="AS36"/>
  <c r="AS35"/>
  <c r="AS34"/>
  <c r="AS33"/>
  <c r="AS32"/>
  <c r="AS31"/>
  <c r="AS30"/>
  <c r="AS29"/>
  <c r="AS28"/>
  <c r="AS27"/>
  <c r="AS26"/>
  <c r="AS25"/>
  <c r="AS24"/>
  <c r="AS23"/>
  <c r="AS22"/>
  <c r="AS21"/>
  <c r="AS20"/>
  <c r="AS19"/>
  <c r="AS18"/>
  <c r="AS17"/>
  <c r="AS16"/>
  <c r="AS15"/>
  <c r="AS14"/>
  <c r="AS13"/>
  <c r="AS12"/>
  <c r="AS11"/>
  <c r="AS10"/>
  <c r="AS9"/>
  <c r="AS8"/>
  <c r="AS7"/>
  <c r="AP83"/>
  <c r="AP82"/>
  <c r="AP81"/>
  <c r="AP80"/>
  <c r="AP79"/>
  <c r="AP78"/>
  <c r="AP77"/>
  <c r="AP76"/>
  <c r="AP75"/>
  <c r="AP74"/>
  <c r="AP73"/>
  <c r="AP72"/>
  <c r="AP71"/>
  <c r="AP70"/>
  <c r="AP69"/>
  <c r="AP68"/>
  <c r="AP67"/>
  <c r="AP66"/>
  <c r="AP65"/>
  <c r="AP64"/>
  <c r="AP63"/>
  <c r="AP62"/>
  <c r="AP61"/>
  <c r="AP60"/>
  <c r="AP59"/>
  <c r="AP58"/>
  <c r="AP57"/>
  <c r="AP56"/>
  <c r="AP55"/>
  <c r="AP54"/>
  <c r="AP53"/>
  <c r="AP52"/>
  <c r="AP51"/>
  <c r="AP50"/>
  <c r="AP49"/>
  <c r="AP48"/>
  <c r="AP47"/>
  <c r="AP46"/>
  <c r="AP45"/>
  <c r="AP44"/>
  <c r="AP43"/>
  <c r="AP42"/>
  <c r="AP41"/>
  <c r="AP40"/>
  <c r="AP39"/>
  <c r="AP38"/>
  <c r="AP37"/>
  <c r="AP36"/>
  <c r="AP35"/>
  <c r="AP34"/>
  <c r="AP33"/>
  <c r="AP32"/>
  <c r="AP31"/>
  <c r="AP30"/>
  <c r="AP29"/>
  <c r="AP28"/>
  <c r="AP27"/>
  <c r="AP26"/>
  <c r="AP25"/>
  <c r="AP24"/>
  <c r="AP23"/>
  <c r="AP22"/>
  <c r="AP21"/>
  <c r="AP20"/>
  <c r="AP19"/>
  <c r="AP18"/>
  <c r="AP17"/>
  <c r="AP16"/>
  <c r="AP15"/>
  <c r="AP14"/>
  <c r="AP13"/>
  <c r="AP12"/>
  <c r="AP11"/>
  <c r="AP10"/>
  <c r="AP9"/>
  <c r="AP8"/>
  <c r="AP7"/>
  <c r="AM83"/>
  <c r="AM82"/>
  <c r="AM81"/>
  <c r="AM80"/>
  <c r="AM79"/>
  <c r="AM78"/>
  <c r="AM77"/>
  <c r="AM76"/>
  <c r="AM75"/>
  <c r="AM74"/>
  <c r="AM73"/>
  <c r="AM72"/>
  <c r="AM71"/>
  <c r="AM70"/>
  <c r="AM69"/>
  <c r="AM68"/>
  <c r="AM67"/>
  <c r="AM66"/>
  <c r="AM65"/>
  <c r="AM64"/>
  <c r="AM63"/>
  <c r="AM62"/>
  <c r="AM61"/>
  <c r="AM60"/>
  <c r="AM59"/>
  <c r="AM58"/>
  <c r="AM57"/>
  <c r="AM56"/>
  <c r="AM55"/>
  <c r="AM54"/>
  <c r="AM53"/>
  <c r="AM52"/>
  <c r="AM51"/>
  <c r="AM50"/>
  <c r="AM49"/>
  <c r="AM48"/>
  <c r="AM47"/>
  <c r="AM46"/>
  <c r="AM45"/>
  <c r="AM44"/>
  <c r="AM43"/>
  <c r="AM42"/>
  <c r="AM41"/>
  <c r="AM40"/>
  <c r="AM39"/>
  <c r="AM38"/>
  <c r="AM37"/>
  <c r="AM36"/>
  <c r="AM35"/>
  <c r="AM34"/>
  <c r="AM33"/>
  <c r="AM32"/>
  <c r="AM31"/>
  <c r="AM30"/>
  <c r="AM29"/>
  <c r="AM28"/>
  <c r="AM27"/>
  <c r="AM26"/>
  <c r="AM25"/>
  <c r="AM24"/>
  <c r="AM23"/>
  <c r="AM22"/>
  <c r="AM21"/>
  <c r="AM20"/>
  <c r="AM19"/>
  <c r="AM18"/>
  <c r="AM17"/>
  <c r="AM16"/>
  <c r="AM15"/>
  <c r="AM14"/>
  <c r="AM13"/>
  <c r="AM12"/>
  <c r="AM11"/>
  <c r="AM10"/>
  <c r="AM9"/>
  <c r="AM8"/>
  <c r="AM7"/>
  <c r="AJ83"/>
  <c r="AJ82"/>
  <c r="AJ81"/>
  <c r="AJ80"/>
  <c r="AJ79"/>
  <c r="AJ78"/>
  <c r="AJ77"/>
  <c r="AJ76"/>
  <c r="AJ75"/>
  <c r="AJ74"/>
  <c r="AJ73"/>
  <c r="AJ72"/>
  <c r="AJ71"/>
  <c r="AJ70"/>
  <c r="AJ69"/>
  <c r="AJ68"/>
  <c r="AJ67"/>
  <c r="AJ66"/>
  <c r="AJ65"/>
  <c r="AJ64"/>
  <c r="AJ63"/>
  <c r="AJ62"/>
  <c r="AJ61"/>
  <c r="AJ60"/>
  <c r="AJ59"/>
  <c r="AJ58"/>
  <c r="AJ57"/>
  <c r="AJ56"/>
  <c r="AJ55"/>
  <c r="AJ54"/>
  <c r="AJ53"/>
  <c r="AJ52"/>
  <c r="AJ51"/>
  <c r="AJ50"/>
  <c r="AJ49"/>
  <c r="AJ48"/>
  <c r="AJ47"/>
  <c r="AJ46"/>
  <c r="AJ45"/>
  <c r="AJ44"/>
  <c r="AJ43"/>
  <c r="AJ42"/>
  <c r="AJ41"/>
  <c r="AJ40"/>
  <c r="AJ39"/>
  <c r="AJ38"/>
  <c r="AJ37"/>
  <c r="AJ36"/>
  <c r="AJ35"/>
  <c r="AJ34"/>
  <c r="AJ33"/>
  <c r="AJ32"/>
  <c r="AJ31"/>
  <c r="AJ30"/>
  <c r="AJ29"/>
  <c r="AJ28"/>
  <c r="AJ27"/>
  <c r="AJ26"/>
  <c r="AJ25"/>
  <c r="AJ24"/>
  <c r="AJ23"/>
  <c r="AJ22"/>
  <c r="AJ21"/>
  <c r="AJ20"/>
  <c r="AJ19"/>
  <c r="AJ18"/>
  <c r="AJ17"/>
  <c r="AJ16"/>
  <c r="AJ15"/>
  <c r="AJ14"/>
  <c r="AJ13"/>
  <c r="AJ12"/>
  <c r="AJ11"/>
  <c r="AJ10"/>
  <c r="AJ9"/>
  <c r="AJ8"/>
  <c r="AJ7"/>
  <c r="AG83"/>
  <c r="AG82"/>
  <c r="AG81"/>
  <c r="AG80"/>
  <c r="AG79"/>
  <c r="AG78"/>
  <c r="AG77"/>
  <c r="AG76"/>
  <c r="AG75"/>
  <c r="AG74"/>
  <c r="AG73"/>
  <c r="AG72"/>
  <c r="AG71"/>
  <c r="AG70"/>
  <c r="AG69"/>
  <c r="AG68"/>
  <c r="AG67"/>
  <c r="AG66"/>
  <c r="AG65"/>
  <c r="AG64"/>
  <c r="AG63"/>
  <c r="AG62"/>
  <c r="AG61"/>
  <c r="AG60"/>
  <c r="AG59"/>
  <c r="AG58"/>
  <c r="AG57"/>
  <c r="AG56"/>
  <c r="AG55"/>
  <c r="AG54"/>
  <c r="AG53"/>
  <c r="AG52"/>
  <c r="AG51"/>
  <c r="AG50"/>
  <c r="AG49"/>
  <c r="AG48"/>
  <c r="AG47"/>
  <c r="AG46"/>
  <c r="AG45"/>
  <c r="AG44"/>
  <c r="AG43"/>
  <c r="AG42"/>
  <c r="AG41"/>
  <c r="AG40"/>
  <c r="AG39"/>
  <c r="AG38"/>
  <c r="AG37"/>
  <c r="AG36"/>
  <c r="AG35"/>
  <c r="AG34"/>
  <c r="AG33"/>
  <c r="AG32"/>
  <c r="AG31"/>
  <c r="AG30"/>
  <c r="AG29"/>
  <c r="AG28"/>
  <c r="AG27"/>
  <c r="AG26"/>
  <c r="AG25"/>
  <c r="AG24"/>
  <c r="AG23"/>
  <c r="AG22"/>
  <c r="AG21"/>
  <c r="AG20"/>
  <c r="AG19"/>
  <c r="AG18"/>
  <c r="AG17"/>
  <c r="AG16"/>
  <c r="AG15"/>
  <c r="AG14"/>
  <c r="AG13"/>
  <c r="AG12"/>
  <c r="AG11"/>
  <c r="AG10"/>
  <c r="AG9"/>
  <c r="AG8"/>
  <c r="AG7"/>
  <c r="AD83"/>
  <c r="AD82"/>
  <c r="AD81"/>
  <c r="AD80"/>
  <c r="AD79"/>
  <c r="AD78"/>
  <c r="AD77"/>
  <c r="AD76"/>
  <c r="AD75"/>
  <c r="AD74"/>
  <c r="AD73"/>
  <c r="AD72"/>
  <c r="AD71"/>
  <c r="AD70"/>
  <c r="AD69"/>
  <c r="AD68"/>
  <c r="AD67"/>
  <c r="AD66"/>
  <c r="AD65"/>
  <c r="AD64"/>
  <c r="AD63"/>
  <c r="AD62"/>
  <c r="AD61"/>
  <c r="AD60"/>
  <c r="AD59"/>
  <c r="AD58"/>
  <c r="AD57"/>
  <c r="AD56"/>
  <c r="AD55"/>
  <c r="AD54"/>
  <c r="AD53"/>
  <c r="AD52"/>
  <c r="AD51"/>
  <c r="AD50"/>
  <c r="AD49"/>
  <c r="AD48"/>
  <c r="AD47"/>
  <c r="AD46"/>
  <c r="AD45"/>
  <c r="AD44"/>
  <c r="AD43"/>
  <c r="AD42"/>
  <c r="AD41"/>
  <c r="AD40"/>
  <c r="AD39"/>
  <c r="AD38"/>
  <c r="AD37"/>
  <c r="AD36"/>
  <c r="AD35"/>
  <c r="AD34"/>
  <c r="AD33"/>
  <c r="AD32"/>
  <c r="AD31"/>
  <c r="AD30"/>
  <c r="AD29"/>
  <c r="AD28"/>
  <c r="AD27"/>
  <c r="AD26"/>
  <c r="AD25"/>
  <c r="AD24"/>
  <c r="AD23"/>
  <c r="AD22"/>
  <c r="AD21"/>
  <c r="AD20"/>
  <c r="AD19"/>
  <c r="AD18"/>
  <c r="AD17"/>
  <c r="AD16"/>
  <c r="AD15"/>
  <c r="AD14"/>
  <c r="AD13"/>
  <c r="AD12"/>
  <c r="AD11"/>
  <c r="AD10"/>
  <c r="AD9"/>
  <c r="AD8"/>
  <c r="AD7"/>
  <c r="AA83"/>
  <c r="AA82"/>
  <c r="AA81"/>
  <c r="AA80"/>
  <c r="AA79"/>
  <c r="AA78"/>
  <c r="AA77"/>
  <c r="AA76"/>
  <c r="AA75"/>
  <c r="AA74"/>
  <c r="AA73"/>
  <c r="AA72"/>
  <c r="AA71"/>
  <c r="AA70"/>
  <c r="AA69"/>
  <c r="AA68"/>
  <c r="AA67"/>
  <c r="AA66"/>
  <c r="AA65"/>
  <c r="AA64"/>
  <c r="AA63"/>
  <c r="AA62"/>
  <c r="AA61"/>
  <c r="AA60"/>
  <c r="AA59"/>
  <c r="AA58"/>
  <c r="AA57"/>
  <c r="AA56"/>
  <c r="AA55"/>
  <c r="AA54"/>
  <c r="AA53"/>
  <c r="AA52"/>
  <c r="AA51"/>
  <c r="AA50"/>
  <c r="AA49"/>
  <c r="AA48"/>
  <c r="AA47"/>
  <c r="AA46"/>
  <c r="AA45"/>
  <c r="AA44"/>
  <c r="AA43"/>
  <c r="AA42"/>
  <c r="AA41"/>
  <c r="AA40"/>
  <c r="AA39"/>
  <c r="AA38"/>
  <c r="AA37"/>
  <c r="AA36"/>
  <c r="AA35"/>
  <c r="AA34"/>
  <c r="AA33"/>
  <c r="AA32"/>
  <c r="AA31"/>
  <c r="AA30"/>
  <c r="AA29"/>
  <c r="AA28"/>
  <c r="AA27"/>
  <c r="AA26"/>
  <c r="AA25"/>
  <c r="AA24"/>
  <c r="AA23"/>
  <c r="AA22"/>
  <c r="AA21"/>
  <c r="AA20"/>
  <c r="AA19"/>
  <c r="AA18"/>
  <c r="AA17"/>
  <c r="AA16"/>
  <c r="AA15"/>
  <c r="AA14"/>
  <c r="AA13"/>
  <c r="AA12"/>
  <c r="AA11"/>
  <c r="AA10"/>
  <c r="AA9"/>
  <c r="AA8"/>
  <c r="AA7"/>
  <c r="X83"/>
  <c r="X82"/>
  <c r="X81"/>
  <c r="X80"/>
  <c r="X79"/>
  <c r="X78"/>
  <c r="X77"/>
  <c r="X76"/>
  <c r="X75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47"/>
  <c r="X46"/>
  <c r="X45"/>
  <c r="X44"/>
  <c r="X43"/>
  <c r="X42"/>
  <c r="X41"/>
  <c r="X40"/>
  <c r="X39"/>
  <c r="X38"/>
  <c r="X37"/>
  <c r="X36"/>
  <c r="X35"/>
  <c r="X34"/>
  <c r="X33"/>
  <c r="X32"/>
  <c r="X31"/>
  <c r="X30"/>
  <c r="X29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10"/>
  <c r="X9"/>
  <c r="X8"/>
  <c r="X7"/>
  <c r="U83"/>
  <c r="U82"/>
  <c r="U81"/>
  <c r="U80"/>
  <c r="U79"/>
  <c r="U78"/>
  <c r="U77"/>
  <c r="U76"/>
  <c r="U75"/>
  <c r="U74"/>
  <c r="U73"/>
  <c r="U72"/>
  <c r="U71"/>
  <c r="U70"/>
  <c r="U69"/>
  <c r="U68"/>
  <c r="U67"/>
  <c r="U66"/>
  <c r="U65"/>
  <c r="U64"/>
  <c r="U63"/>
  <c r="U62"/>
  <c r="U61"/>
  <c r="U60"/>
  <c r="U59"/>
  <c r="U58"/>
  <c r="U57"/>
  <c r="U56"/>
  <c r="U55"/>
  <c r="U54"/>
  <c r="U53"/>
  <c r="U52"/>
  <c r="U51"/>
  <c r="U50"/>
  <c r="U49"/>
  <c r="U48"/>
  <c r="U47"/>
  <c r="U46"/>
  <c r="U45"/>
  <c r="U44"/>
  <c r="U43"/>
  <c r="U42"/>
  <c r="U41"/>
  <c r="U40"/>
  <c r="U39"/>
  <c r="U38"/>
  <c r="U37"/>
  <c r="U36"/>
  <c r="U35"/>
  <c r="U34"/>
  <c r="U33"/>
  <c r="U32"/>
  <c r="U31"/>
  <c r="U30"/>
  <c r="U29"/>
  <c r="U28"/>
  <c r="U27"/>
  <c r="U26"/>
  <c r="U25"/>
  <c r="U24"/>
  <c r="U23"/>
  <c r="U22"/>
  <c r="U21"/>
  <c r="U20"/>
  <c r="U19"/>
  <c r="U18"/>
  <c r="U17"/>
  <c r="U16"/>
  <c r="U15"/>
  <c r="U14"/>
  <c r="U13"/>
  <c r="U12"/>
  <c r="U11"/>
  <c r="U10"/>
  <c r="U9"/>
  <c r="U8"/>
  <c r="U7"/>
  <c r="R83"/>
  <c r="R82"/>
  <c r="R81"/>
  <c r="R80"/>
  <c r="R79"/>
  <c r="R78"/>
  <c r="R77"/>
  <c r="R76"/>
  <c r="R75"/>
  <c r="R74"/>
  <c r="R73"/>
  <c r="R72"/>
  <c r="R71"/>
  <c r="R70"/>
  <c r="R69"/>
  <c r="R68"/>
  <c r="R67"/>
  <c r="R66"/>
  <c r="R65"/>
  <c r="R64"/>
  <c r="R63"/>
  <c r="R62"/>
  <c r="R61"/>
  <c r="R60"/>
  <c r="R59"/>
  <c r="R58"/>
  <c r="R57"/>
  <c r="R56"/>
  <c r="R55"/>
  <c r="R54"/>
  <c r="R53"/>
  <c r="R52"/>
  <c r="R51"/>
  <c r="R50"/>
  <c r="R49"/>
  <c r="R48"/>
  <c r="R47"/>
  <c r="R46"/>
  <c r="R45"/>
  <c r="R44"/>
  <c r="R43"/>
  <c r="R42"/>
  <c r="R41"/>
  <c r="R40"/>
  <c r="R39"/>
  <c r="R38"/>
  <c r="R37"/>
  <c r="R36"/>
  <c r="R35"/>
  <c r="R34"/>
  <c r="R33"/>
  <c r="R32"/>
  <c r="R31"/>
  <c r="R30"/>
  <c r="R29"/>
  <c r="R28"/>
  <c r="R27"/>
  <c r="R26"/>
  <c r="R25"/>
  <c r="R24"/>
  <c r="R23"/>
  <c r="R22"/>
  <c r="R21"/>
  <c r="R20"/>
  <c r="R19"/>
  <c r="R18"/>
  <c r="R17"/>
  <c r="R16"/>
  <c r="R15"/>
  <c r="R14"/>
  <c r="R13"/>
  <c r="R12"/>
  <c r="R11"/>
  <c r="R10"/>
  <c r="R9"/>
  <c r="R8"/>
  <c r="R7"/>
  <c r="O83"/>
  <c r="O82"/>
  <c r="O81"/>
  <c r="O80"/>
  <c r="O79"/>
  <c r="O78"/>
  <c r="O77"/>
  <c r="O76"/>
  <c r="O75"/>
  <c r="O74"/>
  <c r="O73"/>
  <c r="O72"/>
  <c r="O71"/>
  <c r="O70"/>
  <c r="O69"/>
  <c r="O68"/>
  <c r="O67"/>
  <c r="O66"/>
  <c r="O65"/>
  <c r="O64"/>
  <c r="O63"/>
  <c r="O62"/>
  <c r="O61"/>
  <c r="O60"/>
  <c r="O59"/>
  <c r="O58"/>
  <c r="O57"/>
  <c r="O56"/>
  <c r="O55"/>
  <c r="O54"/>
  <c r="O53"/>
  <c r="O52"/>
  <c r="O51"/>
  <c r="O50"/>
  <c r="O49"/>
  <c r="O48"/>
  <c r="O47"/>
  <c r="O46"/>
  <c r="O45"/>
  <c r="O44"/>
  <c r="O43"/>
  <c r="O42"/>
  <c r="O41"/>
  <c r="O40"/>
  <c r="O39"/>
  <c r="O38"/>
  <c r="O37"/>
  <c r="O36"/>
  <c r="O35"/>
  <c r="O34"/>
  <c r="O33"/>
  <c r="O32"/>
  <c r="O31"/>
  <c r="O30"/>
  <c r="O29"/>
  <c r="O28"/>
  <c r="O27"/>
  <c r="O26"/>
  <c r="O25"/>
  <c r="O24"/>
  <c r="O23"/>
  <c r="O22"/>
  <c r="O21"/>
  <c r="O20"/>
  <c r="O19"/>
  <c r="O18"/>
  <c r="O17"/>
  <c r="O16"/>
  <c r="O15"/>
  <c r="O14"/>
  <c r="O13"/>
  <c r="O12"/>
  <c r="O11"/>
  <c r="O10"/>
  <c r="O9"/>
  <c r="O8"/>
  <c r="O7"/>
  <c r="L83"/>
  <c r="L82"/>
  <c r="L81"/>
  <c r="L80"/>
  <c r="L79"/>
  <c r="L78"/>
  <c r="L77"/>
  <c r="L76"/>
  <c r="L75"/>
  <c r="L74"/>
  <c r="L73"/>
  <c r="L72"/>
  <c r="L71"/>
  <c r="L70"/>
  <c r="L69"/>
  <c r="L68"/>
  <c r="L67"/>
  <c r="L66"/>
  <c r="L65"/>
  <c r="L64"/>
  <c r="L63"/>
  <c r="L62"/>
  <c r="L61"/>
  <c r="L60"/>
  <c r="L59"/>
  <c r="L58"/>
  <c r="L57"/>
  <c r="L56"/>
  <c r="L55"/>
  <c r="L54"/>
  <c r="L53"/>
  <c r="L52"/>
  <c r="L51"/>
  <c r="L50"/>
  <c r="L49"/>
  <c r="L48"/>
  <c r="L47"/>
  <c r="L46"/>
  <c r="L45"/>
  <c r="L44"/>
  <c r="L43"/>
  <c r="L42"/>
  <c r="L41"/>
  <c r="L40"/>
  <c r="L39"/>
  <c r="L38"/>
  <c r="L37"/>
  <c r="L36"/>
  <c r="L35"/>
  <c r="L34"/>
  <c r="L33"/>
  <c r="L32"/>
  <c r="L31"/>
  <c r="L30"/>
  <c r="L29"/>
  <c r="L28"/>
  <c r="L27"/>
  <c r="L26"/>
  <c r="L25"/>
  <c r="L24"/>
  <c r="L23"/>
  <c r="L22"/>
  <c r="L21"/>
  <c r="L20"/>
  <c r="L19"/>
  <c r="L18"/>
  <c r="L17"/>
  <c r="L16"/>
  <c r="L15"/>
  <c r="L14"/>
  <c r="L13"/>
  <c r="L12"/>
  <c r="L11"/>
  <c r="L10"/>
  <c r="L9"/>
  <c r="L8"/>
  <c r="L7"/>
  <c r="I83"/>
  <c r="I82"/>
  <c r="I81"/>
  <c r="I80"/>
  <c r="I79"/>
  <c r="I78"/>
  <c r="I77"/>
  <c r="I76"/>
  <c r="I75"/>
  <c r="I74"/>
  <c r="I73"/>
  <c r="I72"/>
  <c r="I7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2"/>
  <c r="I41"/>
  <c r="I40"/>
  <c r="I39"/>
  <c r="I38"/>
  <c r="I37"/>
  <c r="I36"/>
  <c r="I35"/>
  <c r="I34"/>
  <c r="I33"/>
  <c r="I32"/>
  <c r="I31"/>
  <c r="I30"/>
  <c r="I29"/>
  <c r="I28"/>
  <c r="I27"/>
  <c r="I26"/>
  <c r="I25"/>
  <c r="I24"/>
  <c r="I23"/>
  <c r="I22"/>
  <c r="I21"/>
  <c r="I20"/>
  <c r="I19"/>
  <c r="I18"/>
  <c r="I17"/>
  <c r="I16"/>
  <c r="I15"/>
  <c r="I14"/>
  <c r="I13"/>
  <c r="I12"/>
  <c r="I11"/>
  <c r="I10"/>
  <c r="I9"/>
  <c r="I8"/>
  <c r="I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7"/>
  <c r="AX7" i="6"/>
  <c r="AW7"/>
  <c r="AU7"/>
  <c r="AX83" i="4"/>
  <c r="AW83"/>
  <c r="AU83"/>
  <c r="AV83" s="1"/>
  <c r="AT83"/>
  <c r="AZ83" s="1"/>
  <c r="AX82"/>
  <c r="AY82" s="1"/>
  <c r="AW82"/>
  <c r="AU82"/>
  <c r="AT82"/>
  <c r="AZ82" s="1"/>
  <c r="AY81"/>
  <c r="AX81"/>
  <c r="AW81"/>
  <c r="AU81"/>
  <c r="BA81" s="1"/>
  <c r="BB81" s="1"/>
  <c r="AT81"/>
  <c r="AZ81" s="1"/>
  <c r="AX80"/>
  <c r="AY80" s="1"/>
  <c r="AW80"/>
  <c r="AU80"/>
  <c r="BA80" s="1"/>
  <c r="BB80" s="1"/>
  <c r="AT80"/>
  <c r="AZ80" s="1"/>
  <c r="AX79"/>
  <c r="AW79"/>
  <c r="AU79"/>
  <c r="AV79" s="1"/>
  <c r="AT79"/>
  <c r="AZ79" s="1"/>
  <c r="AX78"/>
  <c r="AY78" s="1"/>
  <c r="AW78"/>
  <c r="AU78"/>
  <c r="BA78" s="1"/>
  <c r="BB78" s="1"/>
  <c r="AT78"/>
  <c r="AZ78" s="1"/>
  <c r="AX77"/>
  <c r="AY77" s="1"/>
  <c r="AW77"/>
  <c r="AU77"/>
  <c r="AT77"/>
  <c r="AZ77" s="1"/>
  <c r="AX76"/>
  <c r="AY76" s="1"/>
  <c r="AW76"/>
  <c r="AU76"/>
  <c r="AT76"/>
  <c r="AZ76" s="1"/>
  <c r="AX75"/>
  <c r="AW75"/>
  <c r="AU75"/>
  <c r="AV75" s="1"/>
  <c r="AT75"/>
  <c r="AZ75" s="1"/>
  <c r="AX74"/>
  <c r="AY74" s="1"/>
  <c r="AW74"/>
  <c r="AU74"/>
  <c r="AT74"/>
  <c r="AZ74" s="1"/>
  <c r="AX73"/>
  <c r="AY73" s="1"/>
  <c r="AW73"/>
  <c r="AU73"/>
  <c r="AT73"/>
  <c r="AZ73" s="1"/>
  <c r="AX72"/>
  <c r="AY72" s="1"/>
  <c r="AW72"/>
  <c r="AU72"/>
  <c r="AT72"/>
  <c r="AZ72" s="1"/>
  <c r="AX71"/>
  <c r="AW71"/>
  <c r="AU71"/>
  <c r="AV71" s="1"/>
  <c r="AT71"/>
  <c r="AZ71" s="1"/>
  <c r="AX70"/>
  <c r="AY70" s="1"/>
  <c r="AW70"/>
  <c r="AU70"/>
  <c r="AT70"/>
  <c r="AZ70" s="1"/>
  <c r="AY69"/>
  <c r="AX69"/>
  <c r="AW69"/>
  <c r="AU69"/>
  <c r="AT69"/>
  <c r="AZ69" s="1"/>
  <c r="AX68"/>
  <c r="AY68" s="1"/>
  <c r="AW68"/>
  <c r="AU68"/>
  <c r="BA68" s="1"/>
  <c r="AT68"/>
  <c r="AZ68" s="1"/>
  <c r="AX67"/>
  <c r="AW67"/>
  <c r="AU67"/>
  <c r="AV67" s="1"/>
  <c r="AT67"/>
  <c r="AZ67" s="1"/>
  <c r="AX66"/>
  <c r="AY66" s="1"/>
  <c r="AW66"/>
  <c r="AU66"/>
  <c r="BA66" s="1"/>
  <c r="AT66"/>
  <c r="AZ66" s="1"/>
  <c r="AX65"/>
  <c r="AY65" s="1"/>
  <c r="AW65"/>
  <c r="AU65"/>
  <c r="AT65"/>
  <c r="AZ65" s="1"/>
  <c r="AX64"/>
  <c r="AY64" s="1"/>
  <c r="AW64"/>
  <c r="AU64"/>
  <c r="AT64"/>
  <c r="AZ64" s="1"/>
  <c r="AX63"/>
  <c r="AW63"/>
  <c r="AU63"/>
  <c r="AV63" s="1"/>
  <c r="AT63"/>
  <c r="AZ63" s="1"/>
  <c r="AX62"/>
  <c r="AY62" s="1"/>
  <c r="AW62"/>
  <c r="AU62"/>
  <c r="AT62"/>
  <c r="AZ62" s="1"/>
  <c r="AX61"/>
  <c r="AY61" s="1"/>
  <c r="AW61"/>
  <c r="AU61"/>
  <c r="AT61"/>
  <c r="AZ61" s="1"/>
  <c r="AX60"/>
  <c r="AY60" s="1"/>
  <c r="AW60"/>
  <c r="AU60"/>
  <c r="AT60"/>
  <c r="AZ60" s="1"/>
  <c r="AX59"/>
  <c r="AW59"/>
  <c r="AU59"/>
  <c r="AV59" s="1"/>
  <c r="AT59"/>
  <c r="AZ59" s="1"/>
  <c r="AX58"/>
  <c r="AY58" s="1"/>
  <c r="AW58"/>
  <c r="AU58"/>
  <c r="AT58"/>
  <c r="AZ58" s="1"/>
  <c r="AX57"/>
  <c r="AW57"/>
  <c r="AU57"/>
  <c r="AT57"/>
  <c r="AZ57" s="1"/>
  <c r="AX56"/>
  <c r="AY56" s="1"/>
  <c r="AW56"/>
  <c r="AU56"/>
  <c r="AT56"/>
  <c r="AZ56" s="1"/>
  <c r="AX55"/>
  <c r="AW55"/>
  <c r="AU55"/>
  <c r="AV55" s="1"/>
  <c r="AT55"/>
  <c r="AZ55" s="1"/>
  <c r="AX54"/>
  <c r="AY54" s="1"/>
  <c r="AW54"/>
  <c r="AU54"/>
  <c r="AT54"/>
  <c r="AZ54" s="1"/>
  <c r="AY53"/>
  <c r="AX53"/>
  <c r="AW53"/>
  <c r="AU53"/>
  <c r="AT53"/>
  <c r="AZ53" s="1"/>
  <c r="AX52"/>
  <c r="AY52" s="1"/>
  <c r="AW52"/>
  <c r="AU52"/>
  <c r="AT52"/>
  <c r="AZ52" s="1"/>
  <c r="AX51"/>
  <c r="AW51"/>
  <c r="AU51"/>
  <c r="AV51" s="1"/>
  <c r="AT51"/>
  <c r="AZ51" s="1"/>
  <c r="AX50"/>
  <c r="AY50" s="1"/>
  <c r="AW50"/>
  <c r="AU50"/>
  <c r="AT50"/>
  <c r="AZ50" s="1"/>
  <c r="AX49"/>
  <c r="AY49" s="1"/>
  <c r="AW49"/>
  <c r="AU49"/>
  <c r="BA49" s="1"/>
  <c r="AT49"/>
  <c r="AZ49" s="1"/>
  <c r="AX48"/>
  <c r="AY48" s="1"/>
  <c r="AW48"/>
  <c r="AU48"/>
  <c r="BA48" s="1"/>
  <c r="AT48"/>
  <c r="AZ48" s="1"/>
  <c r="AX47"/>
  <c r="AW47"/>
  <c r="AU47"/>
  <c r="AV47" s="1"/>
  <c r="AT47"/>
  <c r="AZ47" s="1"/>
  <c r="AX46"/>
  <c r="AY46" s="1"/>
  <c r="AW46"/>
  <c r="AU46"/>
  <c r="BA46" s="1"/>
  <c r="AT46"/>
  <c r="AZ46" s="1"/>
  <c r="AX45"/>
  <c r="AW45"/>
  <c r="AU45"/>
  <c r="BA45" s="1"/>
  <c r="AT45"/>
  <c r="AZ45" s="1"/>
  <c r="AX44"/>
  <c r="AY44" s="1"/>
  <c r="AW44"/>
  <c r="AU44"/>
  <c r="BA44" s="1"/>
  <c r="AT44"/>
  <c r="AZ44" s="1"/>
  <c r="AX43"/>
  <c r="AW43"/>
  <c r="AU43"/>
  <c r="AV43" s="1"/>
  <c r="AT43"/>
  <c r="AZ43" s="1"/>
  <c r="AX42"/>
  <c r="AY42" s="1"/>
  <c r="AW42"/>
  <c r="AU42"/>
  <c r="BA42" s="1"/>
  <c r="AT42"/>
  <c r="AZ42" s="1"/>
  <c r="AX41"/>
  <c r="AY41" s="1"/>
  <c r="AW41"/>
  <c r="AU41"/>
  <c r="AT41"/>
  <c r="AZ41" s="1"/>
  <c r="AX40"/>
  <c r="AY40" s="1"/>
  <c r="AW40"/>
  <c r="AU40"/>
  <c r="BA40" s="1"/>
  <c r="BB40" s="1"/>
  <c r="AT40"/>
  <c r="AZ40" s="1"/>
  <c r="AX39"/>
  <c r="AW39"/>
  <c r="AU39"/>
  <c r="AV39" s="1"/>
  <c r="AT39"/>
  <c r="AZ39" s="1"/>
  <c r="AX38"/>
  <c r="AY38" s="1"/>
  <c r="AW38"/>
  <c r="AU38"/>
  <c r="BA38" s="1"/>
  <c r="BB38" s="1"/>
  <c r="AT38"/>
  <c r="AZ38" s="1"/>
  <c r="AX37"/>
  <c r="AY37" s="1"/>
  <c r="AW37"/>
  <c r="AU37"/>
  <c r="AT37"/>
  <c r="AZ37" s="1"/>
  <c r="AX36"/>
  <c r="AY36" s="1"/>
  <c r="AW36"/>
  <c r="AU36"/>
  <c r="AT36"/>
  <c r="AZ36" s="1"/>
  <c r="AX35"/>
  <c r="AW35"/>
  <c r="AU35"/>
  <c r="AV35" s="1"/>
  <c r="AT35"/>
  <c r="AZ35" s="1"/>
  <c r="AX34"/>
  <c r="AY34" s="1"/>
  <c r="AW34"/>
  <c r="AU34"/>
  <c r="AT34"/>
  <c r="AZ34" s="1"/>
  <c r="AX33"/>
  <c r="AY33" s="1"/>
  <c r="AW33"/>
  <c r="AU33"/>
  <c r="AT33"/>
  <c r="AZ33" s="1"/>
  <c r="AX32"/>
  <c r="AY32" s="1"/>
  <c r="AW32"/>
  <c r="AU32"/>
  <c r="BA32" s="1"/>
  <c r="BB32" s="1"/>
  <c r="AT32"/>
  <c r="AZ32" s="1"/>
  <c r="AX31"/>
  <c r="AW31"/>
  <c r="AU31"/>
  <c r="AV31" s="1"/>
  <c r="AT31"/>
  <c r="AZ31" s="1"/>
  <c r="AX30"/>
  <c r="AY30" s="1"/>
  <c r="AW30"/>
  <c r="AU30"/>
  <c r="BA30" s="1"/>
  <c r="BB30" s="1"/>
  <c r="AT30"/>
  <c r="AZ30" s="1"/>
  <c r="AX29"/>
  <c r="AW29"/>
  <c r="AU29"/>
  <c r="BA29" s="1"/>
  <c r="BB29" s="1"/>
  <c r="AT29"/>
  <c r="AZ29" s="1"/>
  <c r="AX28"/>
  <c r="AY28" s="1"/>
  <c r="AW28"/>
  <c r="AU28"/>
  <c r="BA28" s="1"/>
  <c r="BB28" s="1"/>
  <c r="AT28"/>
  <c r="AZ28" s="1"/>
  <c r="AX27"/>
  <c r="AW27"/>
  <c r="AU27"/>
  <c r="AV27" s="1"/>
  <c r="AT27"/>
  <c r="AZ27" s="1"/>
  <c r="AX26"/>
  <c r="AY26" s="1"/>
  <c r="AW26"/>
  <c r="AU26"/>
  <c r="BA26" s="1"/>
  <c r="BB26" s="1"/>
  <c r="AT26"/>
  <c r="AZ26" s="1"/>
  <c r="AX25"/>
  <c r="AY25" s="1"/>
  <c r="AW25"/>
  <c r="AU25"/>
  <c r="BA25" s="1"/>
  <c r="BB25" s="1"/>
  <c r="AT25"/>
  <c r="AZ25" s="1"/>
  <c r="AX24"/>
  <c r="AY24" s="1"/>
  <c r="AW24"/>
  <c r="AU24"/>
  <c r="BA24" s="1"/>
  <c r="BB24" s="1"/>
  <c r="AT24"/>
  <c r="AZ24" s="1"/>
  <c r="AX23"/>
  <c r="AW23"/>
  <c r="AU23"/>
  <c r="AV23" s="1"/>
  <c r="AT23"/>
  <c r="AZ23" s="1"/>
  <c r="AX22"/>
  <c r="AY22" s="1"/>
  <c r="AW22"/>
  <c r="AU22"/>
  <c r="BA22" s="1"/>
  <c r="BB22" s="1"/>
  <c r="AT22"/>
  <c r="AZ22" s="1"/>
  <c r="AX21"/>
  <c r="AY21" s="1"/>
  <c r="AW21"/>
  <c r="AU21"/>
  <c r="AT21"/>
  <c r="AZ21" s="1"/>
  <c r="AX20"/>
  <c r="AY20" s="1"/>
  <c r="AW20"/>
  <c r="AU20"/>
  <c r="BA20" s="1"/>
  <c r="AT20"/>
  <c r="AZ20" s="1"/>
  <c r="AX19"/>
  <c r="AW19"/>
  <c r="AU19"/>
  <c r="AV19" s="1"/>
  <c r="AT19"/>
  <c r="AZ19" s="1"/>
  <c r="AX18"/>
  <c r="AY18" s="1"/>
  <c r="AW18"/>
  <c r="AU18"/>
  <c r="AT18"/>
  <c r="AZ18" s="1"/>
  <c r="AX17"/>
  <c r="AY17" s="1"/>
  <c r="AW17"/>
  <c r="AU17"/>
  <c r="AT17"/>
  <c r="AZ17" s="1"/>
  <c r="AX16"/>
  <c r="AY16" s="1"/>
  <c r="AW16"/>
  <c r="AU16"/>
  <c r="AT16"/>
  <c r="AZ16" s="1"/>
  <c r="AX15"/>
  <c r="AW15"/>
  <c r="AU15"/>
  <c r="AV15" s="1"/>
  <c r="AT15"/>
  <c r="AZ15" s="1"/>
  <c r="AX14"/>
  <c r="AY14" s="1"/>
  <c r="AW14"/>
  <c r="AU14"/>
  <c r="AT14"/>
  <c r="AZ14" s="1"/>
  <c r="AX13"/>
  <c r="AY13" s="1"/>
  <c r="AW13"/>
  <c r="AU13"/>
  <c r="AT13"/>
  <c r="AZ13" s="1"/>
  <c r="AX12"/>
  <c r="AY12" s="1"/>
  <c r="AW12"/>
  <c r="AU12"/>
  <c r="AT12"/>
  <c r="AZ12" s="1"/>
  <c r="AX11"/>
  <c r="AW11"/>
  <c r="AU11"/>
  <c r="AV11" s="1"/>
  <c r="AT11"/>
  <c r="AZ11" s="1"/>
  <c r="AX10"/>
  <c r="AY10" s="1"/>
  <c r="AW10"/>
  <c r="AU10"/>
  <c r="AT10"/>
  <c r="AZ10" s="1"/>
  <c r="AX9"/>
  <c r="AY9" s="1"/>
  <c r="AW9"/>
  <c r="AU9"/>
  <c r="AT9"/>
  <c r="AZ9" s="1"/>
  <c r="AX8"/>
  <c r="AY8" s="1"/>
  <c r="AW8"/>
  <c r="AU8"/>
  <c r="AT8"/>
  <c r="AZ8" s="1"/>
  <c r="AX7"/>
  <c r="AW7"/>
  <c r="AU7"/>
  <c r="AV7" s="1"/>
  <c r="AT7"/>
  <c r="AZ7" s="1"/>
  <c r="AX83" i="2"/>
  <c r="AW83"/>
  <c r="AU83"/>
  <c r="AT83"/>
  <c r="AX82"/>
  <c r="AW82"/>
  <c r="AU82"/>
  <c r="AT82"/>
  <c r="AX81"/>
  <c r="AW81"/>
  <c r="AY81" s="1"/>
  <c r="AU81"/>
  <c r="BA81" s="1"/>
  <c r="AT81"/>
  <c r="AX80"/>
  <c r="AW80"/>
  <c r="AU80"/>
  <c r="AT80"/>
  <c r="AX79"/>
  <c r="AW79"/>
  <c r="AU79"/>
  <c r="AT79"/>
  <c r="AX78"/>
  <c r="AW78"/>
  <c r="AU78"/>
  <c r="AT78"/>
  <c r="AX77"/>
  <c r="AW77"/>
  <c r="AY77" s="1"/>
  <c r="AU77"/>
  <c r="BA77" s="1"/>
  <c r="AT77"/>
  <c r="AX76"/>
  <c r="AW76"/>
  <c r="AU76"/>
  <c r="AT76"/>
  <c r="AX75"/>
  <c r="AW75"/>
  <c r="AU75"/>
  <c r="AT75"/>
  <c r="AX74"/>
  <c r="AW74"/>
  <c r="AU74"/>
  <c r="AT74"/>
  <c r="AX73"/>
  <c r="AW73"/>
  <c r="AY73" s="1"/>
  <c r="AU73"/>
  <c r="BA73" s="1"/>
  <c r="AT73"/>
  <c r="AX72"/>
  <c r="AW72"/>
  <c r="AU72"/>
  <c r="BA72" s="1"/>
  <c r="AT72"/>
  <c r="AX71"/>
  <c r="AW71"/>
  <c r="AU71"/>
  <c r="AT71"/>
  <c r="AX70"/>
  <c r="AW70"/>
  <c r="AU70"/>
  <c r="AT70"/>
  <c r="AX69"/>
  <c r="AW69"/>
  <c r="AY69" s="1"/>
  <c r="AU69"/>
  <c r="BA69" s="1"/>
  <c r="AT69"/>
  <c r="AX68"/>
  <c r="AW68"/>
  <c r="AU68"/>
  <c r="BA68" s="1"/>
  <c r="AT68"/>
  <c r="AX67"/>
  <c r="AW67"/>
  <c r="AU67"/>
  <c r="AT67"/>
  <c r="AX66"/>
  <c r="AW66"/>
  <c r="AU66"/>
  <c r="AT66"/>
  <c r="AX65"/>
  <c r="AW65"/>
  <c r="AY65" s="1"/>
  <c r="AU65"/>
  <c r="BA65" s="1"/>
  <c r="AT65"/>
  <c r="AX64"/>
  <c r="AW64"/>
  <c r="AU64"/>
  <c r="AT64"/>
  <c r="AX63"/>
  <c r="AW63"/>
  <c r="AU63"/>
  <c r="AT63"/>
  <c r="AX62"/>
  <c r="AW62"/>
  <c r="AU62"/>
  <c r="AT62"/>
  <c r="AX61"/>
  <c r="AW61"/>
  <c r="AY61" s="1"/>
  <c r="AU61"/>
  <c r="BA61" s="1"/>
  <c r="AT61"/>
  <c r="AX60"/>
  <c r="AW60"/>
  <c r="AU60"/>
  <c r="AT60"/>
  <c r="AX59"/>
  <c r="AW59"/>
  <c r="AY59" s="1"/>
  <c r="AU59"/>
  <c r="AT59"/>
  <c r="AX58"/>
  <c r="AW58"/>
  <c r="AU58"/>
  <c r="BA58" s="1"/>
  <c r="AT58"/>
  <c r="AX57"/>
  <c r="AW57"/>
  <c r="AY57" s="1"/>
  <c r="AU57"/>
  <c r="BA57" s="1"/>
  <c r="AT57"/>
  <c r="AX56"/>
  <c r="AW56"/>
  <c r="AU56"/>
  <c r="AT56"/>
  <c r="AX55"/>
  <c r="AW55"/>
  <c r="AY55" s="1"/>
  <c r="AU55"/>
  <c r="AT55"/>
  <c r="AX54"/>
  <c r="AW54"/>
  <c r="AU54"/>
  <c r="BA54" s="1"/>
  <c r="AT54"/>
  <c r="AX53"/>
  <c r="AW53"/>
  <c r="AY53" s="1"/>
  <c r="AU53"/>
  <c r="BA53" s="1"/>
  <c r="AT53"/>
  <c r="AX52"/>
  <c r="AW52"/>
  <c r="AU52"/>
  <c r="BA52" s="1"/>
  <c r="AT52"/>
  <c r="AX51"/>
  <c r="AW51"/>
  <c r="AY51" s="1"/>
  <c r="AU51"/>
  <c r="AT51"/>
  <c r="AX50"/>
  <c r="AW50"/>
  <c r="AU50"/>
  <c r="BA50" s="1"/>
  <c r="AT50"/>
  <c r="AX49"/>
  <c r="AW49"/>
  <c r="AY49" s="1"/>
  <c r="AU49"/>
  <c r="BA49" s="1"/>
  <c r="AT49"/>
  <c r="AX48"/>
  <c r="AW48"/>
  <c r="AU48"/>
  <c r="BA48" s="1"/>
  <c r="AT48"/>
  <c r="AX47"/>
  <c r="AW47"/>
  <c r="AY47" s="1"/>
  <c r="AU47"/>
  <c r="AT47"/>
  <c r="AX46"/>
  <c r="AW46"/>
  <c r="AU46"/>
  <c r="BA46" s="1"/>
  <c r="AT46"/>
  <c r="AX45"/>
  <c r="AW45"/>
  <c r="AY45" s="1"/>
  <c r="AU45"/>
  <c r="BA45" s="1"/>
  <c r="AT45"/>
  <c r="AX44"/>
  <c r="AW44"/>
  <c r="AU44"/>
  <c r="BA44" s="1"/>
  <c r="AT44"/>
  <c r="AX43"/>
  <c r="AW43"/>
  <c r="AY43" s="1"/>
  <c r="AU43"/>
  <c r="AT43"/>
  <c r="AX42"/>
  <c r="AW42"/>
  <c r="AU42"/>
  <c r="BA42" s="1"/>
  <c r="AT42"/>
  <c r="AX41"/>
  <c r="AW41"/>
  <c r="AY41" s="1"/>
  <c r="AU41"/>
  <c r="BA41" s="1"/>
  <c r="AT41"/>
  <c r="AX40"/>
  <c r="AW40"/>
  <c r="AU40"/>
  <c r="BA40" s="1"/>
  <c r="AT40"/>
  <c r="AX39"/>
  <c r="AW39"/>
  <c r="AY39" s="1"/>
  <c r="AU39"/>
  <c r="AT39"/>
  <c r="AX38"/>
  <c r="AW38"/>
  <c r="AU38"/>
  <c r="BA38" s="1"/>
  <c r="AT38"/>
  <c r="AX37"/>
  <c r="AW37"/>
  <c r="AY37" s="1"/>
  <c r="AU37"/>
  <c r="BA37" s="1"/>
  <c r="AT37"/>
  <c r="AX36"/>
  <c r="AW36"/>
  <c r="AU36"/>
  <c r="BA36" s="1"/>
  <c r="AT36"/>
  <c r="AX35"/>
  <c r="AW35"/>
  <c r="AY35" s="1"/>
  <c r="AU35"/>
  <c r="AT35"/>
  <c r="AX34"/>
  <c r="AW34"/>
  <c r="AU34"/>
  <c r="BA34" s="1"/>
  <c r="AT34"/>
  <c r="AX33"/>
  <c r="AW33"/>
  <c r="AY33" s="1"/>
  <c r="AU33"/>
  <c r="BA33" s="1"/>
  <c r="AT33"/>
  <c r="AX32"/>
  <c r="AW32"/>
  <c r="AU32"/>
  <c r="BA32" s="1"/>
  <c r="AT32"/>
  <c r="AX31"/>
  <c r="AW31"/>
  <c r="AY31" s="1"/>
  <c r="AU31"/>
  <c r="AT31"/>
  <c r="AX30"/>
  <c r="AW30"/>
  <c r="AU30"/>
  <c r="BA30" s="1"/>
  <c r="AT30"/>
  <c r="AX29"/>
  <c r="AW29"/>
  <c r="AY29" s="1"/>
  <c r="AU29"/>
  <c r="BA29" s="1"/>
  <c r="AT29"/>
  <c r="AX28"/>
  <c r="AW28"/>
  <c r="AU28"/>
  <c r="BA28" s="1"/>
  <c r="AT28"/>
  <c r="AX27"/>
  <c r="AW27"/>
  <c r="AY27" s="1"/>
  <c r="AU27"/>
  <c r="AT27"/>
  <c r="AX26"/>
  <c r="AW26"/>
  <c r="AU26"/>
  <c r="BA26" s="1"/>
  <c r="AT26"/>
  <c r="AX25"/>
  <c r="AW25"/>
  <c r="AY25" s="1"/>
  <c r="AU25"/>
  <c r="BA25" s="1"/>
  <c r="AT25"/>
  <c r="AX24"/>
  <c r="AW24"/>
  <c r="AU24"/>
  <c r="BA24" s="1"/>
  <c r="AT24"/>
  <c r="AX23"/>
  <c r="AW23"/>
  <c r="AY23" s="1"/>
  <c r="AU23"/>
  <c r="AT23"/>
  <c r="AX22"/>
  <c r="AW22"/>
  <c r="AU22"/>
  <c r="BA22" s="1"/>
  <c r="AT22"/>
  <c r="AX21"/>
  <c r="AW21"/>
  <c r="AY21" s="1"/>
  <c r="AU21"/>
  <c r="BA21" s="1"/>
  <c r="AT21"/>
  <c r="AX20"/>
  <c r="AW20"/>
  <c r="AU20"/>
  <c r="BA20" s="1"/>
  <c r="AT20"/>
  <c r="AX19"/>
  <c r="AW19"/>
  <c r="AY19" s="1"/>
  <c r="AU19"/>
  <c r="AT19"/>
  <c r="AX18"/>
  <c r="AW18"/>
  <c r="AU18"/>
  <c r="BA18" s="1"/>
  <c r="AT18"/>
  <c r="AX17"/>
  <c r="AW17"/>
  <c r="AY17" s="1"/>
  <c r="AU17"/>
  <c r="BA17" s="1"/>
  <c r="AT17"/>
  <c r="AX16"/>
  <c r="AW16"/>
  <c r="AU16"/>
  <c r="BA16" s="1"/>
  <c r="AT16"/>
  <c r="AX15"/>
  <c r="AW15"/>
  <c r="AY15" s="1"/>
  <c r="AU15"/>
  <c r="AT15"/>
  <c r="AX14"/>
  <c r="AW14"/>
  <c r="AU14"/>
  <c r="BA14" s="1"/>
  <c r="AT14"/>
  <c r="AX13"/>
  <c r="AW13"/>
  <c r="AY13" s="1"/>
  <c r="AU13"/>
  <c r="BA13" s="1"/>
  <c r="AT13"/>
  <c r="AX12"/>
  <c r="AW12"/>
  <c r="AU12"/>
  <c r="BA12" s="1"/>
  <c r="AT12"/>
  <c r="AX11"/>
  <c r="AW11"/>
  <c r="AY11" s="1"/>
  <c r="AU11"/>
  <c r="AT11"/>
  <c r="AX10"/>
  <c r="AW10"/>
  <c r="AU10"/>
  <c r="BA10" s="1"/>
  <c r="AT10"/>
  <c r="AX9"/>
  <c r="AW9"/>
  <c r="AY9" s="1"/>
  <c r="AU9"/>
  <c r="BA9" s="1"/>
  <c r="AT9"/>
  <c r="AX8"/>
  <c r="AW8"/>
  <c r="AU8"/>
  <c r="BA8" s="1"/>
  <c r="AT8"/>
  <c r="AX7"/>
  <c r="AW7"/>
  <c r="AY7" s="1"/>
  <c r="AU7"/>
  <c r="AV7" s="1"/>
  <c r="AT7"/>
  <c r="AX83" i="7"/>
  <c r="AX82"/>
  <c r="AX81"/>
  <c r="AX80"/>
  <c r="AX79"/>
  <c r="AX78"/>
  <c r="AX77"/>
  <c r="AX76"/>
  <c r="AX75"/>
  <c r="AX74"/>
  <c r="AX73"/>
  <c r="AX72"/>
  <c r="AX71"/>
  <c r="AX70"/>
  <c r="AX69"/>
  <c r="AX68"/>
  <c r="AX67"/>
  <c r="AX66"/>
  <c r="AX65"/>
  <c r="AX64"/>
  <c r="AX63"/>
  <c r="AX62"/>
  <c r="AX61"/>
  <c r="AX60"/>
  <c r="AX59"/>
  <c r="AX58"/>
  <c r="AX57"/>
  <c r="AX56"/>
  <c r="AX55"/>
  <c r="AX54"/>
  <c r="AX53"/>
  <c r="AX52"/>
  <c r="AX51"/>
  <c r="AX50"/>
  <c r="AX49"/>
  <c r="AX48"/>
  <c r="AX47"/>
  <c r="AX46"/>
  <c r="AX45"/>
  <c r="AX44"/>
  <c r="AX43"/>
  <c r="AX42"/>
  <c r="AX41"/>
  <c r="AX40"/>
  <c r="AX39"/>
  <c r="AX38"/>
  <c r="AX37"/>
  <c r="AX36"/>
  <c r="AX35"/>
  <c r="AX34"/>
  <c r="AX33"/>
  <c r="AX32"/>
  <c r="AX31"/>
  <c r="AX30"/>
  <c r="AX29"/>
  <c r="AX28"/>
  <c r="AX27"/>
  <c r="AX26"/>
  <c r="AX25"/>
  <c r="AX24"/>
  <c r="AX23"/>
  <c r="AX22"/>
  <c r="AX21"/>
  <c r="AX20"/>
  <c r="AX19"/>
  <c r="AX18"/>
  <c r="AX17"/>
  <c r="AX16"/>
  <c r="AX15"/>
  <c r="AX14"/>
  <c r="AX13"/>
  <c r="AX12"/>
  <c r="AX11"/>
  <c r="AX10"/>
  <c r="AX9"/>
  <c r="AX8"/>
  <c r="AX7"/>
  <c r="AW8"/>
  <c r="AW9"/>
  <c r="AY9" s="1"/>
  <c r="AW10"/>
  <c r="AW11"/>
  <c r="AY11" s="1"/>
  <c r="AW12"/>
  <c r="AY12" s="1"/>
  <c r="AW13"/>
  <c r="AY13" s="1"/>
  <c r="AW14"/>
  <c r="AY14" s="1"/>
  <c r="AW15"/>
  <c r="AY15" s="1"/>
  <c r="AW16"/>
  <c r="AY16" s="1"/>
  <c r="AW17"/>
  <c r="AY17" s="1"/>
  <c r="AW18"/>
  <c r="AY18" s="1"/>
  <c r="AW19"/>
  <c r="AY19" s="1"/>
  <c r="AW20"/>
  <c r="AY20" s="1"/>
  <c r="AW21"/>
  <c r="AY21" s="1"/>
  <c r="AW22"/>
  <c r="AY22" s="1"/>
  <c r="AW23"/>
  <c r="AY23" s="1"/>
  <c r="AW24"/>
  <c r="AY24" s="1"/>
  <c r="AW25"/>
  <c r="AY25" s="1"/>
  <c r="AW26"/>
  <c r="AY26" s="1"/>
  <c r="AW27"/>
  <c r="AY27" s="1"/>
  <c r="AW28"/>
  <c r="AY28" s="1"/>
  <c r="AW29"/>
  <c r="AY29" s="1"/>
  <c r="AW30"/>
  <c r="AY30" s="1"/>
  <c r="AW31"/>
  <c r="AY31" s="1"/>
  <c r="AW32"/>
  <c r="AW33"/>
  <c r="AY33" s="1"/>
  <c r="AW34"/>
  <c r="AY34" s="1"/>
  <c r="AW35"/>
  <c r="AY35" s="1"/>
  <c r="AW36"/>
  <c r="AY36" s="1"/>
  <c r="AW37"/>
  <c r="AY37" s="1"/>
  <c r="AW38"/>
  <c r="AY38" s="1"/>
  <c r="AW39"/>
  <c r="AY39" s="1"/>
  <c r="AW40"/>
  <c r="AY40" s="1"/>
  <c r="AW41"/>
  <c r="AY41" s="1"/>
  <c r="AW42"/>
  <c r="AY42" s="1"/>
  <c r="AW43"/>
  <c r="AY43" s="1"/>
  <c r="AW44"/>
  <c r="AY44" s="1"/>
  <c r="AW45"/>
  <c r="AY45" s="1"/>
  <c r="AW46"/>
  <c r="AY46" s="1"/>
  <c r="AW47"/>
  <c r="AY47" s="1"/>
  <c r="AW48"/>
  <c r="AY48" s="1"/>
  <c r="AW49"/>
  <c r="AY49" s="1"/>
  <c r="AW50"/>
  <c r="AY50" s="1"/>
  <c r="AW51"/>
  <c r="AY51" s="1"/>
  <c r="AW52"/>
  <c r="AY52" s="1"/>
  <c r="AW53"/>
  <c r="AY53" s="1"/>
  <c r="AW54"/>
  <c r="AY54" s="1"/>
  <c r="AW55"/>
  <c r="AY55" s="1"/>
  <c r="AW56"/>
  <c r="AY56" s="1"/>
  <c r="AW57"/>
  <c r="AY57" s="1"/>
  <c r="AW58"/>
  <c r="AY58" s="1"/>
  <c r="AW59"/>
  <c r="AY59" s="1"/>
  <c r="AW60"/>
  <c r="AY60" s="1"/>
  <c r="AW61"/>
  <c r="AY61" s="1"/>
  <c r="AW62"/>
  <c r="AY62" s="1"/>
  <c r="AW63"/>
  <c r="AY63" s="1"/>
  <c r="AW64"/>
  <c r="AY64" s="1"/>
  <c r="AW65"/>
  <c r="AY65" s="1"/>
  <c r="AW66"/>
  <c r="AY66" s="1"/>
  <c r="AW67"/>
  <c r="AY67" s="1"/>
  <c r="AW68"/>
  <c r="AY68" s="1"/>
  <c r="AW69"/>
  <c r="AY69" s="1"/>
  <c r="AW70"/>
  <c r="AY70" s="1"/>
  <c r="AW71"/>
  <c r="AY71" s="1"/>
  <c r="AW72"/>
  <c r="AY72" s="1"/>
  <c r="AW73"/>
  <c r="AY73" s="1"/>
  <c r="AW74"/>
  <c r="AY74" s="1"/>
  <c r="AW75"/>
  <c r="AY75" s="1"/>
  <c r="AW76"/>
  <c r="AY76" s="1"/>
  <c r="AW77"/>
  <c r="AY77" s="1"/>
  <c r="AW78"/>
  <c r="AY78" s="1"/>
  <c r="AW79"/>
  <c r="AY79" s="1"/>
  <c r="AW80"/>
  <c r="AY80" s="1"/>
  <c r="AW81"/>
  <c r="AY81" s="1"/>
  <c r="AW82"/>
  <c r="AY82" s="1"/>
  <c r="AW83"/>
  <c r="AY83" s="1"/>
  <c r="AW7"/>
  <c r="AU8"/>
  <c r="BA8" s="1"/>
  <c r="AU9"/>
  <c r="BA9" s="1"/>
  <c r="AU10"/>
  <c r="BA10" s="1"/>
  <c r="AU11"/>
  <c r="BA11" s="1"/>
  <c r="AU12"/>
  <c r="BA12" s="1"/>
  <c r="AU13"/>
  <c r="BA13" s="1"/>
  <c r="AU14"/>
  <c r="BA14" s="1"/>
  <c r="AU15"/>
  <c r="BA15" s="1"/>
  <c r="AU16"/>
  <c r="BA16" s="1"/>
  <c r="AU17"/>
  <c r="BA17" s="1"/>
  <c r="AU18"/>
  <c r="BA18" s="1"/>
  <c r="AU19"/>
  <c r="BA19" s="1"/>
  <c r="AU20"/>
  <c r="BA20" s="1"/>
  <c r="AU21"/>
  <c r="BA21" s="1"/>
  <c r="AU22"/>
  <c r="BA22" s="1"/>
  <c r="AU23"/>
  <c r="BA23" s="1"/>
  <c r="AU24"/>
  <c r="BA24" s="1"/>
  <c r="AU25"/>
  <c r="BA25" s="1"/>
  <c r="AU26"/>
  <c r="BA26" s="1"/>
  <c r="AU27"/>
  <c r="BA27" s="1"/>
  <c r="AU28"/>
  <c r="BA28" s="1"/>
  <c r="AU29"/>
  <c r="BA29" s="1"/>
  <c r="AU30"/>
  <c r="BA30" s="1"/>
  <c r="AU31"/>
  <c r="BA31" s="1"/>
  <c r="AU32"/>
  <c r="BA32" s="1"/>
  <c r="AU33"/>
  <c r="BA33" s="1"/>
  <c r="AU34"/>
  <c r="BA34" s="1"/>
  <c r="AU35"/>
  <c r="BA35" s="1"/>
  <c r="AU36"/>
  <c r="BA36" s="1"/>
  <c r="AU37"/>
  <c r="BA37" s="1"/>
  <c r="AU38"/>
  <c r="BA38" s="1"/>
  <c r="AU39"/>
  <c r="BA39" s="1"/>
  <c r="AU40"/>
  <c r="BA40" s="1"/>
  <c r="AU41"/>
  <c r="BA41" s="1"/>
  <c r="AU42"/>
  <c r="BA42" s="1"/>
  <c r="AU43"/>
  <c r="BA43" s="1"/>
  <c r="AU44"/>
  <c r="BA44" s="1"/>
  <c r="AU45"/>
  <c r="BA45" s="1"/>
  <c r="AU46"/>
  <c r="BA46" s="1"/>
  <c r="AU47"/>
  <c r="BA47" s="1"/>
  <c r="AU48"/>
  <c r="BA48" s="1"/>
  <c r="AU49"/>
  <c r="BA49" s="1"/>
  <c r="AU50"/>
  <c r="BA50" s="1"/>
  <c r="AU51"/>
  <c r="BA51" s="1"/>
  <c r="AU52"/>
  <c r="BA52" s="1"/>
  <c r="AU53"/>
  <c r="BA53" s="1"/>
  <c r="AU54"/>
  <c r="BA54" s="1"/>
  <c r="AU55"/>
  <c r="BA55" s="1"/>
  <c r="AU56"/>
  <c r="BA56" s="1"/>
  <c r="AU57"/>
  <c r="BA57" s="1"/>
  <c r="AU58"/>
  <c r="BA58" s="1"/>
  <c r="AU59"/>
  <c r="BA59" s="1"/>
  <c r="AU60"/>
  <c r="BA60" s="1"/>
  <c r="AU61"/>
  <c r="BA61" s="1"/>
  <c r="AU62"/>
  <c r="BA62" s="1"/>
  <c r="AU63"/>
  <c r="BA63" s="1"/>
  <c r="AU64"/>
  <c r="BA64" s="1"/>
  <c r="AU65"/>
  <c r="BA65" s="1"/>
  <c r="AU66"/>
  <c r="BA66" s="1"/>
  <c r="AU67"/>
  <c r="BA67" s="1"/>
  <c r="AU68"/>
  <c r="BA68" s="1"/>
  <c r="AU69"/>
  <c r="BA69" s="1"/>
  <c r="AU70"/>
  <c r="BA70" s="1"/>
  <c r="AU71"/>
  <c r="BA71" s="1"/>
  <c r="AU72"/>
  <c r="BA72" s="1"/>
  <c r="AU73"/>
  <c r="BA73" s="1"/>
  <c r="AU74"/>
  <c r="BA74" s="1"/>
  <c r="AU75"/>
  <c r="BA75" s="1"/>
  <c r="AU76"/>
  <c r="BA76" s="1"/>
  <c r="AU77"/>
  <c r="BA77" s="1"/>
  <c r="AU78"/>
  <c r="BA78" s="1"/>
  <c r="AU79"/>
  <c r="BA79" s="1"/>
  <c r="AU80"/>
  <c r="BA80" s="1"/>
  <c r="AU81"/>
  <c r="BA81" s="1"/>
  <c r="AU82"/>
  <c r="BA82" s="1"/>
  <c r="AU83"/>
  <c r="BA83" s="1"/>
  <c r="AU7"/>
  <c r="AT8"/>
  <c r="AZ8" s="1"/>
  <c r="AT9"/>
  <c r="AZ9" s="1"/>
  <c r="AT10"/>
  <c r="AT11"/>
  <c r="AT12"/>
  <c r="AZ12" s="1"/>
  <c r="AT13"/>
  <c r="AZ13" s="1"/>
  <c r="AT14"/>
  <c r="AT15"/>
  <c r="AT16"/>
  <c r="AZ16" s="1"/>
  <c r="AT17"/>
  <c r="AZ17" s="1"/>
  <c r="AT18"/>
  <c r="AT19"/>
  <c r="AT20"/>
  <c r="AZ20" s="1"/>
  <c r="AT21"/>
  <c r="AZ21" s="1"/>
  <c r="AT22"/>
  <c r="AT23"/>
  <c r="AT24"/>
  <c r="AZ24" s="1"/>
  <c r="AT25"/>
  <c r="AZ25" s="1"/>
  <c r="AT26"/>
  <c r="AT27"/>
  <c r="AT28"/>
  <c r="AZ28" s="1"/>
  <c r="AT29"/>
  <c r="AZ29" s="1"/>
  <c r="AT30"/>
  <c r="AT31"/>
  <c r="AT32"/>
  <c r="AZ32" s="1"/>
  <c r="AT33"/>
  <c r="AZ33" s="1"/>
  <c r="AT34"/>
  <c r="AT35"/>
  <c r="AT36"/>
  <c r="AZ36" s="1"/>
  <c r="AT37"/>
  <c r="AZ37" s="1"/>
  <c r="AT38"/>
  <c r="AT39"/>
  <c r="AT40"/>
  <c r="AZ40" s="1"/>
  <c r="AT41"/>
  <c r="AZ41" s="1"/>
  <c r="AT42"/>
  <c r="AT43"/>
  <c r="AT44"/>
  <c r="AZ44" s="1"/>
  <c r="AT45"/>
  <c r="AZ45" s="1"/>
  <c r="AT46"/>
  <c r="AT47"/>
  <c r="AT48"/>
  <c r="AZ48" s="1"/>
  <c r="AT49"/>
  <c r="AZ49" s="1"/>
  <c r="AT50"/>
  <c r="AT51"/>
  <c r="AT52"/>
  <c r="AZ52" s="1"/>
  <c r="AT53"/>
  <c r="AZ53" s="1"/>
  <c r="AT54"/>
  <c r="AT55"/>
  <c r="AT56"/>
  <c r="AZ56" s="1"/>
  <c r="AT57"/>
  <c r="AZ57" s="1"/>
  <c r="AT58"/>
  <c r="AT59"/>
  <c r="AT60"/>
  <c r="AZ60" s="1"/>
  <c r="AT61"/>
  <c r="AZ61" s="1"/>
  <c r="AT62"/>
  <c r="AT63"/>
  <c r="AT64"/>
  <c r="AZ64" s="1"/>
  <c r="AT65"/>
  <c r="AZ65" s="1"/>
  <c r="AT66"/>
  <c r="AT67"/>
  <c r="AT68"/>
  <c r="AZ68" s="1"/>
  <c r="AT69"/>
  <c r="AZ69" s="1"/>
  <c r="AT70"/>
  <c r="AT71"/>
  <c r="AT72"/>
  <c r="AZ72" s="1"/>
  <c r="AT73"/>
  <c r="AZ73" s="1"/>
  <c r="AT74"/>
  <c r="AV74" s="1"/>
  <c r="AT75"/>
  <c r="AT76"/>
  <c r="AZ76" s="1"/>
  <c r="AT77"/>
  <c r="AZ77" s="1"/>
  <c r="AT78"/>
  <c r="AV78" s="1"/>
  <c r="AT79"/>
  <c r="AT80"/>
  <c r="AZ80" s="1"/>
  <c r="AT81"/>
  <c r="AZ81" s="1"/>
  <c r="AT82"/>
  <c r="AV82" s="1"/>
  <c r="AT83"/>
  <c r="AT7"/>
  <c r="AZ7" s="1"/>
  <c r="BA71" i="6" l="1"/>
  <c r="BB71" s="1"/>
  <c r="AY8"/>
  <c r="BA32" i="3"/>
  <c r="BB32" s="1"/>
  <c r="AY32" i="7"/>
  <c r="BB88" i="4"/>
  <c r="BA85"/>
  <c r="AV88"/>
  <c r="AZ85"/>
  <c r="BB88" i="7"/>
  <c r="BA85"/>
  <c r="BB85" s="1"/>
  <c r="AZ85"/>
  <c r="BB88" i="6"/>
  <c r="AY87"/>
  <c r="BA85"/>
  <c r="BB85" s="1"/>
  <c r="BB76"/>
  <c r="BB74"/>
  <c r="BB64"/>
  <c r="BB50"/>
  <c r="BB72"/>
  <c r="BB68"/>
  <c r="BB56"/>
  <c r="BB44"/>
  <c r="BB32"/>
  <c r="BB26"/>
  <c r="BB58"/>
  <c r="BB24"/>
  <c r="BB20"/>
  <c r="BB16"/>
  <c r="AY83"/>
  <c r="AZ82"/>
  <c r="BB82" s="1"/>
  <c r="BA81"/>
  <c r="AZ78"/>
  <c r="BB78" s="1"/>
  <c r="BA77"/>
  <c r="AY75"/>
  <c r="AZ74"/>
  <c r="BA73"/>
  <c r="BB73" s="1"/>
  <c r="AY71"/>
  <c r="AZ70"/>
  <c r="BB70" s="1"/>
  <c r="BA69"/>
  <c r="AY67"/>
  <c r="AZ66"/>
  <c r="BB66" s="1"/>
  <c r="BA65"/>
  <c r="BB65" s="1"/>
  <c r="AY63"/>
  <c r="AZ62"/>
  <c r="BB62" s="1"/>
  <c r="BA61"/>
  <c r="AY59"/>
  <c r="AZ58"/>
  <c r="BA57"/>
  <c r="BB57" s="1"/>
  <c r="AY55"/>
  <c r="AZ54"/>
  <c r="BB54" s="1"/>
  <c r="BA53"/>
  <c r="AY51"/>
  <c r="AZ50"/>
  <c r="BA49"/>
  <c r="BB49" s="1"/>
  <c r="AY47"/>
  <c r="AZ46"/>
  <c r="BB46" s="1"/>
  <c r="BA45"/>
  <c r="AZ42"/>
  <c r="BB42" s="1"/>
  <c r="BA41"/>
  <c r="AZ38"/>
  <c r="BB38" s="1"/>
  <c r="BA37"/>
  <c r="BB37" s="1"/>
  <c r="AY35"/>
  <c r="AZ34"/>
  <c r="BB34" s="1"/>
  <c r="BA33"/>
  <c r="BB33" s="1"/>
  <c r="AY31"/>
  <c r="AZ30"/>
  <c r="BB30" s="1"/>
  <c r="BA29"/>
  <c r="BB29" s="1"/>
  <c r="AY27"/>
  <c r="AZ26"/>
  <c r="BA25"/>
  <c r="BB25" s="1"/>
  <c r="AY23"/>
  <c r="AZ22"/>
  <c r="BB22" s="1"/>
  <c r="BA21"/>
  <c r="BB21" s="1"/>
  <c r="AY19"/>
  <c r="AZ18"/>
  <c r="BB18" s="1"/>
  <c r="BA17"/>
  <c r="BB17" s="1"/>
  <c r="AY15"/>
  <c r="AZ14"/>
  <c r="BB14" s="1"/>
  <c r="BA13"/>
  <c r="AY11"/>
  <c r="AY72"/>
  <c r="AY24"/>
  <c r="AY20"/>
  <c r="AY16"/>
  <c r="AZ81"/>
  <c r="AZ77"/>
  <c r="AZ69"/>
  <c r="AZ61"/>
  <c r="AZ57"/>
  <c r="AZ53"/>
  <c r="AZ45"/>
  <c r="AZ41"/>
  <c r="AZ13"/>
  <c r="AY7"/>
  <c r="AV7"/>
  <c r="AZ7"/>
  <c r="BA76" i="5"/>
  <c r="AY40"/>
  <c r="AY8"/>
  <c r="AY83"/>
  <c r="AY15"/>
  <c r="AY27"/>
  <c r="AY31"/>
  <c r="AY55"/>
  <c r="AV7"/>
  <c r="AV11"/>
  <c r="AV15"/>
  <c r="AV27"/>
  <c r="AV31"/>
  <c r="AV32"/>
  <c r="AV42"/>
  <c r="AV43"/>
  <c r="AV44"/>
  <c r="AV46"/>
  <c r="AV47"/>
  <c r="AV54"/>
  <c r="AV55"/>
  <c r="AV58"/>
  <c r="AV59"/>
  <c r="AV62"/>
  <c r="AV63"/>
  <c r="AV66"/>
  <c r="AV67"/>
  <c r="AV70"/>
  <c r="AV71"/>
  <c r="AV74"/>
  <c r="BA77"/>
  <c r="BA80"/>
  <c r="BA81"/>
  <c r="BB16"/>
  <c r="BB48"/>
  <c r="AY7"/>
  <c r="BB12"/>
  <c r="AY23"/>
  <c r="BB28"/>
  <c r="AY49"/>
  <c r="AY52"/>
  <c r="BB60"/>
  <c r="AZ61"/>
  <c r="AY65"/>
  <c r="AY68"/>
  <c r="AZ73"/>
  <c r="AY77"/>
  <c r="BA8"/>
  <c r="BB8" s="1"/>
  <c r="AZ9"/>
  <c r="AY13"/>
  <c r="AY16"/>
  <c r="AY19"/>
  <c r="AV23"/>
  <c r="BA24"/>
  <c r="BB24" s="1"/>
  <c r="AY29"/>
  <c r="AY32"/>
  <c r="AY35"/>
  <c r="AV38"/>
  <c r="AV39"/>
  <c r="AV40"/>
  <c r="AY45"/>
  <c r="AY48"/>
  <c r="BB56"/>
  <c r="AY61"/>
  <c r="AY64"/>
  <c r="AV75"/>
  <c r="AV78"/>
  <c r="AY9"/>
  <c r="AY12"/>
  <c r="AV19"/>
  <c r="BB20"/>
  <c r="AY25"/>
  <c r="AY28"/>
  <c r="AV35"/>
  <c r="AV36"/>
  <c r="AY41"/>
  <c r="AY44"/>
  <c r="AV51"/>
  <c r="BB52"/>
  <c r="AY57"/>
  <c r="AY60"/>
  <c r="BB68"/>
  <c r="AY56"/>
  <c r="BB64"/>
  <c r="BA14"/>
  <c r="BA18"/>
  <c r="BA22"/>
  <c r="AZ25"/>
  <c r="BA26"/>
  <c r="AZ29"/>
  <c r="BA30"/>
  <c r="AZ33"/>
  <c r="BA34"/>
  <c r="AZ37"/>
  <c r="AZ41"/>
  <c r="AZ45"/>
  <c r="BA50"/>
  <c r="BA72"/>
  <c r="BA73"/>
  <c r="AZ74"/>
  <c r="AZ75"/>
  <c r="AZ76"/>
  <c r="BB76" s="1"/>
  <c r="AZ77"/>
  <c r="AZ7"/>
  <c r="BA7"/>
  <c r="BA9"/>
  <c r="BB9" s="1"/>
  <c r="AZ10"/>
  <c r="AZ11"/>
  <c r="BA11"/>
  <c r="BA13"/>
  <c r="BB13" s="1"/>
  <c r="AZ14"/>
  <c r="AZ15"/>
  <c r="BA15"/>
  <c r="BA17"/>
  <c r="BB17" s="1"/>
  <c r="AZ18"/>
  <c r="AZ19"/>
  <c r="BA19"/>
  <c r="BA21"/>
  <c r="BB21" s="1"/>
  <c r="AZ22"/>
  <c r="AZ23"/>
  <c r="BA23"/>
  <c r="BA25"/>
  <c r="AZ26"/>
  <c r="AZ27"/>
  <c r="BA27"/>
  <c r="BA29"/>
  <c r="AZ30"/>
  <c r="AZ31"/>
  <c r="BA31"/>
  <c r="BA33"/>
  <c r="AZ34"/>
  <c r="AZ35"/>
  <c r="BA35"/>
  <c r="BA37"/>
  <c r="AZ38"/>
  <c r="AZ39"/>
  <c r="BA39"/>
  <c r="BA41"/>
  <c r="AZ42"/>
  <c r="AZ43"/>
  <c r="BA43"/>
  <c r="BA45"/>
  <c r="AZ46"/>
  <c r="AZ47"/>
  <c r="BA47"/>
  <c r="BA49"/>
  <c r="BB49" s="1"/>
  <c r="AZ50"/>
  <c r="AZ51"/>
  <c r="BA51"/>
  <c r="BA53"/>
  <c r="BB53" s="1"/>
  <c r="AZ54"/>
  <c r="AZ55"/>
  <c r="BB55" s="1"/>
  <c r="BA55"/>
  <c r="BA57"/>
  <c r="BB57" s="1"/>
  <c r="AZ58"/>
  <c r="AZ59"/>
  <c r="BA59"/>
  <c r="BA61"/>
  <c r="BB61" s="1"/>
  <c r="AZ62"/>
  <c r="AZ63"/>
  <c r="BB63" s="1"/>
  <c r="BA63"/>
  <c r="BA65"/>
  <c r="AZ66"/>
  <c r="AZ67"/>
  <c r="BB67" s="1"/>
  <c r="BA67"/>
  <c r="BA69"/>
  <c r="AZ70"/>
  <c r="AZ71"/>
  <c r="AZ72"/>
  <c r="AY74"/>
  <c r="AY75"/>
  <c r="AY76"/>
  <c r="AV82"/>
  <c r="AV83"/>
  <c r="AV8"/>
  <c r="AY10"/>
  <c r="AV12"/>
  <c r="AY14"/>
  <c r="AV16"/>
  <c r="AY18"/>
  <c r="AV20"/>
  <c r="AY22"/>
  <c r="AV24"/>
  <c r="AY26"/>
  <c r="AV28"/>
  <c r="AY30"/>
  <c r="AY34"/>
  <c r="AY38"/>
  <c r="AY39"/>
  <c r="AY42"/>
  <c r="AY43"/>
  <c r="AY46"/>
  <c r="AV48"/>
  <c r="AY50"/>
  <c r="AV52"/>
  <c r="AY54"/>
  <c r="AV56"/>
  <c r="AY58"/>
  <c r="AY59"/>
  <c r="AV60"/>
  <c r="AY62"/>
  <c r="AY63"/>
  <c r="AV64"/>
  <c r="AY66"/>
  <c r="AY67"/>
  <c r="AV68"/>
  <c r="AY70"/>
  <c r="AY71"/>
  <c r="AY72"/>
  <c r="AV79"/>
  <c r="BB77"/>
  <c r="BA10"/>
  <c r="BB10" s="1"/>
  <c r="AY87" i="3"/>
  <c r="BA88"/>
  <c r="BB88" s="1"/>
  <c r="BA85"/>
  <c r="BB85" s="1"/>
  <c r="BB9"/>
  <c r="AV40"/>
  <c r="BA40"/>
  <c r="BB40" s="1"/>
  <c r="AV48"/>
  <c r="BA48"/>
  <c r="BB48" s="1"/>
  <c r="AV56"/>
  <c r="BA56"/>
  <c r="BB56" s="1"/>
  <c r="AV64"/>
  <c r="BA64"/>
  <c r="BB64" s="1"/>
  <c r="AV72"/>
  <c r="BA72"/>
  <c r="BB72" s="1"/>
  <c r="AZ7"/>
  <c r="AV9"/>
  <c r="AV16"/>
  <c r="BA16"/>
  <c r="BB16" s="1"/>
  <c r="AV18"/>
  <c r="AY19"/>
  <c r="BA21"/>
  <c r="BB21" s="1"/>
  <c r="AV27"/>
  <c r="AZ28"/>
  <c r="BB33"/>
  <c r="AY35"/>
  <c r="BB38"/>
  <c r="BB41"/>
  <c r="AY43"/>
  <c r="BB49"/>
  <c r="AY51"/>
  <c r="BB57"/>
  <c r="AY59"/>
  <c r="BB65"/>
  <c r="AY67"/>
  <c r="BB73"/>
  <c r="AY75"/>
  <c r="AY83"/>
  <c r="AZ39"/>
  <c r="BB39" s="1"/>
  <c r="AV39"/>
  <c r="AZ47"/>
  <c r="BB47" s="1"/>
  <c r="AV47"/>
  <c r="AZ55"/>
  <c r="BB55" s="1"/>
  <c r="AV55"/>
  <c r="AZ63"/>
  <c r="BB63" s="1"/>
  <c r="AV63"/>
  <c r="AZ71"/>
  <c r="BB71" s="1"/>
  <c r="AV71"/>
  <c r="BA20"/>
  <c r="BB20" s="1"/>
  <c r="AY23"/>
  <c r="BA25"/>
  <c r="BB25" s="1"/>
  <c r="BA26"/>
  <c r="BB26" s="1"/>
  <c r="AV29"/>
  <c r="AV31"/>
  <c r="BA31"/>
  <c r="BB31" s="1"/>
  <c r="AZ46"/>
  <c r="BB46" s="1"/>
  <c r="AZ54"/>
  <c r="BB54" s="1"/>
  <c r="AZ62"/>
  <c r="BB62" s="1"/>
  <c r="AZ70"/>
  <c r="BB70" s="1"/>
  <c r="BB78"/>
  <c r="AV36"/>
  <c r="BA36"/>
  <c r="BB36" s="1"/>
  <c r="AV44"/>
  <c r="BA44"/>
  <c r="BB44" s="1"/>
  <c r="AV52"/>
  <c r="BA52"/>
  <c r="BB52" s="1"/>
  <c r="AV60"/>
  <c r="BA60"/>
  <c r="BB60" s="1"/>
  <c r="AV68"/>
  <c r="BA68"/>
  <c r="BB68" s="1"/>
  <c r="AV76"/>
  <c r="BA76"/>
  <c r="BB76" s="1"/>
  <c r="BA77"/>
  <c r="BB77" s="1"/>
  <c r="AV77"/>
  <c r="BA8"/>
  <c r="AZ10"/>
  <c r="BB10" s="1"/>
  <c r="BA14"/>
  <c r="BB14" s="1"/>
  <c r="AV17"/>
  <c r="AV19"/>
  <c r="AV24"/>
  <c r="BA24"/>
  <c r="BB24" s="1"/>
  <c r="AY27"/>
  <c r="BA29"/>
  <c r="BB29" s="1"/>
  <c r="BB34"/>
  <c r="BB37"/>
  <c r="AY39"/>
  <c r="BB42"/>
  <c r="BB45"/>
  <c r="AY47"/>
  <c r="BB50"/>
  <c r="BB53"/>
  <c r="AY55"/>
  <c r="BB58"/>
  <c r="BB61"/>
  <c r="AY63"/>
  <c r="BB66"/>
  <c r="BB69"/>
  <c r="AY71"/>
  <c r="BB74"/>
  <c r="AZ79"/>
  <c r="BB79"/>
  <c r="AV80"/>
  <c r="BB82"/>
  <c r="AZ35"/>
  <c r="BB35" s="1"/>
  <c r="AV35"/>
  <c r="AZ43"/>
  <c r="BB43" s="1"/>
  <c r="AV43"/>
  <c r="AZ51"/>
  <c r="BB51" s="1"/>
  <c r="AV51"/>
  <c r="AZ59"/>
  <c r="BB59" s="1"/>
  <c r="AV59"/>
  <c r="AZ67"/>
  <c r="BB67" s="1"/>
  <c r="AV67"/>
  <c r="AZ75"/>
  <c r="BB75" s="1"/>
  <c r="AV75"/>
  <c r="BA81"/>
  <c r="BB81" s="1"/>
  <c r="AV81"/>
  <c r="BA7"/>
  <c r="BB7" s="1"/>
  <c r="AZ8"/>
  <c r="AV12"/>
  <c r="BA12"/>
  <c r="BB12" s="1"/>
  <c r="AY15"/>
  <c r="BA17"/>
  <c r="BB17" s="1"/>
  <c r="AV21"/>
  <c r="BA28"/>
  <c r="BB28" s="1"/>
  <c r="AZ83"/>
  <c r="BB83" s="1"/>
  <c r="AV79"/>
  <c r="BA80"/>
  <c r="BB80" s="1"/>
  <c r="BA50" i="4"/>
  <c r="BB50" s="1"/>
  <c r="AY39"/>
  <c r="AY51"/>
  <c r="BA33"/>
  <c r="BB33" s="1"/>
  <c r="BA69"/>
  <c r="AY23"/>
  <c r="AY27"/>
  <c r="AY29"/>
  <c r="AY31"/>
  <c r="AY7"/>
  <c r="AY11"/>
  <c r="AY15"/>
  <c r="AY63"/>
  <c r="BA10"/>
  <c r="BB10" s="1"/>
  <c r="BA12"/>
  <c r="BB12" s="1"/>
  <c r="BA13"/>
  <c r="BB13" s="1"/>
  <c r="BA14"/>
  <c r="BB14" s="1"/>
  <c r="BA16"/>
  <c r="BB16" s="1"/>
  <c r="BA17"/>
  <c r="BB17" s="1"/>
  <c r="BA62"/>
  <c r="BB62" s="1"/>
  <c r="BA64"/>
  <c r="BB64" s="1"/>
  <c r="BA65"/>
  <c r="BB65" s="1"/>
  <c r="BA82"/>
  <c r="BA18"/>
  <c r="BA34"/>
  <c r="BA36"/>
  <c r="BA37"/>
  <c r="BA54"/>
  <c r="BA56"/>
  <c r="BA57"/>
  <c r="BA58"/>
  <c r="BA60"/>
  <c r="BA61"/>
  <c r="AY71"/>
  <c r="BA74"/>
  <c r="BA76"/>
  <c r="BA77"/>
  <c r="AY43"/>
  <c r="AY45"/>
  <c r="AY47"/>
  <c r="BA52"/>
  <c r="BB52" s="1"/>
  <c r="BA53"/>
  <c r="BB53" s="1"/>
  <c r="AY67"/>
  <c r="BA70"/>
  <c r="BB70" s="1"/>
  <c r="BA72"/>
  <c r="BB72" s="1"/>
  <c r="BA73"/>
  <c r="BB73" s="1"/>
  <c r="AY83"/>
  <c r="AY79"/>
  <c r="BA8"/>
  <c r="BB8" s="1"/>
  <c r="BA9"/>
  <c r="BB9" s="1"/>
  <c r="AY19"/>
  <c r="AV20"/>
  <c r="BA21"/>
  <c r="BB21" s="1"/>
  <c r="AY35"/>
  <c r="BA41"/>
  <c r="BB41" s="1"/>
  <c r="AY55"/>
  <c r="AY57"/>
  <c r="AY59"/>
  <c r="AY75"/>
  <c r="AY10" i="7"/>
  <c r="AZ7" i="2"/>
  <c r="AZ71" i="7"/>
  <c r="AZ67"/>
  <c r="AZ63"/>
  <c r="AZ59"/>
  <c r="AZ51"/>
  <c r="AZ47"/>
  <c r="BB47" s="1"/>
  <c r="AZ43"/>
  <c r="AZ39"/>
  <c r="BB39" s="1"/>
  <c r="AZ35"/>
  <c r="AZ31"/>
  <c r="BB31" s="1"/>
  <c r="AZ27"/>
  <c r="BB27" s="1"/>
  <c r="AZ23"/>
  <c r="BB23" s="1"/>
  <c r="AZ19"/>
  <c r="BB19" s="1"/>
  <c r="AZ15"/>
  <c r="BB15" s="1"/>
  <c r="AZ11"/>
  <c r="BB11" s="1"/>
  <c r="AZ55"/>
  <c r="BB55" s="1"/>
  <c r="AZ66"/>
  <c r="AZ62"/>
  <c r="AZ58"/>
  <c r="AZ54"/>
  <c r="AZ46"/>
  <c r="AZ42"/>
  <c r="AZ38"/>
  <c r="AZ34"/>
  <c r="BB34" s="1"/>
  <c r="AZ30"/>
  <c r="BB30" s="1"/>
  <c r="AZ26"/>
  <c r="BB26" s="1"/>
  <c r="AZ22"/>
  <c r="BB22" s="1"/>
  <c r="AZ18"/>
  <c r="BB18" s="1"/>
  <c r="AZ14"/>
  <c r="BB14" s="1"/>
  <c r="AZ10"/>
  <c r="BB10" s="1"/>
  <c r="AZ70"/>
  <c r="BB70" s="1"/>
  <c r="AZ50"/>
  <c r="BB50" s="1"/>
  <c r="AY7"/>
  <c r="BA7"/>
  <c r="BB7" s="1"/>
  <c r="AY8"/>
  <c r="AV83"/>
  <c r="AV79"/>
  <c r="AV75"/>
  <c r="BB73" i="5"/>
  <c r="BB7"/>
  <c r="BB11"/>
  <c r="BB15"/>
  <c r="BB19"/>
  <c r="BB23"/>
  <c r="BB25"/>
  <c r="BB27"/>
  <c r="BB29"/>
  <c r="BB31"/>
  <c r="BB33"/>
  <c r="BB35"/>
  <c r="BB37"/>
  <c r="BB39"/>
  <c r="BB41"/>
  <c r="BB43"/>
  <c r="BB45"/>
  <c r="BB47"/>
  <c r="BB51"/>
  <c r="BB59"/>
  <c r="BB65"/>
  <c r="BB69"/>
  <c r="BB80"/>
  <c r="BB81"/>
  <c r="AV9"/>
  <c r="AV13"/>
  <c r="AV17"/>
  <c r="AV21"/>
  <c r="AV25"/>
  <c r="AV29"/>
  <c r="BA32"/>
  <c r="BB32" s="1"/>
  <c r="AV33"/>
  <c r="BA36"/>
  <c r="BB36" s="1"/>
  <c r="AV37"/>
  <c r="BA40"/>
  <c r="BB40" s="1"/>
  <c r="AV41"/>
  <c r="BA44"/>
  <c r="BB44" s="1"/>
  <c r="AV45"/>
  <c r="AV49"/>
  <c r="AV53"/>
  <c r="AV57"/>
  <c r="AV61"/>
  <c r="AV65"/>
  <c r="AV69"/>
  <c r="AV73"/>
  <c r="AV77"/>
  <c r="AV81"/>
  <c r="BA71"/>
  <c r="BB71" s="1"/>
  <c r="AV72"/>
  <c r="BA75"/>
  <c r="BB75" s="1"/>
  <c r="AV76"/>
  <c r="BA79"/>
  <c r="BB79" s="1"/>
  <c r="AV80"/>
  <c r="BA83"/>
  <c r="BB83" s="1"/>
  <c r="BA38"/>
  <c r="BB38" s="1"/>
  <c r="BA42"/>
  <c r="BB42" s="1"/>
  <c r="BA46"/>
  <c r="BB46" s="1"/>
  <c r="BA54"/>
  <c r="BB54" s="1"/>
  <c r="BA58"/>
  <c r="BB58" s="1"/>
  <c r="BA62"/>
  <c r="BB62" s="1"/>
  <c r="BA66"/>
  <c r="BB66" s="1"/>
  <c r="BA70"/>
  <c r="BB70" s="1"/>
  <c r="BA74"/>
  <c r="BB74" s="1"/>
  <c r="BA78"/>
  <c r="BB78" s="1"/>
  <c r="BA82"/>
  <c r="BB82" s="1"/>
  <c r="AV10"/>
  <c r="AV14"/>
  <c r="AV18"/>
  <c r="AV22"/>
  <c r="AV26"/>
  <c r="AV30"/>
  <c r="AV34"/>
  <c r="AV50"/>
  <c r="BB80" i="7"/>
  <c r="BB76"/>
  <c r="BB81"/>
  <c r="BB77"/>
  <c r="BB73"/>
  <c r="BB72"/>
  <c r="BB68"/>
  <c r="BB64"/>
  <c r="BB60"/>
  <c r="BB56"/>
  <c r="BB52"/>
  <c r="BB48"/>
  <c r="BB44"/>
  <c r="BB40"/>
  <c r="BB36"/>
  <c r="BB32"/>
  <c r="BB28"/>
  <c r="BB24"/>
  <c r="BB20"/>
  <c r="BB16"/>
  <c r="BB12"/>
  <c r="BB8"/>
  <c r="BB69"/>
  <c r="BB65"/>
  <c r="BB61"/>
  <c r="BB57"/>
  <c r="BB53"/>
  <c r="BB49"/>
  <c r="BB45"/>
  <c r="BB41"/>
  <c r="BB37"/>
  <c r="BB33"/>
  <c r="BB29"/>
  <c r="BB25"/>
  <c r="BB21"/>
  <c r="BB17"/>
  <c r="BB13"/>
  <c r="BB9"/>
  <c r="BB66"/>
  <c r="BB62"/>
  <c r="BB58"/>
  <c r="BB54"/>
  <c r="BB46"/>
  <c r="BB42"/>
  <c r="BB38"/>
  <c r="BB71"/>
  <c r="BB67"/>
  <c r="BB63"/>
  <c r="BB59"/>
  <c r="BB51"/>
  <c r="BB43"/>
  <c r="BB35"/>
  <c r="AV80"/>
  <c r="AV76"/>
  <c r="AZ82"/>
  <c r="BB82" s="1"/>
  <c r="AZ78"/>
  <c r="BB78" s="1"/>
  <c r="AZ74"/>
  <c r="BB74" s="1"/>
  <c r="AV81"/>
  <c r="AV77"/>
  <c r="AV73"/>
  <c r="AZ83"/>
  <c r="BB83" s="1"/>
  <c r="AZ79"/>
  <c r="BB79" s="1"/>
  <c r="AZ75"/>
  <c r="BB75" s="1"/>
  <c r="AV71"/>
  <c r="AV67"/>
  <c r="AV63"/>
  <c r="AV59"/>
  <c r="AV55"/>
  <c r="AV51"/>
  <c r="AV47"/>
  <c r="AV43"/>
  <c r="AV39"/>
  <c r="AV35"/>
  <c r="AV31"/>
  <c r="AV27"/>
  <c r="AV23"/>
  <c r="AV19"/>
  <c r="AV15"/>
  <c r="AV11"/>
  <c r="AV7"/>
  <c r="AV72"/>
  <c r="AV68"/>
  <c r="AV64"/>
  <c r="AV60"/>
  <c r="AV56"/>
  <c r="AV52"/>
  <c r="AV48"/>
  <c r="AV44"/>
  <c r="AV40"/>
  <c r="AV36"/>
  <c r="AV32"/>
  <c r="AV28"/>
  <c r="AV24"/>
  <c r="AV20"/>
  <c r="AV16"/>
  <c r="AV12"/>
  <c r="AV8"/>
  <c r="AV69"/>
  <c r="AV65"/>
  <c r="AV61"/>
  <c r="AV57"/>
  <c r="AV53"/>
  <c r="AV49"/>
  <c r="AV45"/>
  <c r="AV41"/>
  <c r="AV37"/>
  <c r="AV33"/>
  <c r="AV29"/>
  <c r="AV25"/>
  <c r="AV21"/>
  <c r="AV17"/>
  <c r="AV13"/>
  <c r="AV9"/>
  <c r="AV70"/>
  <c r="AV66"/>
  <c r="AV62"/>
  <c r="AV58"/>
  <c r="AV54"/>
  <c r="AV50"/>
  <c r="AV46"/>
  <c r="AV42"/>
  <c r="AV38"/>
  <c r="AV34"/>
  <c r="AV30"/>
  <c r="AV26"/>
  <c r="AV22"/>
  <c r="AV18"/>
  <c r="AV14"/>
  <c r="AV10"/>
  <c r="BB88" i="1"/>
  <c r="BA85"/>
  <c r="AV88"/>
  <c r="AZ85"/>
  <c r="BB10"/>
  <c r="BB14"/>
  <c r="BB18"/>
  <c r="BB22"/>
  <c r="BB26"/>
  <c r="BB30"/>
  <c r="BB34"/>
  <c r="BB38"/>
  <c r="BB42"/>
  <c r="BB46"/>
  <c r="BB50"/>
  <c r="BB54"/>
  <c r="BB58"/>
  <c r="BB62"/>
  <c r="BB66"/>
  <c r="BB70"/>
  <c r="BB74"/>
  <c r="BB78"/>
  <c r="BB82"/>
  <c r="BB7"/>
  <c r="BB11"/>
  <c r="BB15"/>
  <c r="BB19"/>
  <c r="BB23"/>
  <c r="BB27"/>
  <c r="BB31"/>
  <c r="BB35"/>
  <c r="BB39"/>
  <c r="BB43"/>
  <c r="BB47"/>
  <c r="BB51"/>
  <c r="BB55"/>
  <c r="BB59"/>
  <c r="BB63"/>
  <c r="BB67"/>
  <c r="BB71"/>
  <c r="BB75"/>
  <c r="BB79"/>
  <c r="AV9"/>
  <c r="AV13"/>
  <c r="AV17"/>
  <c r="AV21"/>
  <c r="AV25"/>
  <c r="AV29"/>
  <c r="AV33"/>
  <c r="AV37"/>
  <c r="AV41"/>
  <c r="AV45"/>
  <c r="AV49"/>
  <c r="AV53"/>
  <c r="AV57"/>
  <c r="AV61"/>
  <c r="AV65"/>
  <c r="AV69"/>
  <c r="AV73"/>
  <c r="AV77"/>
  <c r="AV81"/>
  <c r="BA83"/>
  <c r="BB83" s="1"/>
  <c r="AV10"/>
  <c r="AV14"/>
  <c r="AV18"/>
  <c r="AV22"/>
  <c r="AV26"/>
  <c r="AV30"/>
  <c r="AV34"/>
  <c r="AV38"/>
  <c r="AV42"/>
  <c r="AV46"/>
  <c r="AV50"/>
  <c r="AV54"/>
  <c r="AV58"/>
  <c r="AV62"/>
  <c r="AV66"/>
  <c r="AV70"/>
  <c r="AV74"/>
  <c r="AV78"/>
  <c r="AV82"/>
  <c r="AZ8" i="2"/>
  <c r="AZ9"/>
  <c r="AZ10"/>
  <c r="BB10" s="1"/>
  <c r="AZ11"/>
  <c r="AZ12"/>
  <c r="BB12" s="1"/>
  <c r="AZ13"/>
  <c r="BB13" s="1"/>
  <c r="AZ14"/>
  <c r="BB14" s="1"/>
  <c r="AZ15"/>
  <c r="AZ16"/>
  <c r="BB16" s="1"/>
  <c r="AZ17"/>
  <c r="BB17" s="1"/>
  <c r="AZ18"/>
  <c r="BB18" s="1"/>
  <c r="AZ19"/>
  <c r="AZ20"/>
  <c r="BB20" s="1"/>
  <c r="AZ21"/>
  <c r="BB21" s="1"/>
  <c r="AZ22"/>
  <c r="BB22" s="1"/>
  <c r="AZ23"/>
  <c r="AZ24"/>
  <c r="BB24" s="1"/>
  <c r="AZ25"/>
  <c r="BB25" s="1"/>
  <c r="AZ26"/>
  <c r="BB26" s="1"/>
  <c r="AZ27"/>
  <c r="AZ28"/>
  <c r="BB28" s="1"/>
  <c r="AZ29"/>
  <c r="BB29" s="1"/>
  <c r="AZ30"/>
  <c r="BB30" s="1"/>
  <c r="AZ31"/>
  <c r="AZ32"/>
  <c r="BB32" s="1"/>
  <c r="AZ33"/>
  <c r="BB33" s="1"/>
  <c r="AZ34"/>
  <c r="BB34" s="1"/>
  <c r="AZ35"/>
  <c r="AZ36"/>
  <c r="BB36" s="1"/>
  <c r="AZ37"/>
  <c r="BB37" s="1"/>
  <c r="AZ38"/>
  <c r="BB38" s="1"/>
  <c r="AZ39"/>
  <c r="AZ40"/>
  <c r="BB40" s="1"/>
  <c r="AZ41"/>
  <c r="BB41" s="1"/>
  <c r="AZ42"/>
  <c r="BB42" s="1"/>
  <c r="AZ43"/>
  <c r="AZ44"/>
  <c r="BB44" s="1"/>
  <c r="AZ45"/>
  <c r="BB45" s="1"/>
  <c r="AZ46"/>
  <c r="BB46" s="1"/>
  <c r="AZ47"/>
  <c r="AZ48"/>
  <c r="BB48" s="1"/>
  <c r="AZ49"/>
  <c r="BB49" s="1"/>
  <c r="AZ50"/>
  <c r="BB50" s="1"/>
  <c r="AZ51"/>
  <c r="AZ52"/>
  <c r="BB52" s="1"/>
  <c r="AZ53"/>
  <c r="BB53" s="1"/>
  <c r="AZ54"/>
  <c r="AZ55"/>
  <c r="AZ56"/>
  <c r="AZ57"/>
  <c r="BB57" s="1"/>
  <c r="AZ58"/>
  <c r="BB58" s="1"/>
  <c r="AZ59"/>
  <c r="AZ60"/>
  <c r="AZ61"/>
  <c r="BB61" s="1"/>
  <c r="AZ62"/>
  <c r="AZ63"/>
  <c r="AZ64"/>
  <c r="AZ65"/>
  <c r="BB65" s="1"/>
  <c r="AZ66"/>
  <c r="AZ67"/>
  <c r="AZ68"/>
  <c r="BB68" s="1"/>
  <c r="AZ69"/>
  <c r="BB69" s="1"/>
  <c r="AZ70"/>
  <c r="AZ71"/>
  <c r="AZ72"/>
  <c r="BB72" s="1"/>
  <c r="AZ73"/>
  <c r="BB73" s="1"/>
  <c r="AZ74"/>
  <c r="AZ75"/>
  <c r="AZ76"/>
  <c r="AZ77"/>
  <c r="BB77" s="1"/>
  <c r="AZ78"/>
  <c r="AZ79"/>
  <c r="AZ80"/>
  <c r="AZ81"/>
  <c r="AZ82"/>
  <c r="AZ83"/>
  <c r="AV78"/>
  <c r="AV79"/>
  <c r="AV80"/>
  <c r="AV82"/>
  <c r="AV83"/>
  <c r="AY8"/>
  <c r="AY10"/>
  <c r="AY12"/>
  <c r="AY14"/>
  <c r="AY16"/>
  <c r="AY18"/>
  <c r="AY20"/>
  <c r="AY22"/>
  <c r="AY24"/>
  <c r="AY26"/>
  <c r="AY28"/>
  <c r="AY30"/>
  <c r="AY32"/>
  <c r="AY34"/>
  <c r="AY36"/>
  <c r="AY38"/>
  <c r="AY40"/>
  <c r="AY42"/>
  <c r="AY44"/>
  <c r="AY46"/>
  <c r="AY48"/>
  <c r="AY50"/>
  <c r="AY52"/>
  <c r="AY54"/>
  <c r="AY56"/>
  <c r="AY58"/>
  <c r="AY60"/>
  <c r="AY62"/>
  <c r="AY63"/>
  <c r="AY64"/>
  <c r="AY66"/>
  <c r="AY67"/>
  <c r="AY68"/>
  <c r="AY70"/>
  <c r="AY71"/>
  <c r="AY72"/>
  <c r="AY74"/>
  <c r="AY75"/>
  <c r="AY76"/>
  <c r="AY78"/>
  <c r="AY79"/>
  <c r="AY80"/>
  <c r="AY82"/>
  <c r="AY83"/>
  <c r="BB81"/>
  <c r="BB8"/>
  <c r="BB9"/>
  <c r="AV11"/>
  <c r="AV15"/>
  <c r="AV19"/>
  <c r="AV23"/>
  <c r="AV27"/>
  <c r="AV31"/>
  <c r="AV35"/>
  <c r="AV39"/>
  <c r="AV43"/>
  <c r="AV47"/>
  <c r="AV51"/>
  <c r="AV55"/>
  <c r="AV56"/>
  <c r="AV59"/>
  <c r="AV60"/>
  <c r="AV62"/>
  <c r="AV63"/>
  <c r="AV64"/>
  <c r="AV66"/>
  <c r="AV67"/>
  <c r="AV70"/>
  <c r="AV71"/>
  <c r="AV74"/>
  <c r="AV75"/>
  <c r="AV76"/>
  <c r="BA7" i="6"/>
  <c r="BB7" s="1"/>
  <c r="BB18" i="4"/>
  <c r="BB20"/>
  <c r="BB34"/>
  <c r="BB36"/>
  <c r="BB37"/>
  <c r="BB54"/>
  <c r="BB56"/>
  <c r="BB57"/>
  <c r="BB58"/>
  <c r="BB60"/>
  <c r="BB61"/>
  <c r="BB74"/>
  <c r="BB76"/>
  <c r="BB77"/>
  <c r="BB42"/>
  <c r="BB44"/>
  <c r="BB45"/>
  <c r="BB46"/>
  <c r="BB48"/>
  <c r="BB49"/>
  <c r="BB66"/>
  <c r="BB68"/>
  <c r="BB69"/>
  <c r="BB82"/>
  <c r="AV9"/>
  <c r="AV13"/>
  <c r="AV17"/>
  <c r="AV21"/>
  <c r="AV25"/>
  <c r="AV29"/>
  <c r="AV33"/>
  <c r="AV37"/>
  <c r="AV41"/>
  <c r="AV45"/>
  <c r="AV49"/>
  <c r="AV53"/>
  <c r="AV57"/>
  <c r="AV61"/>
  <c r="AV65"/>
  <c r="AV69"/>
  <c r="AV73"/>
  <c r="AV77"/>
  <c r="AV81"/>
  <c r="BA7"/>
  <c r="BB7" s="1"/>
  <c r="AV8"/>
  <c r="BA11"/>
  <c r="BB11" s="1"/>
  <c r="AV12"/>
  <c r="BA15"/>
  <c r="BB15" s="1"/>
  <c r="AV16"/>
  <c r="BA19"/>
  <c r="BB19" s="1"/>
  <c r="BA23"/>
  <c r="BB23" s="1"/>
  <c r="AV24"/>
  <c r="BA27"/>
  <c r="BB27" s="1"/>
  <c r="AV28"/>
  <c r="BA31"/>
  <c r="BB31" s="1"/>
  <c r="AV32"/>
  <c r="BA35"/>
  <c r="BB35" s="1"/>
  <c r="AV36"/>
  <c r="BA39"/>
  <c r="BB39" s="1"/>
  <c r="AV40"/>
  <c r="BA43"/>
  <c r="BB43" s="1"/>
  <c r="AV44"/>
  <c r="BA47"/>
  <c r="BB47" s="1"/>
  <c r="AV48"/>
  <c r="BA51"/>
  <c r="BB51" s="1"/>
  <c r="AV52"/>
  <c r="BA55"/>
  <c r="BB55" s="1"/>
  <c r="AV56"/>
  <c r="BA59"/>
  <c r="BB59" s="1"/>
  <c r="AV60"/>
  <c r="BA63"/>
  <c r="BB63" s="1"/>
  <c r="AV64"/>
  <c r="BA67"/>
  <c r="BB67" s="1"/>
  <c r="AV68"/>
  <c r="BA71"/>
  <c r="BB71" s="1"/>
  <c r="AV72"/>
  <c r="BA75"/>
  <c r="BB75" s="1"/>
  <c r="AV76"/>
  <c r="BA79"/>
  <c r="BB79" s="1"/>
  <c r="AV80"/>
  <c r="BA83"/>
  <c r="BB83" s="1"/>
  <c r="AV10"/>
  <c r="AV14"/>
  <c r="AV18"/>
  <c r="AV22"/>
  <c r="AV26"/>
  <c r="AV30"/>
  <c r="AV34"/>
  <c r="AV38"/>
  <c r="AV42"/>
  <c r="AV46"/>
  <c r="AV50"/>
  <c r="AV54"/>
  <c r="AV58"/>
  <c r="AV62"/>
  <c r="AV66"/>
  <c r="AV70"/>
  <c r="AV74"/>
  <c r="AV78"/>
  <c r="AV82"/>
  <c r="BB54" i="2"/>
  <c r="AV9"/>
  <c r="AV13"/>
  <c r="AV17"/>
  <c r="AV21"/>
  <c r="AV25"/>
  <c r="AV29"/>
  <c r="AV33"/>
  <c r="AV37"/>
  <c r="AV41"/>
  <c r="AV45"/>
  <c r="AV49"/>
  <c r="AV53"/>
  <c r="BA56"/>
  <c r="BB56" s="1"/>
  <c r="AV57"/>
  <c r="BA60"/>
  <c r="BB60" s="1"/>
  <c r="AV61"/>
  <c r="BA64"/>
  <c r="BB64" s="1"/>
  <c r="AV65"/>
  <c r="AV69"/>
  <c r="AV73"/>
  <c r="BA76"/>
  <c r="BB76" s="1"/>
  <c r="AV77"/>
  <c r="BA80"/>
  <c r="BB80" s="1"/>
  <c r="AV81"/>
  <c r="BA7"/>
  <c r="BB7" s="1"/>
  <c r="AV8"/>
  <c r="BA11"/>
  <c r="BB11" s="1"/>
  <c r="AV12"/>
  <c r="BA15"/>
  <c r="BB15" s="1"/>
  <c r="AV16"/>
  <c r="BA19"/>
  <c r="BB19" s="1"/>
  <c r="AV20"/>
  <c r="BA23"/>
  <c r="BB23" s="1"/>
  <c r="AV24"/>
  <c r="BA27"/>
  <c r="BB27" s="1"/>
  <c r="AV28"/>
  <c r="BA31"/>
  <c r="BB31" s="1"/>
  <c r="AV32"/>
  <c r="BA35"/>
  <c r="BB35" s="1"/>
  <c r="AV36"/>
  <c r="BA39"/>
  <c r="BB39" s="1"/>
  <c r="AV40"/>
  <c r="BA43"/>
  <c r="BB43" s="1"/>
  <c r="AV44"/>
  <c r="BA47"/>
  <c r="BB47" s="1"/>
  <c r="AV48"/>
  <c r="BA51"/>
  <c r="AV52"/>
  <c r="BA55"/>
  <c r="BA59"/>
  <c r="BA63"/>
  <c r="BA67"/>
  <c r="AV68"/>
  <c r="BA71"/>
  <c r="AV72"/>
  <c r="BA75"/>
  <c r="BA79"/>
  <c r="BA83"/>
  <c r="BA62"/>
  <c r="BB62" s="1"/>
  <c r="BA66"/>
  <c r="BB66" s="1"/>
  <c r="BA70"/>
  <c r="BB70" s="1"/>
  <c r="BA74"/>
  <c r="BB74" s="1"/>
  <c r="BA78"/>
  <c r="BB78" s="1"/>
  <c r="BA82"/>
  <c r="AV10"/>
  <c r="AV14"/>
  <c r="AV18"/>
  <c r="AV22"/>
  <c r="AV26"/>
  <c r="AV30"/>
  <c r="AV34"/>
  <c r="AV38"/>
  <c r="AV42"/>
  <c r="AV46"/>
  <c r="AV50"/>
  <c r="AV54"/>
  <c r="AV58"/>
  <c r="BB85" i="4" l="1"/>
  <c r="BB45" i="6"/>
  <c r="BB61"/>
  <c r="BB77"/>
  <c r="BB13"/>
  <c r="BB41"/>
  <c r="BB53"/>
  <c r="BB69"/>
  <c r="BB81"/>
  <c r="BB50" i="5"/>
  <c r="BB34"/>
  <c r="BB26"/>
  <c r="BB14"/>
  <c r="BB72"/>
  <c r="BB18"/>
  <c r="BB30"/>
  <c r="BB22"/>
  <c r="BB8" i="3"/>
  <c r="BB85" i="1"/>
  <c r="BB59" i="2"/>
  <c r="BB83"/>
  <c r="BB71"/>
  <c r="BB79"/>
  <c r="BB55"/>
  <c r="BB63"/>
  <c r="BB51"/>
  <c r="BB82"/>
  <c r="BB75"/>
  <c r="BB67"/>
  <c r="AJ83" i="5" l="1"/>
  <c r="AJ82"/>
  <c r="AJ81"/>
  <c r="AJ80"/>
  <c r="AJ79"/>
  <c r="AJ78"/>
  <c r="AJ77"/>
  <c r="AJ76"/>
  <c r="AJ75"/>
  <c r="AJ74"/>
  <c r="AJ73"/>
  <c r="AJ72"/>
  <c r="AJ71"/>
  <c r="AJ70"/>
  <c r="AJ69"/>
  <c r="AJ68"/>
  <c r="AJ67"/>
  <c r="AJ66"/>
  <c r="AJ65"/>
  <c r="AJ64"/>
  <c r="AJ63"/>
  <c r="AJ62"/>
  <c r="AJ61"/>
  <c r="AJ60"/>
  <c r="AJ59"/>
  <c r="AJ58"/>
  <c r="AJ57"/>
  <c r="AJ56"/>
  <c r="AJ55"/>
  <c r="AJ54"/>
  <c r="AJ53"/>
  <c r="AJ52"/>
  <c r="AJ51"/>
  <c r="AJ50"/>
  <c r="AJ49"/>
  <c r="AJ48"/>
  <c r="AJ47"/>
  <c r="AJ46"/>
  <c r="AJ45"/>
  <c r="AJ44"/>
  <c r="AJ43"/>
  <c r="AJ42"/>
  <c r="AJ41"/>
  <c r="AJ40"/>
  <c r="AJ39"/>
  <c r="AJ38"/>
  <c r="AJ37"/>
  <c r="AJ36"/>
  <c r="AJ35"/>
  <c r="AJ34"/>
  <c r="AJ33"/>
  <c r="AJ32"/>
  <c r="AJ31"/>
  <c r="AJ30"/>
  <c r="AJ29"/>
  <c r="AJ28"/>
  <c r="AJ27"/>
  <c r="AJ26"/>
  <c r="AJ25"/>
  <c r="AJ24"/>
  <c r="AJ23"/>
  <c r="AJ22"/>
  <c r="AJ21"/>
  <c r="AJ20"/>
  <c r="AJ19"/>
  <c r="AJ18"/>
  <c r="AJ17"/>
  <c r="AJ16"/>
  <c r="AJ15"/>
  <c r="AJ14"/>
  <c r="AJ13"/>
  <c r="AJ12"/>
  <c r="AJ11"/>
  <c r="AJ10"/>
  <c r="AJ9"/>
  <c r="AJ8"/>
  <c r="AJ7"/>
  <c r="O83"/>
  <c r="O82"/>
  <c r="O81"/>
  <c r="O80"/>
  <c r="O79"/>
  <c r="O78"/>
  <c r="O77"/>
  <c r="O76"/>
  <c r="O75"/>
  <c r="O74"/>
  <c r="O73"/>
  <c r="O72"/>
  <c r="O71"/>
  <c r="O70"/>
  <c r="O69"/>
  <c r="O68"/>
  <c r="O67"/>
  <c r="O66"/>
  <c r="O65"/>
  <c r="O64"/>
  <c r="O63"/>
  <c r="O62"/>
  <c r="O61"/>
  <c r="O60"/>
  <c r="O59"/>
  <c r="O58"/>
  <c r="O57"/>
  <c r="O56"/>
  <c r="O55"/>
  <c r="O54"/>
  <c r="O53"/>
  <c r="O52"/>
  <c r="O51"/>
  <c r="O50"/>
  <c r="O49"/>
  <c r="O48"/>
  <c r="O47"/>
  <c r="O46"/>
  <c r="O45"/>
  <c r="O44"/>
  <c r="O43"/>
  <c r="O42"/>
  <c r="O41"/>
  <c r="O40"/>
  <c r="O39"/>
  <c r="O38"/>
  <c r="O37"/>
  <c r="O36"/>
  <c r="O35"/>
  <c r="O34"/>
  <c r="O33"/>
  <c r="O32"/>
  <c r="O31"/>
  <c r="O30"/>
  <c r="O29"/>
  <c r="O28"/>
  <c r="O27"/>
  <c r="O26"/>
  <c r="O25"/>
  <c r="O24"/>
  <c r="O23"/>
  <c r="O22"/>
  <c r="O21"/>
  <c r="O20"/>
  <c r="O19"/>
  <c r="O18"/>
  <c r="O17"/>
  <c r="O16"/>
  <c r="O15"/>
  <c r="O14"/>
  <c r="O13"/>
  <c r="O12"/>
  <c r="O11"/>
  <c r="O10"/>
  <c r="O9"/>
  <c r="O8"/>
  <c r="O7"/>
  <c r="L83"/>
  <c r="L82"/>
  <c r="L81"/>
  <c r="L80"/>
  <c r="L79"/>
  <c r="L78"/>
  <c r="L77"/>
  <c r="L76"/>
  <c r="L75"/>
  <c r="L74"/>
  <c r="L73"/>
  <c r="L72"/>
  <c r="L71"/>
  <c r="L70"/>
  <c r="L69"/>
  <c r="L68"/>
  <c r="L67"/>
  <c r="L66"/>
  <c r="L65"/>
  <c r="L64"/>
  <c r="L63"/>
  <c r="L62"/>
  <c r="L61"/>
  <c r="L60"/>
  <c r="L59"/>
  <c r="L58"/>
  <c r="L57"/>
  <c r="L56"/>
  <c r="L55"/>
  <c r="L54"/>
  <c r="L53"/>
  <c r="L52"/>
  <c r="L51"/>
  <c r="L50"/>
  <c r="L49"/>
  <c r="L48"/>
  <c r="L47"/>
  <c r="L46"/>
  <c r="L45"/>
  <c r="L44"/>
  <c r="L43"/>
  <c r="L42"/>
  <c r="L41"/>
  <c r="L40"/>
  <c r="L39"/>
  <c r="L38"/>
  <c r="L37"/>
  <c r="L36"/>
  <c r="L35"/>
  <c r="L34"/>
  <c r="L33"/>
  <c r="L32"/>
  <c r="L31"/>
  <c r="L30"/>
  <c r="L29"/>
  <c r="L28"/>
  <c r="L27"/>
  <c r="L26"/>
  <c r="L25"/>
  <c r="L24"/>
  <c r="L23"/>
  <c r="L22"/>
  <c r="L21"/>
  <c r="L20"/>
  <c r="L19"/>
  <c r="L18"/>
  <c r="L17"/>
  <c r="L16"/>
  <c r="L15"/>
  <c r="L14"/>
  <c r="L13"/>
  <c r="L12"/>
  <c r="L11"/>
  <c r="L10"/>
  <c r="L9"/>
  <c r="L8"/>
  <c r="L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59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7"/>
  <c r="AP83" i="7"/>
  <c r="AP82"/>
  <c r="AP81"/>
  <c r="AP80"/>
  <c r="AP79"/>
  <c r="AP78"/>
  <c r="AP77"/>
  <c r="AP76"/>
  <c r="AP75"/>
  <c r="AP74"/>
  <c r="AP73"/>
  <c r="AP72"/>
  <c r="AP71"/>
  <c r="AP70"/>
  <c r="AP69"/>
  <c r="AP68"/>
  <c r="AP67"/>
  <c r="AP66"/>
  <c r="AP65"/>
  <c r="AP64"/>
  <c r="AP63"/>
  <c r="AP62"/>
  <c r="AP61"/>
  <c r="AP60"/>
  <c r="AP59"/>
  <c r="AP58"/>
  <c r="AP57"/>
  <c r="AP56"/>
  <c r="AP55"/>
  <c r="AP54"/>
  <c r="AP53"/>
  <c r="AP52"/>
  <c r="AP51"/>
  <c r="AP50"/>
  <c r="AP49"/>
  <c r="AP48"/>
  <c r="AP47"/>
  <c r="AP46"/>
  <c r="AP45"/>
  <c r="AP44"/>
  <c r="AP43"/>
  <c r="AP42"/>
  <c r="AP41"/>
  <c r="AP40"/>
  <c r="AP39"/>
  <c r="AP38"/>
  <c r="AP37"/>
  <c r="AP36"/>
  <c r="AP35"/>
  <c r="AP34"/>
  <c r="AP33"/>
  <c r="AP32"/>
  <c r="AP31"/>
  <c r="AP30"/>
  <c r="AP29"/>
  <c r="AP28"/>
  <c r="AP27"/>
  <c r="AP26"/>
  <c r="AP25"/>
  <c r="AP24"/>
  <c r="AP23"/>
  <c r="AP22"/>
  <c r="AP21"/>
  <c r="AP20"/>
  <c r="AP19"/>
  <c r="AP18"/>
  <c r="AP17"/>
  <c r="AP16"/>
  <c r="AP15"/>
  <c r="AP14"/>
  <c r="AP13"/>
  <c r="AP12"/>
  <c r="AP11"/>
  <c r="AP10"/>
  <c r="AP9"/>
  <c r="AP8"/>
  <c r="AP7"/>
  <c r="AS83"/>
  <c r="AS82"/>
  <c r="AS81"/>
  <c r="AS80"/>
  <c r="AS79"/>
  <c r="AS78"/>
  <c r="AS77"/>
  <c r="AS76"/>
  <c r="AS75"/>
  <c r="AS74"/>
  <c r="AS73"/>
  <c r="AS72"/>
  <c r="AS71"/>
  <c r="AS70"/>
  <c r="AS69"/>
  <c r="AS68"/>
  <c r="AS67"/>
  <c r="AS66"/>
  <c r="AS65"/>
  <c r="AS64"/>
  <c r="AS63"/>
  <c r="AS62"/>
  <c r="AS61"/>
  <c r="AS60"/>
  <c r="AS59"/>
  <c r="AS58"/>
  <c r="AS57"/>
  <c r="AS56"/>
  <c r="AS55"/>
  <c r="AS54"/>
  <c r="AS53"/>
  <c r="AS52"/>
  <c r="AS51"/>
  <c r="AS50"/>
  <c r="AS49"/>
  <c r="AS48"/>
  <c r="AS47"/>
  <c r="AS46"/>
  <c r="AS45"/>
  <c r="AS44"/>
  <c r="AS43"/>
  <c r="AS42"/>
  <c r="AS41"/>
  <c r="AS40"/>
  <c r="AS39"/>
  <c r="AS38"/>
  <c r="AS37"/>
  <c r="AS36"/>
  <c r="AS35"/>
  <c r="AS34"/>
  <c r="AS33"/>
  <c r="AS32"/>
  <c r="AS31"/>
  <c r="AS30"/>
  <c r="AS29"/>
  <c r="AS28"/>
  <c r="AS27"/>
  <c r="AS26"/>
  <c r="AS25"/>
  <c r="AS24"/>
  <c r="AS23"/>
  <c r="AS22"/>
  <c r="AS21"/>
  <c r="AS20"/>
  <c r="AS19"/>
  <c r="AS18"/>
  <c r="AS17"/>
  <c r="AS16"/>
  <c r="AS15"/>
  <c r="AS14"/>
  <c r="AS13"/>
  <c r="AS12"/>
  <c r="AS11"/>
  <c r="AS10"/>
  <c r="AS9"/>
  <c r="AS8"/>
  <c r="AS7"/>
  <c r="AM83"/>
  <c r="AJ83"/>
  <c r="AM82"/>
  <c r="AJ82"/>
  <c r="AM81"/>
  <c r="AJ81"/>
  <c r="AM80"/>
  <c r="AJ80"/>
  <c r="AM79"/>
  <c r="AJ79"/>
  <c r="AM78"/>
  <c r="AJ78"/>
  <c r="AM77"/>
  <c r="AJ77"/>
  <c r="AM76"/>
  <c r="AJ76"/>
  <c r="AM75"/>
  <c r="AJ75"/>
  <c r="AM74"/>
  <c r="AJ74"/>
  <c r="AM73"/>
  <c r="AJ73"/>
  <c r="AM72"/>
  <c r="AJ72"/>
  <c r="AM71"/>
  <c r="AJ71"/>
  <c r="AM70"/>
  <c r="AJ70"/>
  <c r="AM69"/>
  <c r="AJ69"/>
  <c r="AM68"/>
  <c r="AJ68"/>
  <c r="AM67"/>
  <c r="AJ67"/>
  <c r="AM66"/>
  <c r="AJ66"/>
  <c r="AM65"/>
  <c r="AJ65"/>
  <c r="AM64"/>
  <c r="AJ64"/>
  <c r="AM63"/>
  <c r="AJ63"/>
  <c r="AM62"/>
  <c r="AJ62"/>
  <c r="AM61"/>
  <c r="AJ61"/>
  <c r="AM60"/>
  <c r="AJ60"/>
  <c r="AM59"/>
  <c r="AJ59"/>
  <c r="AM58"/>
  <c r="AJ58"/>
  <c r="AM57"/>
  <c r="AJ57"/>
  <c r="AM56"/>
  <c r="AJ56"/>
  <c r="AM55"/>
  <c r="AJ55"/>
  <c r="AM54"/>
  <c r="AJ54"/>
  <c r="AM53"/>
  <c r="AJ53"/>
  <c r="AM52"/>
  <c r="AJ52"/>
  <c r="AM51"/>
  <c r="AJ51"/>
  <c r="AM50"/>
  <c r="AJ50"/>
  <c r="AM49"/>
  <c r="AJ49"/>
  <c r="AM48"/>
  <c r="AJ48"/>
  <c r="AM47"/>
  <c r="AJ47"/>
  <c r="AM46"/>
  <c r="AJ46"/>
  <c r="AM45"/>
  <c r="AJ45"/>
  <c r="AM44"/>
  <c r="AJ44"/>
  <c r="AM43"/>
  <c r="AJ43"/>
  <c r="AM42"/>
  <c r="AJ42"/>
  <c r="AM41"/>
  <c r="AJ41"/>
  <c r="AM40"/>
  <c r="AJ40"/>
  <c r="AM39"/>
  <c r="AJ39"/>
  <c r="AM38"/>
  <c r="AJ38"/>
  <c r="AM37"/>
  <c r="AJ37"/>
  <c r="AM36"/>
  <c r="AJ36"/>
  <c r="AM35"/>
  <c r="AJ35"/>
  <c r="AM34"/>
  <c r="AJ34"/>
  <c r="AM33"/>
  <c r="AJ33"/>
  <c r="AM32"/>
  <c r="AJ32"/>
  <c r="AM31"/>
  <c r="AJ31"/>
  <c r="AM30"/>
  <c r="AJ30"/>
  <c r="AM29"/>
  <c r="AJ29"/>
  <c r="AM28"/>
  <c r="AJ28"/>
  <c r="AM27"/>
  <c r="AJ27"/>
  <c r="AM26"/>
  <c r="AJ26"/>
  <c r="AM25"/>
  <c r="AJ25"/>
  <c r="AM24"/>
  <c r="AJ24"/>
  <c r="AM23"/>
  <c r="AJ23"/>
  <c r="AM22"/>
  <c r="AJ22"/>
  <c r="AM21"/>
  <c r="AJ21"/>
  <c r="AM20"/>
  <c r="AJ20"/>
  <c r="AM19"/>
  <c r="AJ19"/>
  <c r="AM18"/>
  <c r="AJ18"/>
  <c r="AM17"/>
  <c r="AJ17"/>
  <c r="AM16"/>
  <c r="AJ16"/>
  <c r="AM15"/>
  <c r="AJ15"/>
  <c r="AM14"/>
  <c r="AJ14"/>
  <c r="AM13"/>
  <c r="AJ13"/>
  <c r="AM12"/>
  <c r="AJ12"/>
  <c r="AM11"/>
  <c r="AJ11"/>
  <c r="AM10"/>
  <c r="AJ10"/>
  <c r="AM9"/>
  <c r="AJ9"/>
  <c r="AM8"/>
  <c r="AJ8"/>
  <c r="AM7"/>
  <c r="AJ7"/>
  <c r="AG83"/>
  <c r="AD83"/>
  <c r="AG82"/>
  <c r="AD82"/>
  <c r="AG81"/>
  <c r="AD81"/>
  <c r="AG80"/>
  <c r="AD80"/>
  <c r="AG79"/>
  <c r="AD79"/>
  <c r="AG78"/>
  <c r="AD78"/>
  <c r="AG77"/>
  <c r="AD77"/>
  <c r="AG76"/>
  <c r="AD76"/>
  <c r="AG75"/>
  <c r="AD75"/>
  <c r="AG74"/>
  <c r="AD74"/>
  <c r="AG73"/>
  <c r="AD73"/>
  <c r="AG72"/>
  <c r="AD72"/>
  <c r="AG71"/>
  <c r="AD71"/>
  <c r="AG70"/>
  <c r="AD70"/>
  <c r="AG69"/>
  <c r="AD69"/>
  <c r="AG68"/>
  <c r="AD68"/>
  <c r="AG67"/>
  <c r="AD67"/>
  <c r="AG66"/>
  <c r="AD66"/>
  <c r="AG65"/>
  <c r="AD65"/>
  <c r="AG64"/>
  <c r="AD64"/>
  <c r="AG63"/>
  <c r="AD63"/>
  <c r="AG62"/>
  <c r="AD62"/>
  <c r="AG61"/>
  <c r="AD61"/>
  <c r="AG60"/>
  <c r="AD60"/>
  <c r="AG59"/>
  <c r="AD59"/>
  <c r="AG58"/>
  <c r="AD58"/>
  <c r="AG57"/>
  <c r="AD57"/>
  <c r="AG56"/>
  <c r="AD56"/>
  <c r="AG55"/>
  <c r="AD55"/>
  <c r="AG54"/>
  <c r="AD54"/>
  <c r="AG53"/>
  <c r="AD53"/>
  <c r="AG52"/>
  <c r="AD52"/>
  <c r="AG51"/>
  <c r="AD51"/>
  <c r="AG50"/>
  <c r="AD50"/>
  <c r="AG49"/>
  <c r="AD49"/>
  <c r="AG48"/>
  <c r="AD48"/>
  <c r="AG47"/>
  <c r="AD47"/>
  <c r="AG46"/>
  <c r="AD46"/>
  <c r="AG45"/>
  <c r="AD45"/>
  <c r="AG44"/>
  <c r="AD44"/>
  <c r="AG43"/>
  <c r="AD43"/>
  <c r="AG42"/>
  <c r="AD42"/>
  <c r="AG41"/>
  <c r="AD41"/>
  <c r="AG40"/>
  <c r="AD40"/>
  <c r="AG39"/>
  <c r="AD39"/>
  <c r="AG38"/>
  <c r="AD38"/>
  <c r="AG37"/>
  <c r="AD37"/>
  <c r="AG36"/>
  <c r="AD36"/>
  <c r="AG35"/>
  <c r="AD35"/>
  <c r="AG34"/>
  <c r="AD34"/>
  <c r="AG33"/>
  <c r="AD33"/>
  <c r="AG32"/>
  <c r="AD32"/>
  <c r="AG31"/>
  <c r="AD31"/>
  <c r="AG30"/>
  <c r="AD30"/>
  <c r="AG29"/>
  <c r="AD29"/>
  <c r="AG28"/>
  <c r="AD28"/>
  <c r="AG27"/>
  <c r="AD27"/>
  <c r="AG26"/>
  <c r="AD26"/>
  <c r="AG25"/>
  <c r="AD25"/>
  <c r="AG24"/>
  <c r="AD24"/>
  <c r="AG23"/>
  <c r="AD23"/>
  <c r="AG22"/>
  <c r="AD22"/>
  <c r="AG21"/>
  <c r="AD21"/>
  <c r="AG20"/>
  <c r="AD20"/>
  <c r="AG19"/>
  <c r="AD19"/>
  <c r="AG18"/>
  <c r="AD18"/>
  <c r="AG17"/>
  <c r="AD17"/>
  <c r="AG16"/>
  <c r="AD16"/>
  <c r="AG15"/>
  <c r="AD15"/>
  <c r="AG14"/>
  <c r="AD14"/>
  <c r="AG13"/>
  <c r="AD13"/>
  <c r="AG12"/>
  <c r="AD12"/>
  <c r="AG11"/>
  <c r="AD11"/>
  <c r="AG10"/>
  <c r="AD10"/>
  <c r="AG9"/>
  <c r="AD9"/>
  <c r="AG8"/>
  <c r="AD8"/>
  <c r="AG7"/>
  <c r="AD7"/>
  <c r="X83"/>
  <c r="X82"/>
  <c r="X81"/>
  <c r="X80"/>
  <c r="X79"/>
  <c r="X78"/>
  <c r="X77"/>
  <c r="X76"/>
  <c r="X75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47"/>
  <c r="X46"/>
  <c r="X45"/>
  <c r="X44"/>
  <c r="X43"/>
  <c r="X42"/>
  <c r="X41"/>
  <c r="X40"/>
  <c r="X39"/>
  <c r="X38"/>
  <c r="X37"/>
  <c r="X36"/>
  <c r="X35"/>
  <c r="X34"/>
  <c r="X33"/>
  <c r="X32"/>
  <c r="X31"/>
  <c r="X30"/>
  <c r="X29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10"/>
  <c r="X9"/>
  <c r="X8"/>
  <c r="X7"/>
  <c r="U83"/>
  <c r="U82"/>
  <c r="U81"/>
  <c r="U80"/>
  <c r="U79"/>
  <c r="U78"/>
  <c r="U77"/>
  <c r="U76"/>
  <c r="U75"/>
  <c r="U74"/>
  <c r="U73"/>
  <c r="U72"/>
  <c r="U71"/>
  <c r="U70"/>
  <c r="U69"/>
  <c r="U68"/>
  <c r="U67"/>
  <c r="U66"/>
  <c r="U65"/>
  <c r="U64"/>
  <c r="U63"/>
  <c r="U62"/>
  <c r="U61"/>
  <c r="U60"/>
  <c r="U59"/>
  <c r="U58"/>
  <c r="U57"/>
  <c r="U56"/>
  <c r="U55"/>
  <c r="U54"/>
  <c r="U53"/>
  <c r="U52"/>
  <c r="U51"/>
  <c r="U50"/>
  <c r="U49"/>
  <c r="U48"/>
  <c r="U47"/>
  <c r="U46"/>
  <c r="U45"/>
  <c r="U44"/>
  <c r="U43"/>
  <c r="U42"/>
  <c r="U41"/>
  <c r="U40"/>
  <c r="U39"/>
  <c r="U38"/>
  <c r="U37"/>
  <c r="U36"/>
  <c r="U35"/>
  <c r="U34"/>
  <c r="U33"/>
  <c r="U32"/>
  <c r="U31"/>
  <c r="U30"/>
  <c r="U29"/>
  <c r="U28"/>
  <c r="U27"/>
  <c r="U26"/>
  <c r="U25"/>
  <c r="U24"/>
  <c r="U23"/>
  <c r="U22"/>
  <c r="U21"/>
  <c r="U20"/>
  <c r="U19"/>
  <c r="U18"/>
  <c r="U17"/>
  <c r="U16"/>
  <c r="U15"/>
  <c r="U14"/>
  <c r="U13"/>
  <c r="U12"/>
  <c r="U11"/>
  <c r="U10"/>
  <c r="U9"/>
  <c r="U8"/>
  <c r="U7"/>
  <c r="R8"/>
  <c r="R9"/>
  <c r="R10"/>
  <c r="R11"/>
  <c r="R12"/>
  <c r="R13"/>
  <c r="R14"/>
  <c r="R15"/>
  <c r="R16"/>
  <c r="R17"/>
  <c r="R18"/>
  <c r="R19"/>
  <c r="R20"/>
  <c r="R21"/>
  <c r="R22"/>
  <c r="R23"/>
  <c r="R24"/>
  <c r="R25"/>
  <c r="R26"/>
  <c r="R27"/>
  <c r="R28"/>
  <c r="R29"/>
  <c r="R30"/>
  <c r="R31"/>
  <c r="R32"/>
  <c r="R33"/>
  <c r="R34"/>
  <c r="R35"/>
  <c r="R36"/>
  <c r="R37"/>
  <c r="R38"/>
  <c r="R39"/>
  <c r="R40"/>
  <c r="R41"/>
  <c r="R42"/>
  <c r="R43"/>
  <c r="R44"/>
  <c r="R45"/>
  <c r="R46"/>
  <c r="R47"/>
  <c r="R48"/>
  <c r="R49"/>
  <c r="R50"/>
  <c r="R51"/>
  <c r="R52"/>
  <c r="R53"/>
  <c r="R54"/>
  <c r="R55"/>
  <c r="R56"/>
  <c r="R57"/>
  <c r="R58"/>
  <c r="R59"/>
  <c r="R60"/>
  <c r="R61"/>
  <c r="R62"/>
  <c r="R63"/>
  <c r="R64"/>
  <c r="R65"/>
  <c r="R66"/>
  <c r="R67"/>
  <c r="R68"/>
  <c r="R69"/>
  <c r="R70"/>
  <c r="R71"/>
  <c r="R72"/>
  <c r="R73"/>
  <c r="R74"/>
  <c r="R75"/>
  <c r="R76"/>
  <c r="R77"/>
  <c r="R78"/>
  <c r="R79"/>
  <c r="R80"/>
  <c r="R81"/>
  <c r="R82"/>
  <c r="R83"/>
  <c r="R7"/>
  <c r="O83"/>
  <c r="L83"/>
  <c r="O82"/>
  <c r="L82"/>
  <c r="O81"/>
  <c r="L81"/>
  <c r="O80"/>
  <c r="L80"/>
  <c r="O79"/>
  <c r="L79"/>
  <c r="O78"/>
  <c r="L78"/>
  <c r="O77"/>
  <c r="L77"/>
  <c r="O76"/>
  <c r="L76"/>
  <c r="O75"/>
  <c r="L75"/>
  <c r="O74"/>
  <c r="L74"/>
  <c r="O73"/>
  <c r="L73"/>
  <c r="O72"/>
  <c r="L72"/>
  <c r="O71"/>
  <c r="L71"/>
  <c r="O70"/>
  <c r="L70"/>
  <c r="O69"/>
  <c r="L69"/>
  <c r="O68"/>
  <c r="L68"/>
  <c r="O67"/>
  <c r="L67"/>
  <c r="O66"/>
  <c r="L66"/>
  <c r="O65"/>
  <c r="L65"/>
  <c r="O64"/>
  <c r="L64"/>
  <c r="O63"/>
  <c r="L63"/>
  <c r="O62"/>
  <c r="L62"/>
  <c r="O61"/>
  <c r="L61"/>
  <c r="O60"/>
  <c r="L60"/>
  <c r="O59"/>
  <c r="L59"/>
  <c r="O58"/>
  <c r="L58"/>
  <c r="O57"/>
  <c r="L57"/>
  <c r="O56"/>
  <c r="L56"/>
  <c r="O55"/>
  <c r="L55"/>
  <c r="O54"/>
  <c r="L54"/>
  <c r="O53"/>
  <c r="L53"/>
  <c r="O52"/>
  <c r="L52"/>
  <c r="O51"/>
  <c r="L51"/>
  <c r="O50"/>
  <c r="L50"/>
  <c r="O49"/>
  <c r="L49"/>
  <c r="O48"/>
  <c r="L48"/>
  <c r="O47"/>
  <c r="L47"/>
  <c r="O46"/>
  <c r="L46"/>
  <c r="O45"/>
  <c r="L45"/>
  <c r="O44"/>
  <c r="L44"/>
  <c r="O43"/>
  <c r="L43"/>
  <c r="O42"/>
  <c r="L42"/>
  <c r="O41"/>
  <c r="L41"/>
  <c r="O40"/>
  <c r="L40"/>
  <c r="O39"/>
  <c r="L39"/>
  <c r="O38"/>
  <c r="L38"/>
  <c r="O37"/>
  <c r="L37"/>
  <c r="O36"/>
  <c r="L36"/>
  <c r="O35"/>
  <c r="L35"/>
  <c r="O34"/>
  <c r="L34"/>
  <c r="O33"/>
  <c r="L33"/>
  <c r="O32"/>
  <c r="L32"/>
  <c r="O31"/>
  <c r="L31"/>
  <c r="O30"/>
  <c r="L30"/>
  <c r="O29"/>
  <c r="L29"/>
  <c r="O28"/>
  <c r="L28"/>
  <c r="O27"/>
  <c r="L27"/>
  <c r="O26"/>
  <c r="L26"/>
  <c r="O25"/>
  <c r="L25"/>
  <c r="O24"/>
  <c r="L24"/>
  <c r="O23"/>
  <c r="L23"/>
  <c r="O22"/>
  <c r="L22"/>
  <c r="O21"/>
  <c r="L21"/>
  <c r="O20"/>
  <c r="L20"/>
  <c r="O19"/>
  <c r="L19"/>
  <c r="O18"/>
  <c r="L18"/>
  <c r="O17"/>
  <c r="L17"/>
  <c r="O16"/>
  <c r="L16"/>
  <c r="O15"/>
  <c r="L15"/>
  <c r="O14"/>
  <c r="L14"/>
  <c r="O13"/>
  <c r="L13"/>
  <c r="O12"/>
  <c r="L12"/>
  <c r="O11"/>
  <c r="L11"/>
  <c r="O10"/>
  <c r="L10"/>
  <c r="O9"/>
  <c r="L9"/>
  <c r="O8"/>
  <c r="L8"/>
  <c r="O7"/>
  <c r="L7"/>
  <c r="I83"/>
  <c r="F83"/>
  <c r="I82"/>
  <c r="F82"/>
  <c r="I81"/>
  <c r="F81"/>
  <c r="I80"/>
  <c r="F80"/>
  <c r="I79"/>
  <c r="F79"/>
  <c r="I78"/>
  <c r="F78"/>
  <c r="I77"/>
  <c r="F77"/>
  <c r="I76"/>
  <c r="F76"/>
  <c r="I75"/>
  <c r="F75"/>
  <c r="I74"/>
  <c r="F74"/>
  <c r="I73"/>
  <c r="F73"/>
  <c r="I72"/>
  <c r="F72"/>
  <c r="I71"/>
  <c r="F71"/>
  <c r="I70"/>
  <c r="F70"/>
  <c r="I69"/>
  <c r="F69"/>
  <c r="I68"/>
  <c r="F68"/>
  <c r="I67"/>
  <c r="F67"/>
  <c r="I66"/>
  <c r="F66"/>
  <c r="I65"/>
  <c r="F65"/>
  <c r="I64"/>
  <c r="F64"/>
  <c r="I63"/>
  <c r="F63"/>
  <c r="I62"/>
  <c r="F62"/>
  <c r="I61"/>
  <c r="F61"/>
  <c r="I60"/>
  <c r="F60"/>
  <c r="I59"/>
  <c r="F59"/>
  <c r="I58"/>
  <c r="F58"/>
  <c r="I57"/>
  <c r="F57"/>
  <c r="I56"/>
  <c r="F56"/>
  <c r="I55"/>
  <c r="F55"/>
  <c r="I54"/>
  <c r="F54"/>
  <c r="I53"/>
  <c r="F53"/>
  <c r="I52"/>
  <c r="F52"/>
  <c r="I51"/>
  <c r="F51"/>
  <c r="I50"/>
  <c r="F50"/>
  <c r="I49"/>
  <c r="F49"/>
  <c r="I48"/>
  <c r="F48"/>
  <c r="I47"/>
  <c r="F47"/>
  <c r="I46"/>
  <c r="F46"/>
  <c r="I45"/>
  <c r="F45"/>
  <c r="I44"/>
  <c r="F44"/>
  <c r="I43"/>
  <c r="F43"/>
  <c r="I42"/>
  <c r="F42"/>
  <c r="I41"/>
  <c r="F41"/>
  <c r="I40"/>
  <c r="F40"/>
  <c r="I39"/>
  <c r="F39"/>
  <c r="I38"/>
  <c r="F38"/>
  <c r="I37"/>
  <c r="F37"/>
  <c r="I36"/>
  <c r="F36"/>
  <c r="I35"/>
  <c r="F35"/>
  <c r="I34"/>
  <c r="F34"/>
  <c r="I33"/>
  <c r="F33"/>
  <c r="I32"/>
  <c r="F32"/>
  <c r="I31"/>
  <c r="F31"/>
  <c r="I30"/>
  <c r="F30"/>
  <c r="I29"/>
  <c r="F29"/>
  <c r="I28"/>
  <c r="F28"/>
  <c r="I27"/>
  <c r="F27"/>
  <c r="I26"/>
  <c r="F26"/>
  <c r="I25"/>
  <c r="F25"/>
  <c r="I24"/>
  <c r="F24"/>
  <c r="I23"/>
  <c r="F23"/>
  <c r="I22"/>
  <c r="F22"/>
  <c r="I21"/>
  <c r="F21"/>
  <c r="I20"/>
  <c r="F20"/>
  <c r="I19"/>
  <c r="F19"/>
  <c r="I18"/>
  <c r="F18"/>
  <c r="I17"/>
  <c r="F17"/>
  <c r="I16"/>
  <c r="F16"/>
  <c r="I15"/>
  <c r="F15"/>
  <c r="I14"/>
  <c r="F14"/>
  <c r="I13"/>
  <c r="F13"/>
  <c r="I12"/>
  <c r="F12"/>
  <c r="I11"/>
  <c r="F11"/>
  <c r="I10"/>
  <c r="F10"/>
  <c r="I9"/>
  <c r="F9"/>
  <c r="I8"/>
  <c r="F8"/>
  <c r="I7"/>
  <c r="F7"/>
  <c r="AM83" i="6" l="1"/>
  <c r="AM82"/>
  <c r="AM81"/>
  <c r="AM80"/>
  <c r="AM79"/>
  <c r="AM78"/>
  <c r="AM77"/>
  <c r="AM76"/>
  <c r="AM75"/>
  <c r="AM74"/>
  <c r="AM73"/>
  <c r="AM72"/>
  <c r="AM71"/>
  <c r="AM70"/>
  <c r="AM69"/>
  <c r="AM68"/>
  <c r="AM67"/>
  <c r="AM66"/>
  <c r="AM65"/>
  <c r="AM64"/>
  <c r="AM63"/>
  <c r="AM62"/>
  <c r="AM61"/>
  <c r="AM60"/>
  <c r="AM59"/>
  <c r="AM58"/>
  <c r="AM57"/>
  <c r="AM56"/>
  <c r="AM55"/>
  <c r="AM54"/>
  <c r="AM53"/>
  <c r="AM52"/>
  <c r="AM51"/>
  <c r="AM50"/>
  <c r="AM49"/>
  <c r="AM48"/>
  <c r="AM47"/>
  <c r="AM46"/>
  <c r="AM45"/>
  <c r="AM44"/>
  <c r="AM43"/>
  <c r="AM42"/>
  <c r="AM41"/>
  <c r="AM40"/>
  <c r="AM39"/>
  <c r="AM38"/>
  <c r="AM37"/>
  <c r="AM36"/>
  <c r="AM35"/>
  <c r="AM34"/>
  <c r="AM33"/>
  <c r="AM32"/>
  <c r="AM31"/>
  <c r="AM30"/>
  <c r="AM29"/>
  <c r="AM28"/>
  <c r="AM27"/>
  <c r="AM26"/>
  <c r="AM25"/>
  <c r="AM24"/>
  <c r="AM23"/>
  <c r="AM22"/>
  <c r="AM21"/>
  <c r="AM20"/>
  <c r="AM19"/>
  <c r="AM18"/>
  <c r="AM17"/>
  <c r="AM16"/>
  <c r="AM15"/>
  <c r="AM14"/>
  <c r="AM13"/>
  <c r="AM12"/>
  <c r="AM11"/>
  <c r="AM10"/>
  <c r="AM9"/>
  <c r="AM8"/>
  <c r="AM7"/>
  <c r="AJ83"/>
  <c r="AJ82"/>
  <c r="AJ81"/>
  <c r="AJ80"/>
  <c r="AJ79"/>
  <c r="AJ78"/>
  <c r="AJ77"/>
  <c r="AJ76"/>
  <c r="AJ75"/>
  <c r="AJ74"/>
  <c r="AJ73"/>
  <c r="AJ72"/>
  <c r="AJ71"/>
  <c r="AJ70"/>
  <c r="AJ69"/>
  <c r="AJ68"/>
  <c r="AJ67"/>
  <c r="AJ66"/>
  <c r="AJ65"/>
  <c r="AJ64"/>
  <c r="AJ63"/>
  <c r="AJ62"/>
  <c r="AJ61"/>
  <c r="AJ60"/>
  <c r="AJ59"/>
  <c r="AJ58"/>
  <c r="AJ57"/>
  <c r="AJ56"/>
  <c r="AJ55"/>
  <c r="AJ54"/>
  <c r="AJ53"/>
  <c r="AJ52"/>
  <c r="AJ51"/>
  <c r="AJ50"/>
  <c r="AJ49"/>
  <c r="AJ48"/>
  <c r="AJ47"/>
  <c r="AJ46"/>
  <c r="AJ45"/>
  <c r="AJ44"/>
  <c r="AJ43"/>
  <c r="AJ42"/>
  <c r="AJ41"/>
  <c r="AJ40"/>
  <c r="AJ39"/>
  <c r="AJ38"/>
  <c r="AJ37"/>
  <c r="AJ36"/>
  <c r="AJ35"/>
  <c r="AJ34"/>
  <c r="AJ33"/>
  <c r="AJ32"/>
  <c r="AJ31"/>
  <c r="AJ30"/>
  <c r="AJ29"/>
  <c r="AJ28"/>
  <c r="AJ27"/>
  <c r="AJ26"/>
  <c r="AJ25"/>
  <c r="AJ24"/>
  <c r="AJ23"/>
  <c r="AJ22"/>
  <c r="AJ21"/>
  <c r="AJ20"/>
  <c r="AJ19"/>
  <c r="AJ18"/>
  <c r="AJ17"/>
  <c r="AJ16"/>
  <c r="AJ15"/>
  <c r="AJ14"/>
  <c r="AJ13"/>
  <c r="AJ12"/>
  <c r="AJ11"/>
  <c r="AJ10"/>
  <c r="AJ9"/>
  <c r="AJ8"/>
  <c r="AJ7"/>
  <c r="AG7"/>
  <c r="AD7"/>
  <c r="AA83"/>
  <c r="AA82"/>
  <c r="AA81"/>
  <c r="AA80"/>
  <c r="AA79"/>
  <c r="AA78"/>
  <c r="AA77"/>
  <c r="AA76"/>
  <c r="AA75"/>
  <c r="AA74"/>
  <c r="AA73"/>
  <c r="AA72"/>
  <c r="AA71"/>
  <c r="AA70"/>
  <c r="AA69"/>
  <c r="AA68"/>
  <c r="AA67"/>
  <c r="AA66"/>
  <c r="AA65"/>
  <c r="AA64"/>
  <c r="AA63"/>
  <c r="AA62"/>
  <c r="AA61"/>
  <c r="AA60"/>
  <c r="AA59"/>
  <c r="AA58"/>
  <c r="AA57"/>
  <c r="AA56"/>
  <c r="AA55"/>
  <c r="AA54"/>
  <c r="AA53"/>
  <c r="AA52"/>
  <c r="AA51"/>
  <c r="AA50"/>
  <c r="AA49"/>
  <c r="AA48"/>
  <c r="AA47"/>
  <c r="AA46"/>
  <c r="AA45"/>
  <c r="AA44"/>
  <c r="AA43"/>
  <c r="AA42"/>
  <c r="AA41"/>
  <c r="AA40"/>
  <c r="AA39"/>
  <c r="AA38"/>
  <c r="AA37"/>
  <c r="AA36"/>
  <c r="AA35"/>
  <c r="AA34"/>
  <c r="AA33"/>
  <c r="AA32"/>
  <c r="AA31"/>
  <c r="AA30"/>
  <c r="AA29"/>
  <c r="AA28"/>
  <c r="AA27"/>
  <c r="AA26"/>
  <c r="AA25"/>
  <c r="AA24"/>
  <c r="AA23"/>
  <c r="AA22"/>
  <c r="AA21"/>
  <c r="AA20"/>
  <c r="AA19"/>
  <c r="AA18"/>
  <c r="AA17"/>
  <c r="AA16"/>
  <c r="AA15"/>
  <c r="AA14"/>
  <c r="AA13"/>
  <c r="AA12"/>
  <c r="AA11"/>
  <c r="AA10"/>
  <c r="AA9"/>
  <c r="AA8"/>
  <c r="AA7"/>
  <c r="U83"/>
  <c r="U82"/>
  <c r="U81"/>
  <c r="U80"/>
  <c r="U79"/>
  <c r="U78"/>
  <c r="U77"/>
  <c r="U76"/>
  <c r="U75"/>
  <c r="U74"/>
  <c r="U73"/>
  <c r="U72"/>
  <c r="U71"/>
  <c r="U70"/>
  <c r="U69"/>
  <c r="U68"/>
  <c r="U67"/>
  <c r="U66"/>
  <c r="U65"/>
  <c r="U64"/>
  <c r="U63"/>
  <c r="U62"/>
  <c r="U61"/>
  <c r="U60"/>
  <c r="U59"/>
  <c r="U58"/>
  <c r="U57"/>
  <c r="U56"/>
  <c r="U55"/>
  <c r="U54"/>
  <c r="U53"/>
  <c r="U52"/>
  <c r="U51"/>
  <c r="U50"/>
  <c r="U49"/>
  <c r="U48"/>
  <c r="U47"/>
  <c r="U46"/>
  <c r="U45"/>
  <c r="U44"/>
  <c r="U43"/>
  <c r="U42"/>
  <c r="U41"/>
  <c r="U40"/>
  <c r="U39"/>
  <c r="U38"/>
  <c r="U37"/>
  <c r="U36"/>
  <c r="U35"/>
  <c r="U34"/>
  <c r="U33"/>
  <c r="U32"/>
  <c r="U31"/>
  <c r="U30"/>
  <c r="U29"/>
  <c r="U28"/>
  <c r="U27"/>
  <c r="U26"/>
  <c r="U25"/>
  <c r="U24"/>
  <c r="U23"/>
  <c r="U22"/>
  <c r="U21"/>
  <c r="U20"/>
  <c r="U19"/>
  <c r="U18"/>
  <c r="U17"/>
  <c r="U16"/>
  <c r="U15"/>
  <c r="U14"/>
  <c r="U13"/>
  <c r="U12"/>
  <c r="U11"/>
  <c r="U10"/>
  <c r="U9"/>
  <c r="U8"/>
  <c r="U7"/>
  <c r="R8"/>
  <c r="R9"/>
  <c r="R10"/>
  <c r="R11"/>
  <c r="R12"/>
  <c r="R13"/>
  <c r="R14"/>
  <c r="R15"/>
  <c r="R16"/>
  <c r="R17"/>
  <c r="R18"/>
  <c r="R19"/>
  <c r="R20"/>
  <c r="R21"/>
  <c r="R22"/>
  <c r="R23"/>
  <c r="R24"/>
  <c r="R25"/>
  <c r="R26"/>
  <c r="R27"/>
  <c r="R28"/>
  <c r="R29"/>
  <c r="R30"/>
  <c r="R31"/>
  <c r="R32"/>
  <c r="R33"/>
  <c r="R34"/>
  <c r="R35"/>
  <c r="R36"/>
  <c r="R37"/>
  <c r="R38"/>
  <c r="R39"/>
  <c r="R40"/>
  <c r="R41"/>
  <c r="R42"/>
  <c r="R43"/>
  <c r="R44"/>
  <c r="R45"/>
  <c r="R46"/>
  <c r="R47"/>
  <c r="R48"/>
  <c r="R49"/>
  <c r="R50"/>
  <c r="R51"/>
  <c r="R52"/>
  <c r="R53"/>
  <c r="R54"/>
  <c r="R55"/>
  <c r="R56"/>
  <c r="R57"/>
  <c r="R58"/>
  <c r="R59"/>
  <c r="R60"/>
  <c r="R61"/>
  <c r="R62"/>
  <c r="R63"/>
  <c r="R64"/>
  <c r="R65"/>
  <c r="R66"/>
  <c r="R67"/>
  <c r="R68"/>
  <c r="R69"/>
  <c r="R70"/>
  <c r="R71"/>
  <c r="R72"/>
  <c r="R73"/>
  <c r="R74"/>
  <c r="R75"/>
  <c r="R76"/>
  <c r="R77"/>
  <c r="R78"/>
  <c r="R79"/>
  <c r="R80"/>
  <c r="R81"/>
  <c r="R82"/>
  <c r="R83"/>
  <c r="R7"/>
  <c r="O83"/>
  <c r="O82"/>
  <c r="O81"/>
  <c r="O80"/>
  <c r="O79"/>
  <c r="O78"/>
  <c r="O77"/>
  <c r="O76"/>
  <c r="O75"/>
  <c r="O74"/>
  <c r="O73"/>
  <c r="O72"/>
  <c r="O71"/>
  <c r="O70"/>
  <c r="O69"/>
  <c r="O68"/>
  <c r="O67"/>
  <c r="O66"/>
  <c r="O65"/>
  <c r="O64"/>
  <c r="O63"/>
  <c r="O62"/>
  <c r="O61"/>
  <c r="O60"/>
  <c r="O59"/>
  <c r="O58"/>
  <c r="O57"/>
  <c r="O56"/>
  <c r="O55"/>
  <c r="O54"/>
  <c r="O52"/>
  <c r="O51"/>
  <c r="O50"/>
  <c r="O49"/>
  <c r="O48"/>
  <c r="O47"/>
  <c r="O46"/>
  <c r="O45"/>
  <c r="O44"/>
  <c r="O43"/>
  <c r="O42"/>
  <c r="O41"/>
  <c r="O40"/>
  <c r="O39"/>
  <c r="O38"/>
  <c r="O37"/>
  <c r="O36"/>
  <c r="O35"/>
  <c r="O34"/>
  <c r="O33"/>
  <c r="O32"/>
  <c r="O31"/>
  <c r="O30"/>
  <c r="O29"/>
  <c r="O28"/>
  <c r="O27"/>
  <c r="O26"/>
  <c r="O25"/>
  <c r="O24"/>
  <c r="O23"/>
  <c r="O22"/>
  <c r="O21"/>
  <c r="O20"/>
  <c r="O19"/>
  <c r="O18"/>
  <c r="O17"/>
  <c r="O16"/>
  <c r="O15"/>
  <c r="O14"/>
  <c r="O13"/>
  <c r="O12"/>
  <c r="O11"/>
  <c r="O10"/>
  <c r="O9"/>
  <c r="O8"/>
  <c r="O7"/>
  <c r="L83"/>
  <c r="L82"/>
  <c r="L81"/>
  <c r="L80"/>
  <c r="L79"/>
  <c r="L78"/>
  <c r="L77"/>
  <c r="L76"/>
  <c r="L75"/>
  <c r="L74"/>
  <c r="L73"/>
  <c r="L72"/>
  <c r="L71"/>
  <c r="L70"/>
  <c r="L69"/>
  <c r="L68"/>
  <c r="L67"/>
  <c r="L66"/>
  <c r="L65"/>
  <c r="L64"/>
  <c r="L63"/>
  <c r="L62"/>
  <c r="L61"/>
  <c r="L60"/>
  <c r="L59"/>
  <c r="L58"/>
  <c r="L57"/>
  <c r="L56"/>
  <c r="L55"/>
  <c r="L54"/>
  <c r="L53"/>
  <c r="L52"/>
  <c r="L51"/>
  <c r="L50"/>
  <c r="L49"/>
  <c r="L48"/>
  <c r="L47"/>
  <c r="L46"/>
  <c r="L45"/>
  <c r="L44"/>
  <c r="L43"/>
  <c r="L42"/>
  <c r="L41"/>
  <c r="L40"/>
  <c r="L39"/>
  <c r="L38"/>
  <c r="L37"/>
  <c r="L34"/>
  <c r="L33"/>
  <c r="L32"/>
  <c r="L31"/>
  <c r="L30"/>
  <c r="L29"/>
  <c r="L28"/>
  <c r="L27"/>
  <c r="L26"/>
  <c r="L25"/>
  <c r="L24"/>
  <c r="L23"/>
  <c r="L22"/>
  <c r="L21"/>
  <c r="L20"/>
  <c r="L19"/>
  <c r="L18"/>
  <c r="L17"/>
  <c r="L16"/>
  <c r="L15"/>
  <c r="L14"/>
  <c r="L13"/>
  <c r="L12"/>
  <c r="L11"/>
  <c r="L10"/>
  <c r="L9"/>
  <c r="L8"/>
  <c r="L7"/>
  <c r="I83"/>
  <c r="F83"/>
  <c r="I82"/>
  <c r="F82"/>
  <c r="I81"/>
  <c r="F81"/>
  <c r="I80"/>
  <c r="F80"/>
  <c r="I79"/>
  <c r="F79"/>
  <c r="I78"/>
  <c r="F78"/>
  <c r="I77"/>
  <c r="F77"/>
  <c r="I76"/>
  <c r="F76"/>
  <c r="I75"/>
  <c r="F75"/>
  <c r="I74"/>
  <c r="F74"/>
  <c r="I73"/>
  <c r="F73"/>
  <c r="I72"/>
  <c r="F72"/>
  <c r="I71"/>
  <c r="F71"/>
  <c r="I70"/>
  <c r="I69"/>
  <c r="F69"/>
  <c r="I68"/>
  <c r="F68"/>
  <c r="I67"/>
  <c r="F67"/>
  <c r="I66"/>
  <c r="F66"/>
  <c r="I65"/>
  <c r="F65"/>
  <c r="I64"/>
  <c r="F64"/>
  <c r="I63"/>
  <c r="F63"/>
  <c r="I62"/>
  <c r="F62"/>
  <c r="I61"/>
  <c r="F61"/>
  <c r="I60"/>
  <c r="F60"/>
  <c r="I59"/>
  <c r="F59"/>
  <c r="I58"/>
  <c r="F58"/>
  <c r="I57"/>
  <c r="F57"/>
  <c r="I56"/>
  <c r="F56"/>
  <c r="I55"/>
  <c r="F55"/>
  <c r="I54"/>
  <c r="F54"/>
  <c r="I53"/>
  <c r="F53"/>
  <c r="I52"/>
  <c r="F52"/>
  <c r="I51"/>
  <c r="F51"/>
  <c r="I50"/>
  <c r="F50"/>
  <c r="I49"/>
  <c r="F49"/>
  <c r="I48"/>
  <c r="F48"/>
  <c r="I47"/>
  <c r="F47"/>
  <c r="I46"/>
  <c r="F46"/>
  <c r="I45"/>
  <c r="F45"/>
  <c r="I44"/>
  <c r="F44"/>
  <c r="I43"/>
  <c r="F43"/>
  <c r="I42"/>
  <c r="F42"/>
  <c r="I41"/>
  <c r="F41"/>
  <c r="I40"/>
  <c r="F40"/>
  <c r="I39"/>
  <c r="F39"/>
  <c r="I38"/>
  <c r="F38"/>
  <c r="I37"/>
  <c r="F37"/>
  <c r="I36"/>
  <c r="F36"/>
  <c r="I35"/>
  <c r="F35"/>
  <c r="I34"/>
  <c r="F34"/>
  <c r="I33"/>
  <c r="F33"/>
  <c r="I32"/>
  <c r="F32"/>
  <c r="I31"/>
  <c r="F31"/>
  <c r="I30"/>
  <c r="F30"/>
  <c r="I29"/>
  <c r="F29"/>
  <c r="I28"/>
  <c r="F28"/>
  <c r="I27"/>
  <c r="F27"/>
  <c r="I26"/>
  <c r="F26"/>
  <c r="I25"/>
  <c r="F25"/>
  <c r="I24"/>
  <c r="F24"/>
  <c r="I23"/>
  <c r="F23"/>
  <c r="I22"/>
  <c r="F22"/>
  <c r="I21"/>
  <c r="F21"/>
  <c r="I20"/>
  <c r="F20"/>
  <c r="I19"/>
  <c r="F19"/>
  <c r="I18"/>
  <c r="F18"/>
  <c r="I17"/>
  <c r="F17"/>
  <c r="I16"/>
  <c r="F16"/>
  <c r="I15"/>
  <c r="F15"/>
  <c r="I14"/>
  <c r="F14"/>
  <c r="I13"/>
  <c r="F13"/>
  <c r="I12"/>
  <c r="F12"/>
  <c r="I11"/>
  <c r="F11"/>
  <c r="I10"/>
  <c r="F10"/>
  <c r="I9"/>
  <c r="F9"/>
  <c r="I8"/>
  <c r="F8"/>
  <c r="I7"/>
  <c r="F7"/>
  <c r="AS83" i="4" l="1"/>
  <c r="AS82"/>
  <c r="AS81"/>
  <c r="AS80"/>
  <c r="AS79"/>
  <c r="AS78"/>
  <c r="AS77"/>
  <c r="AS76"/>
  <c r="AS75"/>
  <c r="AS74"/>
  <c r="AS73"/>
  <c r="AS72"/>
  <c r="AS71"/>
  <c r="AS70"/>
  <c r="AS69"/>
  <c r="AS68"/>
  <c r="AS67"/>
  <c r="AS66"/>
  <c r="AS65"/>
  <c r="AS64"/>
  <c r="AS63"/>
  <c r="AS62"/>
  <c r="AS61"/>
  <c r="AS60"/>
  <c r="AS59"/>
  <c r="AS58"/>
  <c r="AS57"/>
  <c r="AS56"/>
  <c r="AS55"/>
  <c r="AS54"/>
  <c r="AS53"/>
  <c r="AS52"/>
  <c r="AS51"/>
  <c r="AS50"/>
  <c r="AS49"/>
  <c r="AS48"/>
  <c r="AS47"/>
  <c r="AS46"/>
  <c r="AS45"/>
  <c r="AS44"/>
  <c r="AS43"/>
  <c r="AS42"/>
  <c r="AS41"/>
  <c r="AS40"/>
  <c r="AS39"/>
  <c r="AS38"/>
  <c r="AS37"/>
  <c r="AS36"/>
  <c r="AS35"/>
  <c r="AS34"/>
  <c r="AS33"/>
  <c r="AS32"/>
  <c r="AS31"/>
  <c r="AS30"/>
  <c r="AS29"/>
  <c r="AS28"/>
  <c r="AS27"/>
  <c r="AS26"/>
  <c r="AS25"/>
  <c r="AS24"/>
  <c r="AS23"/>
  <c r="AS22"/>
  <c r="AS21"/>
  <c r="AS20"/>
  <c r="AS19"/>
  <c r="AS18"/>
  <c r="AS17"/>
  <c r="AS16"/>
  <c r="AS15"/>
  <c r="AS14"/>
  <c r="AS13"/>
  <c r="AS12"/>
  <c r="AS11"/>
  <c r="AS10"/>
  <c r="AS9"/>
  <c r="AS8"/>
  <c r="AS7"/>
  <c r="AP83"/>
  <c r="AP82"/>
  <c r="AP81"/>
  <c r="AP80"/>
  <c r="AP79"/>
  <c r="AP78"/>
  <c r="AP77"/>
  <c r="AP76"/>
  <c r="AP75"/>
  <c r="AP74"/>
  <c r="AP73"/>
  <c r="AP72"/>
  <c r="AP71"/>
  <c r="AP70"/>
  <c r="AP69"/>
  <c r="AP68"/>
  <c r="AP67"/>
  <c r="AP66"/>
  <c r="AP65"/>
  <c r="AP64"/>
  <c r="AP63"/>
  <c r="AP62"/>
  <c r="AP61"/>
  <c r="AP60"/>
  <c r="AP59"/>
  <c r="AP58"/>
  <c r="AP57"/>
  <c r="AP56"/>
  <c r="AP55"/>
  <c r="AP54"/>
  <c r="AP53"/>
  <c r="AP52"/>
  <c r="AP51"/>
  <c r="AP50"/>
  <c r="AP49"/>
  <c r="AP48"/>
  <c r="AP47"/>
  <c r="AP46"/>
  <c r="AP45"/>
  <c r="AP44"/>
  <c r="AP43"/>
  <c r="AP42"/>
  <c r="AP41"/>
  <c r="AP40"/>
  <c r="AP39"/>
  <c r="AP38"/>
  <c r="AP37"/>
  <c r="AP36"/>
  <c r="AP35"/>
  <c r="AP34"/>
  <c r="AP33"/>
  <c r="AP32"/>
  <c r="AP31"/>
  <c r="AP30"/>
  <c r="AP29"/>
  <c r="AP28"/>
  <c r="AP27"/>
  <c r="AP26"/>
  <c r="AP25"/>
  <c r="AP24"/>
  <c r="AP23"/>
  <c r="AP22"/>
  <c r="AP21"/>
  <c r="AP20"/>
  <c r="AP19"/>
  <c r="AP18"/>
  <c r="AP17"/>
  <c r="AP16"/>
  <c r="AP15"/>
  <c r="AP14"/>
  <c r="AP13"/>
  <c r="AP12"/>
  <c r="AP11"/>
  <c r="AP10"/>
  <c r="AP9"/>
  <c r="AP8"/>
  <c r="AP7"/>
  <c r="AM9"/>
  <c r="AM8"/>
  <c r="AM7"/>
  <c r="AJ83"/>
  <c r="AJ82"/>
  <c r="AJ81"/>
  <c r="AJ80"/>
  <c r="AJ79"/>
  <c r="AJ78"/>
  <c r="AJ77"/>
  <c r="AJ76"/>
  <c r="AJ75"/>
  <c r="AJ74"/>
  <c r="AJ73"/>
  <c r="AJ72"/>
  <c r="AJ71"/>
  <c r="AJ70"/>
  <c r="AJ69"/>
  <c r="AJ68"/>
  <c r="AJ67"/>
  <c r="AJ66"/>
  <c r="AJ65"/>
  <c r="AJ64"/>
  <c r="AJ63"/>
  <c r="AJ62"/>
  <c r="AJ61"/>
  <c r="AJ60"/>
  <c r="AJ59"/>
  <c r="AJ58"/>
  <c r="AJ57"/>
  <c r="AJ56"/>
  <c r="AJ55"/>
  <c r="AJ54"/>
  <c r="AJ53"/>
  <c r="AJ52"/>
  <c r="AJ51"/>
  <c r="AJ50"/>
  <c r="AJ49"/>
  <c r="AJ48"/>
  <c r="AJ47"/>
  <c r="AJ46"/>
  <c r="AJ45"/>
  <c r="AJ44"/>
  <c r="AJ43"/>
  <c r="AJ42"/>
  <c r="AJ41"/>
  <c r="AJ40"/>
  <c r="AJ39"/>
  <c r="AJ38"/>
  <c r="AJ37"/>
  <c r="AJ36"/>
  <c r="AJ35"/>
  <c r="AJ34"/>
  <c r="AJ33"/>
  <c r="AJ32"/>
  <c r="AJ31"/>
  <c r="AJ30"/>
  <c r="AJ29"/>
  <c r="AJ28"/>
  <c r="AJ27"/>
  <c r="AJ26"/>
  <c r="AJ25"/>
  <c r="AJ24"/>
  <c r="AJ23"/>
  <c r="AJ22"/>
  <c r="AJ21"/>
  <c r="AJ20"/>
  <c r="AJ19"/>
  <c r="AJ18"/>
  <c r="AJ17"/>
  <c r="AJ16"/>
  <c r="AJ15"/>
  <c r="AJ14"/>
  <c r="AJ13"/>
  <c r="AJ12"/>
  <c r="AJ11"/>
  <c r="AJ10"/>
  <c r="AJ9"/>
  <c r="AJ8"/>
  <c r="AJ7"/>
  <c r="AG83"/>
  <c r="AG82"/>
  <c r="AG81"/>
  <c r="AG80"/>
  <c r="AG79"/>
  <c r="AG78"/>
  <c r="AG77"/>
  <c r="AG76"/>
  <c r="AG75"/>
  <c r="AG74"/>
  <c r="AG73"/>
  <c r="AG72"/>
  <c r="AG71"/>
  <c r="AG70"/>
  <c r="AG69"/>
  <c r="AG68"/>
  <c r="AG67"/>
  <c r="AG66"/>
  <c r="AG65"/>
  <c r="AG64"/>
  <c r="AG63"/>
  <c r="AG62"/>
  <c r="AG61"/>
  <c r="AG60"/>
  <c r="AG59"/>
  <c r="AG58"/>
  <c r="AG57"/>
  <c r="AG56"/>
  <c r="AG55"/>
  <c r="AG54"/>
  <c r="AG53"/>
  <c r="AG52"/>
  <c r="AG51"/>
  <c r="AG50"/>
  <c r="AG49"/>
  <c r="AG48"/>
  <c r="AG47"/>
  <c r="AG46"/>
  <c r="AG45"/>
  <c r="AG44"/>
  <c r="AG43"/>
  <c r="AG42"/>
  <c r="AG41"/>
  <c r="AG40"/>
  <c r="AG39"/>
  <c r="AG38"/>
  <c r="AG37"/>
  <c r="AG36"/>
  <c r="AG35"/>
  <c r="AG34"/>
  <c r="AG33"/>
  <c r="AG32"/>
  <c r="AG31"/>
  <c r="AG30"/>
  <c r="AG29"/>
  <c r="AG28"/>
  <c r="AG27"/>
  <c r="AG26"/>
  <c r="AG25"/>
  <c r="AG24"/>
  <c r="AG23"/>
  <c r="AG22"/>
  <c r="AG21"/>
  <c r="AG20"/>
  <c r="AG19"/>
  <c r="AG18"/>
  <c r="AG17"/>
  <c r="AG16"/>
  <c r="AG15"/>
  <c r="AG14"/>
  <c r="AG13"/>
  <c r="AG12"/>
  <c r="AG11"/>
  <c r="AG10"/>
  <c r="AG9"/>
  <c r="AG8"/>
  <c r="AG7"/>
  <c r="AD83"/>
  <c r="AD82"/>
  <c r="AD81"/>
  <c r="AD80"/>
  <c r="AD79"/>
  <c r="AD78"/>
  <c r="AD77"/>
  <c r="AD76"/>
  <c r="AD75"/>
  <c r="AD74"/>
  <c r="AD73"/>
  <c r="AD72"/>
  <c r="AD71"/>
  <c r="AD70"/>
  <c r="AD69"/>
  <c r="AD68"/>
  <c r="AD67"/>
  <c r="AD66"/>
  <c r="AD65"/>
  <c r="AD64"/>
  <c r="AD63"/>
  <c r="AD62"/>
  <c r="AD61"/>
  <c r="AD60"/>
  <c r="AD59"/>
  <c r="AD58"/>
  <c r="AD57"/>
  <c r="AD55"/>
  <c r="AD54"/>
  <c r="AD53"/>
  <c r="AD52"/>
  <c r="AD51"/>
  <c r="AD50"/>
  <c r="AD49"/>
  <c r="AD48"/>
  <c r="AD47"/>
  <c r="AD46"/>
  <c r="AD45"/>
  <c r="AD44"/>
  <c r="AD43"/>
  <c r="AD42"/>
  <c r="AD41"/>
  <c r="AD40"/>
  <c r="AD39"/>
  <c r="AD38"/>
  <c r="AD37"/>
  <c r="AD36"/>
  <c r="AD35"/>
  <c r="AD34"/>
  <c r="AD33"/>
  <c r="AD32"/>
  <c r="AD31"/>
  <c r="AD30"/>
  <c r="AD29"/>
  <c r="AD28"/>
  <c r="AD27"/>
  <c r="AD26"/>
  <c r="AD25"/>
  <c r="AD24"/>
  <c r="AD23"/>
  <c r="AD22"/>
  <c r="AD21"/>
  <c r="AD20"/>
  <c r="AD19"/>
  <c r="AD18"/>
  <c r="AD17"/>
  <c r="AD16"/>
  <c r="AD15"/>
  <c r="AD14"/>
  <c r="AD13"/>
  <c r="AD12"/>
  <c r="AD11"/>
  <c r="AD10"/>
  <c r="AD9"/>
  <c r="AD8"/>
  <c r="AD7"/>
  <c r="AA83"/>
  <c r="AA82"/>
  <c r="AA81"/>
  <c r="AA80"/>
  <c r="AA79"/>
  <c r="AA78"/>
  <c r="AA77"/>
  <c r="AA76"/>
  <c r="AA75"/>
  <c r="AA74"/>
  <c r="AA73"/>
  <c r="AA72"/>
  <c r="AA71"/>
  <c r="AA70"/>
  <c r="AA69"/>
  <c r="AA68"/>
  <c r="AA67"/>
  <c r="AA66"/>
  <c r="AA65"/>
  <c r="AA64"/>
  <c r="AA63"/>
  <c r="AA62"/>
  <c r="AA61"/>
  <c r="AA60"/>
  <c r="AA59"/>
  <c r="AA58"/>
  <c r="AA57"/>
  <c r="AA56"/>
  <c r="AA55"/>
  <c r="AA54"/>
  <c r="AA53"/>
  <c r="AA52"/>
  <c r="AA51"/>
  <c r="AA50"/>
  <c r="AA49"/>
  <c r="AA48"/>
  <c r="AA47"/>
  <c r="AA46"/>
  <c r="AA45"/>
  <c r="AA44"/>
  <c r="AA43"/>
  <c r="AA42"/>
  <c r="AA41"/>
  <c r="AA40"/>
  <c r="AA39"/>
  <c r="AA38"/>
  <c r="AA37"/>
  <c r="AA36"/>
  <c r="AA35"/>
  <c r="AA34"/>
  <c r="AA33"/>
  <c r="AA32"/>
  <c r="AA31"/>
  <c r="AA30"/>
  <c r="AA29"/>
  <c r="AA28"/>
  <c r="AA27"/>
  <c r="AA26"/>
  <c r="AA25"/>
  <c r="AA24"/>
  <c r="AA23"/>
  <c r="AA22"/>
  <c r="AA21"/>
  <c r="AA20"/>
  <c r="AA19"/>
  <c r="AA18"/>
  <c r="AA17"/>
  <c r="AA16"/>
  <c r="AA15"/>
  <c r="AA14"/>
  <c r="AA13"/>
  <c r="AA12"/>
  <c r="AA11"/>
  <c r="AA10"/>
  <c r="AA9"/>
  <c r="AA8"/>
  <c r="AA7"/>
  <c r="X43"/>
  <c r="X42"/>
  <c r="X41"/>
  <c r="X40"/>
  <c r="X39"/>
  <c r="X38"/>
  <c r="X37"/>
  <c r="X36"/>
  <c r="X35"/>
  <c r="X34"/>
  <c r="X33"/>
  <c r="X32"/>
  <c r="X31"/>
  <c r="X30"/>
  <c r="X29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10"/>
  <c r="X9"/>
  <c r="X8"/>
  <c r="X7"/>
  <c r="U83"/>
  <c r="U82"/>
  <c r="U81"/>
  <c r="U80"/>
  <c r="U79"/>
  <c r="U78"/>
  <c r="U77"/>
  <c r="U76"/>
  <c r="U75"/>
  <c r="U74"/>
  <c r="U73"/>
  <c r="U72"/>
  <c r="U71"/>
  <c r="U70"/>
  <c r="U69"/>
  <c r="U68"/>
  <c r="U67"/>
  <c r="U66"/>
  <c r="U65"/>
  <c r="U64"/>
  <c r="U63"/>
  <c r="U62"/>
  <c r="U61"/>
  <c r="U60"/>
  <c r="U59"/>
  <c r="U58"/>
  <c r="U57"/>
  <c r="U56"/>
  <c r="U55"/>
  <c r="U54"/>
  <c r="U53"/>
  <c r="U52"/>
  <c r="U51"/>
  <c r="U50"/>
  <c r="U49"/>
  <c r="U48"/>
  <c r="U47"/>
  <c r="U46"/>
  <c r="U45"/>
  <c r="U44"/>
  <c r="U43"/>
  <c r="U42"/>
  <c r="U41"/>
  <c r="U40"/>
  <c r="U39"/>
  <c r="U38"/>
  <c r="U37"/>
  <c r="U36"/>
  <c r="U35"/>
  <c r="U34"/>
  <c r="U33"/>
  <c r="U32"/>
  <c r="U31"/>
  <c r="U30"/>
  <c r="U29"/>
  <c r="U28"/>
  <c r="U27"/>
  <c r="U26"/>
  <c r="U25"/>
  <c r="U24"/>
  <c r="U23"/>
  <c r="U22"/>
  <c r="U21"/>
  <c r="U20"/>
  <c r="U19"/>
  <c r="U18"/>
  <c r="U17"/>
  <c r="U16"/>
  <c r="U15"/>
  <c r="U14"/>
  <c r="U13"/>
  <c r="U12"/>
  <c r="U11"/>
  <c r="U10"/>
  <c r="U9"/>
  <c r="U8"/>
  <c r="U7"/>
  <c r="R8"/>
  <c r="R9"/>
  <c r="R10"/>
  <c r="R11"/>
  <c r="R12"/>
  <c r="R13"/>
  <c r="R14"/>
  <c r="R15"/>
  <c r="R16"/>
  <c r="R17"/>
  <c r="R18"/>
  <c r="R19"/>
  <c r="R20"/>
  <c r="R21"/>
  <c r="R22"/>
  <c r="R23"/>
  <c r="R24"/>
  <c r="R25"/>
  <c r="R26"/>
  <c r="R27"/>
  <c r="R28"/>
  <c r="R29"/>
  <c r="R30"/>
  <c r="R31"/>
  <c r="R32"/>
  <c r="R33"/>
  <c r="R34"/>
  <c r="R35"/>
  <c r="R36"/>
  <c r="R37"/>
  <c r="R38"/>
  <c r="R39"/>
  <c r="R40"/>
  <c r="R41"/>
  <c r="R42"/>
  <c r="R43"/>
  <c r="R44"/>
  <c r="R45"/>
  <c r="R46"/>
  <c r="R47"/>
  <c r="R48"/>
  <c r="R49"/>
  <c r="R50"/>
  <c r="R51"/>
  <c r="R52"/>
  <c r="R53"/>
  <c r="R54"/>
  <c r="R55"/>
  <c r="R56"/>
  <c r="R57"/>
  <c r="R58"/>
  <c r="R59"/>
  <c r="R60"/>
  <c r="R61"/>
  <c r="R62"/>
  <c r="R63"/>
  <c r="R64"/>
  <c r="R65"/>
  <c r="R66"/>
  <c r="R67"/>
  <c r="R68"/>
  <c r="R69"/>
  <c r="R70"/>
  <c r="R71"/>
  <c r="R72"/>
  <c r="R73"/>
  <c r="R74"/>
  <c r="R75"/>
  <c r="R76"/>
  <c r="R77"/>
  <c r="R78"/>
  <c r="R79"/>
  <c r="R80"/>
  <c r="R81"/>
  <c r="R82"/>
  <c r="R83"/>
  <c r="R7"/>
  <c r="O83"/>
  <c r="O82"/>
  <c r="O81"/>
  <c r="O80"/>
  <c r="O79"/>
  <c r="O78"/>
  <c r="O77"/>
  <c r="O76"/>
  <c r="O75"/>
  <c r="O74"/>
  <c r="O73"/>
  <c r="O72"/>
  <c r="O71"/>
  <c r="O70"/>
  <c r="O69"/>
  <c r="O68"/>
  <c r="O67"/>
  <c r="O66"/>
  <c r="O65"/>
  <c r="O64"/>
  <c r="O63"/>
  <c r="O62"/>
  <c r="O61"/>
  <c r="O60"/>
  <c r="O59"/>
  <c r="O58"/>
  <c r="O57"/>
  <c r="O56"/>
  <c r="O55"/>
  <c r="O54"/>
  <c r="O53"/>
  <c r="O52"/>
  <c r="O51"/>
  <c r="O50"/>
  <c r="O49"/>
  <c r="O48"/>
  <c r="O47"/>
  <c r="O46"/>
  <c r="O45"/>
  <c r="O44"/>
  <c r="O43"/>
  <c r="O42"/>
  <c r="O41"/>
  <c r="O40"/>
  <c r="O39"/>
  <c r="O38"/>
  <c r="O37"/>
  <c r="O36"/>
  <c r="O35"/>
  <c r="O34"/>
  <c r="O33"/>
  <c r="O32"/>
  <c r="O31"/>
  <c r="O30"/>
  <c r="O29"/>
  <c r="O28"/>
  <c r="O27"/>
  <c r="O26"/>
  <c r="O25"/>
  <c r="O24"/>
  <c r="O23"/>
  <c r="O22"/>
  <c r="O21"/>
  <c r="O20"/>
  <c r="O19"/>
  <c r="O17"/>
  <c r="O16"/>
  <c r="O15"/>
  <c r="O14"/>
  <c r="O13"/>
  <c r="O12"/>
  <c r="O11"/>
  <c r="O10"/>
  <c r="O9"/>
  <c r="O8"/>
  <c r="O7"/>
  <c r="L83"/>
  <c r="L82"/>
  <c r="L81"/>
  <c r="L80"/>
  <c r="L79"/>
  <c r="L78"/>
  <c r="L77"/>
  <c r="L76"/>
  <c r="L75"/>
  <c r="L74"/>
  <c r="L73"/>
  <c r="L72"/>
  <c r="L71"/>
  <c r="L70"/>
  <c r="L69"/>
  <c r="L68"/>
  <c r="L67"/>
  <c r="L66"/>
  <c r="L65"/>
  <c r="L64"/>
  <c r="L63"/>
  <c r="L62"/>
  <c r="L61"/>
  <c r="L60"/>
  <c r="L59"/>
  <c r="L58"/>
  <c r="L57"/>
  <c r="L56"/>
  <c r="L55"/>
  <c r="L54"/>
  <c r="L53"/>
  <c r="L52"/>
  <c r="L51"/>
  <c r="L50"/>
  <c r="L49"/>
  <c r="L48"/>
  <c r="L47"/>
  <c r="L46"/>
  <c r="L45"/>
  <c r="L44"/>
  <c r="L43"/>
  <c r="L42"/>
  <c r="L41"/>
  <c r="L40"/>
  <c r="L39"/>
  <c r="L38"/>
  <c r="L37"/>
  <c r="L36"/>
  <c r="L35"/>
  <c r="L34"/>
  <c r="L33"/>
  <c r="L32"/>
  <c r="L31"/>
  <c r="L30"/>
  <c r="L29"/>
  <c r="L28"/>
  <c r="L27"/>
  <c r="L26"/>
  <c r="L25"/>
  <c r="L24"/>
  <c r="L23"/>
  <c r="L22"/>
  <c r="L21"/>
  <c r="L20"/>
  <c r="L19"/>
  <c r="L18"/>
  <c r="L17"/>
  <c r="L16"/>
  <c r="L15"/>
  <c r="L14"/>
  <c r="L13"/>
  <c r="L12"/>
  <c r="L11"/>
  <c r="L10"/>
  <c r="L9"/>
  <c r="L8"/>
  <c r="L7"/>
  <c r="I83"/>
  <c r="I82"/>
  <c r="I81"/>
  <c r="I80"/>
  <c r="I79"/>
  <c r="I78"/>
  <c r="I77"/>
  <c r="I76"/>
  <c r="I75"/>
  <c r="I74"/>
  <c r="I73"/>
  <c r="I72"/>
  <c r="I7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2"/>
  <c r="I41"/>
  <c r="I40"/>
  <c r="I39"/>
  <c r="I38"/>
  <c r="I37"/>
  <c r="I36"/>
  <c r="I35"/>
  <c r="I34"/>
  <c r="I33"/>
  <c r="I32"/>
  <c r="I31"/>
  <c r="I30"/>
  <c r="I29"/>
  <c r="I28"/>
  <c r="I27"/>
  <c r="I26"/>
  <c r="I25"/>
  <c r="I24"/>
  <c r="I22"/>
  <c r="I21"/>
  <c r="I20"/>
  <c r="I19"/>
  <c r="I18"/>
  <c r="I17"/>
  <c r="I16"/>
  <c r="I15"/>
  <c r="I14"/>
  <c r="I13"/>
  <c r="I12"/>
  <c r="I11"/>
  <c r="I10"/>
  <c r="I9"/>
  <c r="I8"/>
  <c r="I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7"/>
  <c r="K6" i="10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5"/>
</calcChain>
</file>

<file path=xl/sharedStrings.xml><?xml version="1.0" encoding="utf-8"?>
<sst xmlns="http://schemas.openxmlformats.org/spreadsheetml/2006/main" count="1140" uniqueCount="137">
  <si>
    <t>1210321050</t>
  </si>
  <si>
    <t>BABU BANARASI DAS UNIVERSITY</t>
  </si>
  <si>
    <t>BBD COLLEGE OF DENTAL SCIENCES</t>
  </si>
  <si>
    <t>S.No.</t>
  </si>
  <si>
    <t>Roll No.</t>
  </si>
  <si>
    <t>Student Name</t>
  </si>
  <si>
    <t>Lecture
Taken</t>
  </si>
  <si>
    <t>Lecture Attended</t>
  </si>
  <si>
    <t>%</t>
  </si>
  <si>
    <t>Pracical Taken</t>
  </si>
  <si>
    <t>Practical Attended</t>
  </si>
  <si>
    <t>S.NO</t>
  </si>
  <si>
    <t>ROLL NO.</t>
  </si>
  <si>
    <t>NAME OF STUDENT</t>
  </si>
  <si>
    <t>Total (LT+ PT) Average %</t>
  </si>
  <si>
    <t>General Pathology
(LT+ PT) 
Average %</t>
  </si>
  <si>
    <t>Preclinical Prosthodontics
(LT+ PT) Average %</t>
  </si>
  <si>
    <t>Dental Material
(LT+ PT) Average %</t>
  </si>
  <si>
    <t>Oral Pathology
(LT+ PT) Average %</t>
  </si>
  <si>
    <t>General Microbiology
 (LT+ PT) Average %</t>
  </si>
  <si>
    <t>Preclinical Conservative
(LT+ PT) Average %</t>
  </si>
  <si>
    <t>General and Dental Pharmacology 
(LT+ PT) Average %</t>
  </si>
  <si>
    <t xml:space="preserve"> 2nd yr. BDS Batch (2023, 2022 &amp; 2021) Sep Batch</t>
  </si>
  <si>
    <t>ASHISH KUMAR GUPTA</t>
  </si>
  <si>
    <t xml:space="preserve">SHIVAM GUPTA </t>
  </si>
  <si>
    <t>SHIVANGI SHUKLA</t>
  </si>
  <si>
    <t xml:space="preserve">VIMAL PRAKASH SINGH </t>
  </si>
  <si>
    <t>ADARSH SOMVANSHI</t>
  </si>
  <si>
    <t>ADITYA MISHRA</t>
  </si>
  <si>
    <t>ADITYA SINGH</t>
  </si>
  <si>
    <t>ALOK KUMAR GUPTA</t>
  </si>
  <si>
    <t>AMISHA YADAV</t>
  </si>
  <si>
    <t>ANANYA TIWARI</t>
  </si>
  <si>
    <t>ANKIT PATEL</t>
  </si>
  <si>
    <t>ANUBHAV VERMA</t>
  </si>
  <si>
    <t>ANUDITA YADAV</t>
  </si>
  <si>
    <t>ARSHAD ZAHEER KHAN</t>
  </si>
  <si>
    <t>ARYAN PANDEY</t>
  </si>
  <si>
    <t>AVINASH SINGH</t>
  </si>
  <si>
    <t>BHAVYA TRIPATHI</t>
  </si>
  <si>
    <t>BHOOMI JAISWAL</t>
  </si>
  <si>
    <t>BHOOMI RASTOGI</t>
  </si>
  <si>
    <t>DAZZY YADAV</t>
  </si>
  <si>
    <t xml:space="preserve">DEEPANKAR </t>
  </si>
  <si>
    <t>DEV MISRA</t>
  </si>
  <si>
    <t>DIVYANSHU TIWARI</t>
  </si>
  <si>
    <t>HARSHITA SHARMA</t>
  </si>
  <si>
    <t>HEBA FATIMA</t>
  </si>
  <si>
    <t>HIMANSHU KUMAR SINGH</t>
  </si>
  <si>
    <t>INSHA ALAM</t>
  </si>
  <si>
    <t>INSHA FATIMA</t>
  </si>
  <si>
    <t xml:space="preserve">ISHIKA SRIVASTAVA  </t>
  </si>
  <si>
    <t>ISHITA SINGH</t>
  </si>
  <si>
    <t>JANHVI GAUTAM</t>
  </si>
  <si>
    <t>JANVI GUPTA</t>
  </si>
  <si>
    <t>JAPJEE SALUJA</t>
  </si>
  <si>
    <t>JOHNY BISWAS</t>
  </si>
  <si>
    <t>JYOTI SINGH</t>
  </si>
  <si>
    <t>KAMINI YADAV</t>
  </si>
  <si>
    <t>LAVANYA SINGH</t>
  </si>
  <si>
    <t>MAHAK GUPTA</t>
  </si>
  <si>
    <t>MANISHA KUMARI</t>
  </si>
  <si>
    <t>MASIRAH REYAZ ALAM</t>
  </si>
  <si>
    <t>MAYANK AWADHESH PANDEY</t>
  </si>
  <si>
    <t>MOHD AQUIB KHAN</t>
  </si>
  <si>
    <t>MOHD MUSTAFA QURAISHI</t>
  </si>
  <si>
    <t>MONIKA SHARMA</t>
  </si>
  <si>
    <t>NAVYA NAVELI GAUNIYAL</t>
  </si>
  <si>
    <t>PALAK</t>
  </si>
  <si>
    <t>PRAGYA JAISWAL</t>
  </si>
  <si>
    <t>PRAKHAR MISHRA</t>
  </si>
  <si>
    <t>PRASHANT PRAKASH</t>
  </si>
  <si>
    <t>PRASOON TRIPATHI</t>
  </si>
  <si>
    <t>PRINCE CHAUDHARY</t>
  </si>
  <si>
    <t>RAJ KAMAL VERMA</t>
  </si>
  <si>
    <t>RAKHI KUMARI BYAHUT</t>
  </si>
  <si>
    <t>SALWA REHMAN</t>
  </si>
  <si>
    <t>SARMISTHA MAHAKUD</t>
  </si>
  <si>
    <t>SAUMYA GUPTA</t>
  </si>
  <si>
    <t>SAZIA FATIMA</t>
  </si>
  <si>
    <t xml:space="preserve">SHAHID ABDULLAH </t>
  </si>
  <si>
    <t>SHAIFALI GUPTA</t>
  </si>
  <si>
    <t>SHIKHA SHUKLA</t>
  </si>
  <si>
    <t>SHREYA SINGH D / O SUSHIL SINGH</t>
  </si>
  <si>
    <t>SHREYA SINGH D / O VIJAY PAL SINGH</t>
  </si>
  <si>
    <t>SHREYA SINGH D / O RAMESH SINGH</t>
  </si>
  <si>
    <t>SIKANDER JAHAN</t>
  </si>
  <si>
    <t>SINGH SHAILEE RAKESH</t>
  </si>
  <si>
    <t>SONAKSHI GUPTA</t>
  </si>
  <si>
    <t>SUHANI SETH</t>
  </si>
  <si>
    <t xml:space="preserve">SURYANSH SINGH </t>
  </si>
  <si>
    <t>TANISHQ SINGH</t>
  </si>
  <si>
    <t>TANUSHREE ACHARJEE</t>
  </si>
  <si>
    <t>TANYA SRIVASTAVA</t>
  </si>
  <si>
    <t>TITIKSHA SIDDHARTHA</t>
  </si>
  <si>
    <t>VATSALA SRIVASTAVA</t>
  </si>
  <si>
    <t>VEDIKA GAUTAM</t>
  </si>
  <si>
    <t>Supplementary Batch</t>
  </si>
  <si>
    <t xml:space="preserve"> 2nd yr. BDS Batch (2023 &amp; 2022 ) Feb Batch</t>
  </si>
  <si>
    <t xml:space="preserve">MOHSINA MALIK </t>
  </si>
  <si>
    <r>
      <t xml:space="preserve">SATYA PRAKASH SINGH </t>
    </r>
    <r>
      <rPr>
        <b/>
        <sz val="11"/>
        <color rgb="FF000000"/>
        <rFont val="Book Antiqua"/>
        <family val="1"/>
      </rPr>
      <t xml:space="preserve"> </t>
    </r>
  </si>
  <si>
    <r>
      <t xml:space="preserve">SHREYA GUPTA  </t>
    </r>
    <r>
      <rPr>
        <b/>
        <sz val="11"/>
        <color rgb="FF000000"/>
        <rFont val="Book Antiqua"/>
        <family val="1"/>
      </rPr>
      <t xml:space="preserve"> </t>
    </r>
  </si>
  <si>
    <r>
      <t xml:space="preserve">SHREYA SINGH D / O SAMAR BHADUR SINGH </t>
    </r>
    <r>
      <rPr>
        <b/>
        <sz val="11"/>
        <color rgb="FF000000"/>
        <rFont val="Book Antiqua"/>
        <family val="1"/>
      </rPr>
      <t xml:space="preserve"> </t>
    </r>
  </si>
  <si>
    <r>
      <t xml:space="preserve">Simran </t>
    </r>
    <r>
      <rPr>
        <b/>
        <sz val="11"/>
        <color theme="1"/>
        <rFont val="Book Antiqua"/>
        <family val="1"/>
      </rPr>
      <t>(BDS 201, 203)</t>
    </r>
  </si>
  <si>
    <r>
      <t xml:space="preserve">SAKSHI DUBEY </t>
    </r>
    <r>
      <rPr>
        <b/>
        <sz val="11"/>
        <color rgb="FF000000"/>
        <rFont val="Book Antiqua"/>
        <family val="1"/>
      </rPr>
      <t>(BDS 103)</t>
    </r>
  </si>
  <si>
    <t>Department: General and Dental Pharmacology</t>
  </si>
  <si>
    <t>Department: General Pathology</t>
  </si>
  <si>
    <t>Department: Preclinical Prosthodontics</t>
  </si>
  <si>
    <t>Department: Dental Material</t>
  </si>
  <si>
    <t>Department: Oral Pathology</t>
  </si>
  <si>
    <t>Department: General Microbiology</t>
  </si>
  <si>
    <t>Department: Preclinical Conservervative</t>
  </si>
  <si>
    <t>Month: October</t>
  </si>
  <si>
    <t>Month: November</t>
  </si>
  <si>
    <t>Month: December</t>
  </si>
  <si>
    <t>Month: January</t>
  </si>
  <si>
    <t>Month: February</t>
  </si>
  <si>
    <t>Month: March</t>
  </si>
  <si>
    <t>Month: April</t>
  </si>
  <si>
    <t>TOTAL LT</t>
  </si>
  <si>
    <t>TOTAL LA</t>
  </si>
  <si>
    <t>PER</t>
  </si>
  <si>
    <t>TOTAL PT</t>
  </si>
  <si>
    <t>TOTAL PA</t>
  </si>
  <si>
    <t>LT+PT</t>
  </si>
  <si>
    <t>LA+PA</t>
  </si>
  <si>
    <t>TOTAL %</t>
  </si>
  <si>
    <t>TOTAL 7 MONTH                                
(OCTOBER TO APRIL)</t>
  </si>
  <si>
    <t>2nd yr. BDS Batch (2023, 2022 &amp; 2021) Sep Batch</t>
  </si>
  <si>
    <r>
      <rPr>
        <sz val="11"/>
        <color rgb="FF000000"/>
        <rFont val="Book Antiqua"/>
        <family val="1"/>
      </rPr>
      <t xml:space="preserve">SATYA PRAKASH SINGH </t>
    </r>
    <r>
      <rPr>
        <b/>
        <sz val="11"/>
        <color rgb="FF000000"/>
        <rFont val="Book Antiqua"/>
        <family val="1"/>
      </rPr>
      <t xml:space="preserve"> </t>
    </r>
  </si>
  <si>
    <r>
      <rPr>
        <sz val="11"/>
        <color rgb="FF000000"/>
        <rFont val="Book Antiqua"/>
        <family val="1"/>
      </rPr>
      <t xml:space="preserve">SHREYA GUPTA  </t>
    </r>
    <r>
      <rPr>
        <b/>
        <sz val="11"/>
        <color rgb="FF000000"/>
        <rFont val="Book Antiqua"/>
        <family val="1"/>
      </rPr>
      <t xml:space="preserve"> </t>
    </r>
  </si>
  <si>
    <r>
      <rPr>
        <sz val="11"/>
        <color rgb="FF000000"/>
        <rFont val="Book Antiqua"/>
        <family val="1"/>
      </rPr>
      <t xml:space="preserve">SHREYA SINGH D / O SAMAR BHADUR SINGH </t>
    </r>
    <r>
      <rPr>
        <b/>
        <sz val="11"/>
        <color rgb="FF000000"/>
        <rFont val="Book Antiqua"/>
        <family val="1"/>
      </rPr>
      <t xml:space="preserve"> </t>
    </r>
  </si>
  <si>
    <r>
      <rPr>
        <sz val="11"/>
        <color rgb="FF000000"/>
        <rFont val="Book Antiqua"/>
        <family val="1"/>
      </rPr>
      <t xml:space="preserve">Simran </t>
    </r>
    <r>
      <rPr>
        <b/>
        <sz val="11"/>
        <rFont val="Book Antiqua"/>
        <family val="1"/>
      </rPr>
      <t>(BDS 201, 203)</t>
    </r>
  </si>
  <si>
    <r>
      <rPr>
        <sz val="11"/>
        <color rgb="FF000000"/>
        <rFont val="Book Antiqua"/>
        <family val="1"/>
      </rPr>
      <t xml:space="preserve">SAKSHI DUBEY </t>
    </r>
    <r>
      <rPr>
        <b/>
        <sz val="11"/>
        <color rgb="FF000000"/>
        <rFont val="Book Antiqua"/>
        <family val="1"/>
      </rPr>
      <t>(BDS 103)</t>
    </r>
  </si>
  <si>
    <r>
      <t xml:space="preserve">Simran </t>
    </r>
    <r>
      <rPr>
        <b/>
        <sz val="11"/>
        <color indexed="8"/>
        <rFont val="Book Antiqua"/>
      </rPr>
      <t>(BDS 201, 203)</t>
    </r>
  </si>
  <si>
    <r>
      <t xml:space="preserve">SAKSHI DUBEY </t>
    </r>
    <r>
      <rPr>
        <b/>
        <sz val="11"/>
        <color indexed="8"/>
        <rFont val="Book Antiqua"/>
      </rPr>
      <t>(BDS 103)</t>
    </r>
  </si>
  <si>
    <t>Total 7 Month Attendance October 2024 to April 2025 Average</t>
  </si>
</sst>
</file>

<file path=xl/styles.xml><?xml version="1.0" encoding="utf-8"?>
<styleSheet xmlns="http://schemas.openxmlformats.org/spreadsheetml/2006/main">
  <numFmts count="1">
    <numFmt numFmtId="164" formatCode="0.0"/>
  </numFmts>
  <fonts count="22">
    <font>
      <sz val="11"/>
      <color theme="1"/>
      <name val="Calibri"/>
      <family val="2"/>
      <charset val="1"/>
      <scheme val="minor"/>
    </font>
    <font>
      <sz val="10"/>
      <name val="Arial"/>
      <family val="2"/>
    </font>
    <font>
      <b/>
      <sz val="14"/>
      <name val="Calibri"/>
      <family val="2"/>
    </font>
    <font>
      <b/>
      <sz val="8"/>
      <color rgb="FF000000"/>
      <name val="Times New Roman"/>
      <family val="1"/>
    </font>
    <font>
      <b/>
      <sz val="8"/>
      <name val="Calibri"/>
      <family val="2"/>
    </font>
    <font>
      <sz val="11"/>
      <color theme="1"/>
      <name val="Book Antiqua"/>
      <family val="1"/>
    </font>
    <font>
      <b/>
      <sz val="11"/>
      <name val="Book Antiqua"/>
      <family val="1"/>
    </font>
    <font>
      <b/>
      <sz val="11"/>
      <color rgb="FF000000"/>
      <name val="Book Antiqua"/>
      <family val="1"/>
    </font>
    <font>
      <sz val="11"/>
      <color rgb="FF000000"/>
      <name val="Book Antiqua"/>
      <family val="1"/>
    </font>
    <font>
      <b/>
      <sz val="11"/>
      <color theme="1"/>
      <name val="Book Antiqua"/>
      <family val="1"/>
    </font>
    <font>
      <b/>
      <sz val="14"/>
      <color rgb="FF000000"/>
      <name val="Book Antiqua"/>
      <family val="1"/>
    </font>
    <font>
      <b/>
      <sz val="14"/>
      <color rgb="FF000000"/>
      <name val="Book Antiqua"/>
      <family val="1"/>
    </font>
    <font>
      <sz val="11"/>
      <name val="Calibri"/>
      <family val="2"/>
    </font>
    <font>
      <b/>
      <sz val="11"/>
      <color rgb="FF000000"/>
      <name val="Book Antiqua"/>
      <family val="1"/>
    </font>
    <font>
      <b/>
      <sz val="11"/>
      <name val="Book Antiqua"/>
      <family val="1"/>
    </font>
    <font>
      <sz val="11"/>
      <color rgb="FF000000"/>
      <name val="Book Antiqua"/>
      <family val="1"/>
    </font>
    <font>
      <sz val="11"/>
      <name val="Book Antiqua"/>
      <family val="1"/>
    </font>
    <font>
      <sz val="11"/>
      <color rgb="FF000000"/>
      <name val="Calibri"/>
      <charset val="1"/>
    </font>
    <font>
      <sz val="11"/>
      <color rgb="FF000000"/>
      <name val="Book Antiqua"/>
    </font>
    <font>
      <b/>
      <sz val="11"/>
      <color rgb="FF000000"/>
      <name val="Book Antiqua"/>
    </font>
    <font>
      <b/>
      <sz val="11"/>
      <color indexed="8"/>
      <name val="Book Antiqua"/>
    </font>
    <font>
      <sz val="10"/>
      <color theme="1"/>
      <name val="Book Antiqua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/>
    </xf>
    <xf numFmtId="0" fontId="5" fillId="0" borderId="0" xfId="0" applyFont="1" applyBorder="1"/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7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/>
    </xf>
    <xf numFmtId="0" fontId="0" fillId="0" borderId="0" xfId="0" applyFont="1" applyAlignment="1"/>
    <xf numFmtId="0" fontId="16" fillId="0" borderId="0" xfId="0" applyFont="1"/>
    <xf numFmtId="0" fontId="14" fillId="6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0" fontId="16" fillId="0" borderId="1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164" fontId="17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vertical="center" wrapText="1"/>
    </xf>
    <xf numFmtId="0" fontId="18" fillId="0" borderId="1" xfId="0" applyFont="1" applyBorder="1" applyAlignment="1">
      <alignment horizontal="left" vertical="center" wrapText="1"/>
    </xf>
    <xf numFmtId="0" fontId="5" fillId="0" borderId="0" xfId="0" applyFont="1" applyFill="1"/>
    <xf numFmtId="0" fontId="7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vertical="center" wrapText="1"/>
    </xf>
    <xf numFmtId="0" fontId="5" fillId="0" borderId="0" xfId="0" applyFont="1" applyFill="1" applyBorder="1"/>
    <xf numFmtId="0" fontId="21" fillId="0" borderId="1" xfId="0" applyFont="1" applyFill="1" applyBorder="1" applyAlignment="1">
      <alignment horizontal="center" vertical="top"/>
    </xf>
    <xf numFmtId="0" fontId="21" fillId="0" borderId="1" xfId="0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top"/>
    </xf>
    <xf numFmtId="0" fontId="13" fillId="6" borderId="1" xfId="0" applyFont="1" applyFill="1" applyBorder="1" applyAlignment="1">
      <alignment horizontal="left" vertical="top"/>
    </xf>
    <xf numFmtId="0" fontId="16" fillId="6" borderId="2" xfId="0" applyFont="1" applyFill="1" applyBorder="1" applyAlignment="1">
      <alignment horizontal="left"/>
    </xf>
    <xf numFmtId="0" fontId="16" fillId="6" borderId="3" xfId="0" applyFont="1" applyFill="1" applyBorder="1" applyAlignment="1">
      <alignment horizontal="left"/>
    </xf>
    <xf numFmtId="0" fontId="16" fillId="6" borderId="4" xfId="0" applyFont="1" applyFill="1" applyBorder="1" applyAlignment="1">
      <alignment horizontal="left"/>
    </xf>
    <xf numFmtId="0" fontId="14" fillId="6" borderId="1" xfId="0" applyFont="1" applyFill="1" applyBorder="1" applyAlignment="1">
      <alignment horizontal="left" vertical="center" wrapText="1"/>
    </xf>
    <xf numFmtId="0" fontId="12" fillId="0" borderId="1" xfId="0" applyFont="1" applyBorder="1"/>
    <xf numFmtId="0" fontId="14" fillId="6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/>
    <xf numFmtId="0" fontId="5" fillId="2" borderId="3" xfId="0" applyFont="1" applyFill="1" applyBorder="1" applyAlignment="1"/>
    <xf numFmtId="0" fontId="5" fillId="2" borderId="4" xfId="0" applyFont="1" applyFill="1" applyBorder="1" applyAlignment="1"/>
    <xf numFmtId="0" fontId="10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1" xfId="0" applyFont="1" applyFill="1" applyBorder="1" applyAlignment="1"/>
    <xf numFmtId="0" fontId="2" fillId="3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BB100"/>
  <sheetViews>
    <sheetView topLeftCell="A65" workbookViewId="0">
      <selection activeCell="BB87" sqref="BB87:BB88"/>
    </sheetView>
  </sheetViews>
  <sheetFormatPr defaultColWidth="14.42578125" defaultRowHeight="15" customHeight="1"/>
  <cols>
    <col min="1" max="1" width="6.42578125" style="28" customWidth="1"/>
    <col min="2" max="2" width="12.42578125" style="28" customWidth="1"/>
    <col min="3" max="3" width="51.140625" style="28" customWidth="1"/>
    <col min="4" max="4" width="8.42578125" style="28" customWidth="1"/>
    <col min="5" max="5" width="10.28515625" style="28" customWidth="1"/>
    <col min="6" max="6" width="5" style="28" bestFit="1" customWidth="1"/>
    <col min="7" max="7" width="8.85546875" style="28" customWidth="1"/>
    <col min="8" max="8" width="10.28515625" style="28" customWidth="1"/>
    <col min="9" max="9" width="5" style="28" bestFit="1" customWidth="1"/>
    <col min="10" max="10" width="8.42578125" style="28" customWidth="1"/>
    <col min="11" max="11" width="10.28515625" style="28" customWidth="1"/>
    <col min="12" max="12" width="5" style="28" bestFit="1" customWidth="1"/>
    <col min="13" max="13" width="8.85546875" style="28" customWidth="1"/>
    <col min="14" max="14" width="10.28515625" style="28" customWidth="1"/>
    <col min="15" max="15" width="5" style="28" bestFit="1" customWidth="1"/>
    <col min="16" max="16" width="8.42578125" style="28" customWidth="1"/>
    <col min="17" max="17" width="10.28515625" style="28" customWidth="1"/>
    <col min="18" max="18" width="5" style="28" bestFit="1" customWidth="1"/>
    <col min="19" max="19" width="8.85546875" style="28" customWidth="1"/>
    <col min="20" max="20" width="10.28515625" style="28" customWidth="1"/>
    <col min="21" max="21" width="6.140625" style="28" bestFit="1" customWidth="1"/>
    <col min="22" max="22" width="8.42578125" style="28" customWidth="1"/>
    <col min="23" max="23" width="10.28515625" style="28" customWidth="1"/>
    <col min="24" max="24" width="6.140625" style="28" bestFit="1" customWidth="1"/>
    <col min="25" max="25" width="8.85546875" style="28" customWidth="1"/>
    <col min="26" max="26" width="10.28515625" style="28" customWidth="1"/>
    <col min="27" max="27" width="6.140625" style="28" bestFit="1" customWidth="1"/>
    <col min="28" max="28" width="8.42578125" style="28" customWidth="1"/>
    <col min="29" max="29" width="10.28515625" style="28" customWidth="1"/>
    <col min="30" max="30" width="6.140625" style="28" bestFit="1" customWidth="1"/>
    <col min="31" max="31" width="8.85546875" style="28" customWidth="1"/>
    <col min="32" max="32" width="10.28515625" style="28" customWidth="1"/>
    <col min="33" max="33" width="6.140625" style="28" bestFit="1" customWidth="1"/>
    <col min="34" max="34" width="8.42578125" style="28" customWidth="1"/>
    <col min="35" max="35" width="10.28515625" style="28" customWidth="1"/>
    <col min="36" max="36" width="6.140625" style="28" bestFit="1" customWidth="1"/>
    <col min="37" max="37" width="8.85546875" style="28" customWidth="1"/>
    <col min="38" max="38" width="10.28515625" style="28" customWidth="1"/>
    <col min="39" max="39" width="6.140625" style="28" bestFit="1" customWidth="1"/>
    <col min="40" max="40" width="8.42578125" style="28" customWidth="1"/>
    <col min="41" max="41" width="10.28515625" style="28" customWidth="1"/>
    <col min="42" max="42" width="6.140625" style="28" bestFit="1" customWidth="1"/>
    <col min="43" max="43" width="8.85546875" style="28" customWidth="1"/>
    <col min="44" max="44" width="10.28515625" style="28" customWidth="1"/>
    <col min="45" max="45" width="6.140625" style="28" bestFit="1" customWidth="1"/>
    <col min="46" max="47" width="8.7109375" style="28" bestFit="1" customWidth="1"/>
    <col min="48" max="48" width="9.28515625" style="28" bestFit="1" customWidth="1"/>
    <col min="49" max="50" width="8.7109375" style="28" bestFit="1" customWidth="1"/>
    <col min="51" max="51" width="9.28515625" style="28" bestFit="1" customWidth="1"/>
    <col min="52" max="52" width="7.7109375" style="28" bestFit="1" customWidth="1"/>
    <col min="53" max="53" width="8.28515625" style="28" bestFit="1" customWidth="1"/>
    <col min="54" max="54" width="9.28515625" style="28" bestFit="1" customWidth="1"/>
    <col min="55" max="16384" width="14.42578125" style="28"/>
  </cols>
  <sheetData>
    <row r="1" spans="1:54" ht="18.75">
      <c r="A1" s="56" t="s">
        <v>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</row>
    <row r="2" spans="1:54" ht="18.75">
      <c r="A2" s="56" t="s">
        <v>2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</row>
    <row r="3" spans="1:54" ht="18.75">
      <c r="A3" s="56" t="s">
        <v>22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</row>
    <row r="4" spans="1:54" ht="14.25" customHeight="1">
      <c r="A4" s="57" t="s">
        <v>105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</row>
    <row r="5" spans="1:54" ht="42.75" customHeight="1">
      <c r="A5" s="63" t="s">
        <v>3</v>
      </c>
      <c r="B5" s="63" t="s">
        <v>4</v>
      </c>
      <c r="C5" s="63" t="s">
        <v>5</v>
      </c>
      <c r="D5" s="61" t="s">
        <v>112</v>
      </c>
      <c r="E5" s="62"/>
      <c r="F5" s="62"/>
      <c r="G5" s="62"/>
      <c r="H5" s="62"/>
      <c r="I5" s="62"/>
      <c r="J5" s="61" t="s">
        <v>113</v>
      </c>
      <c r="K5" s="62"/>
      <c r="L5" s="62"/>
      <c r="M5" s="62"/>
      <c r="N5" s="62"/>
      <c r="O5" s="62"/>
      <c r="P5" s="61" t="s">
        <v>114</v>
      </c>
      <c r="Q5" s="62"/>
      <c r="R5" s="62"/>
      <c r="S5" s="62"/>
      <c r="T5" s="62"/>
      <c r="U5" s="62"/>
      <c r="V5" s="61" t="s">
        <v>115</v>
      </c>
      <c r="W5" s="62"/>
      <c r="X5" s="62"/>
      <c r="Y5" s="62"/>
      <c r="Z5" s="62"/>
      <c r="AA5" s="62"/>
      <c r="AB5" s="61" t="s">
        <v>116</v>
      </c>
      <c r="AC5" s="62"/>
      <c r="AD5" s="62"/>
      <c r="AE5" s="62"/>
      <c r="AF5" s="62"/>
      <c r="AG5" s="62"/>
      <c r="AH5" s="61" t="s">
        <v>117</v>
      </c>
      <c r="AI5" s="62"/>
      <c r="AJ5" s="62"/>
      <c r="AK5" s="62"/>
      <c r="AL5" s="62"/>
      <c r="AM5" s="62"/>
      <c r="AN5" s="61" t="s">
        <v>118</v>
      </c>
      <c r="AO5" s="62"/>
      <c r="AP5" s="62"/>
      <c r="AQ5" s="62"/>
      <c r="AR5" s="62"/>
      <c r="AS5" s="62"/>
      <c r="AT5" s="64" t="s">
        <v>127</v>
      </c>
      <c r="AU5" s="64"/>
      <c r="AV5" s="64"/>
      <c r="AW5" s="64"/>
      <c r="AX5" s="64"/>
      <c r="AY5" s="64"/>
      <c r="AZ5" s="64"/>
      <c r="BA5" s="64"/>
      <c r="BB5" s="64"/>
    </row>
    <row r="6" spans="1:54" ht="14.25" customHeight="1">
      <c r="A6" s="62"/>
      <c r="B6" s="62"/>
      <c r="C6" s="62"/>
      <c r="D6" s="30" t="s">
        <v>6</v>
      </c>
      <c r="E6" s="30" t="s">
        <v>7</v>
      </c>
      <c r="F6" s="30" t="s">
        <v>8</v>
      </c>
      <c r="G6" s="30" t="s">
        <v>9</v>
      </c>
      <c r="H6" s="30" t="s">
        <v>10</v>
      </c>
      <c r="I6" s="30" t="s">
        <v>8</v>
      </c>
      <c r="J6" s="30" t="s">
        <v>6</v>
      </c>
      <c r="K6" s="30" t="s">
        <v>7</v>
      </c>
      <c r="L6" s="30" t="s">
        <v>8</v>
      </c>
      <c r="M6" s="30" t="s">
        <v>9</v>
      </c>
      <c r="N6" s="30" t="s">
        <v>10</v>
      </c>
      <c r="O6" s="30" t="s">
        <v>8</v>
      </c>
      <c r="P6" s="30" t="s">
        <v>6</v>
      </c>
      <c r="Q6" s="30" t="s">
        <v>7</v>
      </c>
      <c r="R6" s="30" t="s">
        <v>8</v>
      </c>
      <c r="S6" s="30" t="s">
        <v>9</v>
      </c>
      <c r="T6" s="30" t="s">
        <v>10</v>
      </c>
      <c r="U6" s="30" t="s">
        <v>8</v>
      </c>
      <c r="V6" s="30" t="s">
        <v>6</v>
      </c>
      <c r="W6" s="30" t="s">
        <v>7</v>
      </c>
      <c r="X6" s="30" t="s">
        <v>8</v>
      </c>
      <c r="Y6" s="30" t="s">
        <v>9</v>
      </c>
      <c r="Z6" s="30" t="s">
        <v>10</v>
      </c>
      <c r="AA6" s="30" t="s">
        <v>8</v>
      </c>
      <c r="AB6" s="30" t="s">
        <v>6</v>
      </c>
      <c r="AC6" s="30" t="s">
        <v>7</v>
      </c>
      <c r="AD6" s="30" t="s">
        <v>8</v>
      </c>
      <c r="AE6" s="30" t="s">
        <v>9</v>
      </c>
      <c r="AF6" s="30" t="s">
        <v>10</v>
      </c>
      <c r="AG6" s="30" t="s">
        <v>8</v>
      </c>
      <c r="AH6" s="30" t="s">
        <v>6</v>
      </c>
      <c r="AI6" s="30" t="s">
        <v>7</v>
      </c>
      <c r="AJ6" s="30" t="s">
        <v>8</v>
      </c>
      <c r="AK6" s="30" t="s">
        <v>9</v>
      </c>
      <c r="AL6" s="30" t="s">
        <v>10</v>
      </c>
      <c r="AM6" s="30" t="s">
        <v>8</v>
      </c>
      <c r="AN6" s="30" t="s">
        <v>6</v>
      </c>
      <c r="AO6" s="30" t="s">
        <v>7</v>
      </c>
      <c r="AP6" s="30" t="s">
        <v>8</v>
      </c>
      <c r="AQ6" s="30" t="s">
        <v>9</v>
      </c>
      <c r="AR6" s="30" t="s">
        <v>10</v>
      </c>
      <c r="AS6" s="30" t="s">
        <v>8</v>
      </c>
      <c r="AT6" s="24" t="s">
        <v>119</v>
      </c>
      <c r="AU6" s="24" t="s">
        <v>120</v>
      </c>
      <c r="AV6" s="24" t="s">
        <v>121</v>
      </c>
      <c r="AW6" s="24" t="s">
        <v>122</v>
      </c>
      <c r="AX6" s="24" t="s">
        <v>123</v>
      </c>
      <c r="AY6" s="25" t="s">
        <v>121</v>
      </c>
      <c r="AZ6" s="23" t="s">
        <v>124</v>
      </c>
      <c r="BA6" s="23" t="s">
        <v>125</v>
      </c>
      <c r="BB6" s="23" t="s">
        <v>126</v>
      </c>
    </row>
    <row r="7" spans="1:54" ht="14.25" customHeight="1">
      <c r="A7" s="31">
        <v>1</v>
      </c>
      <c r="B7" s="32">
        <v>1220321013</v>
      </c>
      <c r="C7" s="33" t="s">
        <v>23</v>
      </c>
      <c r="D7" s="34">
        <v>4</v>
      </c>
      <c r="E7" s="34">
        <v>2</v>
      </c>
      <c r="F7" s="35">
        <f>E7/D7*100</f>
        <v>50</v>
      </c>
      <c r="G7" s="34">
        <v>4</v>
      </c>
      <c r="H7" s="36">
        <v>2</v>
      </c>
      <c r="I7" s="35">
        <f>H7/G7*100</f>
        <v>50</v>
      </c>
      <c r="J7" s="34">
        <v>10</v>
      </c>
      <c r="K7" s="36">
        <v>5</v>
      </c>
      <c r="L7" s="35">
        <f>K7/J7*100</f>
        <v>50</v>
      </c>
      <c r="M7" s="36">
        <v>9</v>
      </c>
      <c r="N7" s="36">
        <v>4</v>
      </c>
      <c r="O7" s="35">
        <f>N7/M7*100</f>
        <v>44.444444444444443</v>
      </c>
      <c r="P7" s="34">
        <v>9</v>
      </c>
      <c r="Q7" s="34">
        <v>5</v>
      </c>
      <c r="R7" s="35">
        <f>Q7/P7*100</f>
        <v>55.555555555555557</v>
      </c>
      <c r="S7" s="36">
        <v>3</v>
      </c>
      <c r="T7" s="36">
        <v>2</v>
      </c>
      <c r="U7" s="35">
        <f>T7/S7*100</f>
        <v>66.666666666666657</v>
      </c>
      <c r="V7" s="34">
        <v>2</v>
      </c>
      <c r="W7" s="34">
        <v>2</v>
      </c>
      <c r="X7" s="35">
        <f>W7/V7*100</f>
        <v>100</v>
      </c>
      <c r="Y7" s="36">
        <v>4</v>
      </c>
      <c r="Z7" s="36">
        <v>2</v>
      </c>
      <c r="AA7" s="35">
        <f>Z7/Y7*100</f>
        <v>50</v>
      </c>
      <c r="AB7" s="34">
        <v>3</v>
      </c>
      <c r="AC7" s="34">
        <v>2</v>
      </c>
      <c r="AD7" s="35">
        <f>AC7/AB7*100</f>
        <v>66.666666666666657</v>
      </c>
      <c r="AE7" s="36">
        <v>2</v>
      </c>
      <c r="AF7" s="36">
        <v>1</v>
      </c>
      <c r="AG7" s="35">
        <f>AF7/AE7*100</f>
        <v>50</v>
      </c>
      <c r="AH7" s="34">
        <v>8</v>
      </c>
      <c r="AI7" s="34">
        <v>4</v>
      </c>
      <c r="AJ7" s="35">
        <f>AI7/AH7*100</f>
        <v>50</v>
      </c>
      <c r="AK7" s="36">
        <v>3</v>
      </c>
      <c r="AL7" s="36">
        <v>3</v>
      </c>
      <c r="AM7" s="35">
        <f>AL7/AK7*100</f>
        <v>100</v>
      </c>
      <c r="AN7" s="34">
        <v>4</v>
      </c>
      <c r="AO7" s="34">
        <v>3</v>
      </c>
      <c r="AP7" s="35">
        <f>AO7/AN7*100</f>
        <v>75</v>
      </c>
      <c r="AQ7" s="36">
        <v>2</v>
      </c>
      <c r="AR7" s="36">
        <v>2</v>
      </c>
      <c r="AS7" s="35">
        <f>AR7/AQ7*100</f>
        <v>100</v>
      </c>
      <c r="AT7" s="10">
        <f>SUM(D7,J7,P7,V7,AB7,AH7,AN7)</f>
        <v>40</v>
      </c>
      <c r="AU7" s="10">
        <f>SUM(E7,K7,Q7,W7,AC7,AI7,AO7)</f>
        <v>23</v>
      </c>
      <c r="AV7" s="26">
        <f>AU7/AT7*100</f>
        <v>57.499999999999993</v>
      </c>
      <c r="AW7" s="10">
        <f>SUM(G7,M7,S7,Y7,AE7,AK7,AQ7)</f>
        <v>27</v>
      </c>
      <c r="AX7" s="10">
        <f>SUM(H7,N7,T7,Z7,AF7,AL7,AR7)</f>
        <v>16</v>
      </c>
      <c r="AY7" s="26">
        <f>AX7/AW7*100</f>
        <v>59.259259259259252</v>
      </c>
      <c r="AZ7" s="10">
        <f>SUM(AT7,AW7)</f>
        <v>67</v>
      </c>
      <c r="BA7" s="10">
        <f>SUM(AU7,AX7)</f>
        <v>39</v>
      </c>
      <c r="BB7" s="27">
        <f>BA7/AZ7*100</f>
        <v>58.208955223880601</v>
      </c>
    </row>
    <row r="8" spans="1:54" ht="14.25" customHeight="1">
      <c r="A8" s="31">
        <v>2</v>
      </c>
      <c r="B8" s="32">
        <v>1220321039</v>
      </c>
      <c r="C8" s="33" t="s">
        <v>24</v>
      </c>
      <c r="D8" s="34">
        <v>4</v>
      </c>
      <c r="E8" s="34">
        <v>2</v>
      </c>
      <c r="F8" s="35">
        <f t="shared" ref="F8:F71" si="0">E8/D8*100</f>
        <v>50</v>
      </c>
      <c r="G8" s="34">
        <v>4</v>
      </c>
      <c r="H8" s="36">
        <v>2</v>
      </c>
      <c r="I8" s="35">
        <f t="shared" ref="I8:I71" si="1">H8/G8*100</f>
        <v>50</v>
      </c>
      <c r="J8" s="34">
        <v>10</v>
      </c>
      <c r="K8" s="36">
        <v>5</v>
      </c>
      <c r="L8" s="35">
        <f t="shared" ref="L8:L71" si="2">K8/J8*100</f>
        <v>50</v>
      </c>
      <c r="M8" s="36">
        <v>9</v>
      </c>
      <c r="N8" s="36">
        <v>4</v>
      </c>
      <c r="O8" s="35">
        <f t="shared" ref="O8:O71" si="3">N8/M8*100</f>
        <v>44.444444444444443</v>
      </c>
      <c r="P8" s="34">
        <v>9</v>
      </c>
      <c r="Q8" s="34">
        <v>5</v>
      </c>
      <c r="R8" s="35">
        <f t="shared" ref="R8:R71" si="4">Q8/P8*100</f>
        <v>55.555555555555557</v>
      </c>
      <c r="S8" s="36">
        <v>3</v>
      </c>
      <c r="T8" s="36">
        <v>2</v>
      </c>
      <c r="U8" s="35">
        <f t="shared" ref="U8:U71" si="5">T8/S8*100</f>
        <v>66.666666666666657</v>
      </c>
      <c r="V8" s="34">
        <v>2</v>
      </c>
      <c r="W8" s="34">
        <v>2</v>
      </c>
      <c r="X8" s="35">
        <f t="shared" ref="X8:X71" si="6">W8/V8*100</f>
        <v>100</v>
      </c>
      <c r="Y8" s="36">
        <v>4</v>
      </c>
      <c r="Z8" s="36">
        <v>2</v>
      </c>
      <c r="AA8" s="35">
        <f t="shared" ref="AA8:AA71" si="7">Z8/Y8*100</f>
        <v>50</v>
      </c>
      <c r="AB8" s="34">
        <v>3</v>
      </c>
      <c r="AC8" s="34">
        <v>2</v>
      </c>
      <c r="AD8" s="35">
        <f t="shared" ref="AD8:AD71" si="8">AC8/AB8*100</f>
        <v>66.666666666666657</v>
      </c>
      <c r="AE8" s="36">
        <v>2</v>
      </c>
      <c r="AF8" s="36">
        <v>1</v>
      </c>
      <c r="AG8" s="35">
        <f t="shared" ref="AG8:AG71" si="9">AF8/AE8*100</f>
        <v>50</v>
      </c>
      <c r="AH8" s="34">
        <v>8</v>
      </c>
      <c r="AI8" s="34">
        <v>5</v>
      </c>
      <c r="AJ8" s="35">
        <f t="shared" ref="AJ8:AJ71" si="10">AI8/AH8*100</f>
        <v>62.5</v>
      </c>
      <c r="AK8" s="36">
        <v>3</v>
      </c>
      <c r="AL8" s="36">
        <v>3</v>
      </c>
      <c r="AM8" s="35">
        <f t="shared" ref="AM8:AM71" si="11">AL8/AK8*100</f>
        <v>100</v>
      </c>
      <c r="AN8" s="34">
        <v>4</v>
      </c>
      <c r="AO8" s="34">
        <v>3</v>
      </c>
      <c r="AP8" s="35">
        <f t="shared" ref="AP8:AP71" si="12">AO8/AN8*100</f>
        <v>75</v>
      </c>
      <c r="AQ8" s="36">
        <v>2</v>
      </c>
      <c r="AR8" s="36">
        <v>2</v>
      </c>
      <c r="AS8" s="35">
        <f t="shared" ref="AS8:AS71" si="13">AR8/AQ8*100</f>
        <v>100</v>
      </c>
      <c r="AT8" s="10">
        <f t="shared" ref="AT8:AU71" si="14">SUM(D8,J8,P8,V8,AB8,AH8,AN8)</f>
        <v>40</v>
      </c>
      <c r="AU8" s="10">
        <f t="shared" si="14"/>
        <v>24</v>
      </c>
      <c r="AV8" s="26">
        <f t="shared" ref="AV8:AV71" si="15">AU8/AT8*100</f>
        <v>60</v>
      </c>
      <c r="AW8" s="10">
        <f t="shared" ref="AW8:AX71" si="16">SUM(G8,M8,S8,Y8,AE8,AK8,AQ8)</f>
        <v>27</v>
      </c>
      <c r="AX8" s="10">
        <f t="shared" si="16"/>
        <v>16</v>
      </c>
      <c r="AY8" s="26">
        <f t="shared" ref="AY8:AY71" si="17">AX8/AW8*100</f>
        <v>59.259259259259252</v>
      </c>
      <c r="AZ8" s="10">
        <f t="shared" ref="AZ8:BA71" si="18">SUM(AT8,AW8)</f>
        <v>67</v>
      </c>
      <c r="BA8" s="10">
        <f t="shared" si="18"/>
        <v>40</v>
      </c>
      <c r="BB8" s="27">
        <f t="shared" ref="BB8:BB71" si="19">BA8/AZ8*100</f>
        <v>59.701492537313428</v>
      </c>
    </row>
    <row r="9" spans="1:54" ht="14.25" customHeight="1">
      <c r="A9" s="31">
        <v>3</v>
      </c>
      <c r="B9" s="32">
        <v>1220321040</v>
      </c>
      <c r="C9" s="33" t="s">
        <v>25</v>
      </c>
      <c r="D9" s="34">
        <v>4</v>
      </c>
      <c r="E9" s="34">
        <v>2</v>
      </c>
      <c r="F9" s="35">
        <f t="shared" si="0"/>
        <v>50</v>
      </c>
      <c r="G9" s="34">
        <v>4</v>
      </c>
      <c r="H9" s="36">
        <v>2</v>
      </c>
      <c r="I9" s="35">
        <f t="shared" si="1"/>
        <v>50</v>
      </c>
      <c r="J9" s="34">
        <v>10</v>
      </c>
      <c r="K9" s="36">
        <v>5</v>
      </c>
      <c r="L9" s="35">
        <f t="shared" si="2"/>
        <v>50</v>
      </c>
      <c r="M9" s="36">
        <v>9</v>
      </c>
      <c r="N9" s="36">
        <v>4</v>
      </c>
      <c r="O9" s="35">
        <f t="shared" si="3"/>
        <v>44.444444444444443</v>
      </c>
      <c r="P9" s="34">
        <v>9</v>
      </c>
      <c r="Q9" s="34">
        <v>5</v>
      </c>
      <c r="R9" s="35">
        <f t="shared" si="4"/>
        <v>55.555555555555557</v>
      </c>
      <c r="S9" s="36">
        <v>3</v>
      </c>
      <c r="T9" s="36">
        <v>2</v>
      </c>
      <c r="U9" s="35">
        <f t="shared" si="5"/>
        <v>66.666666666666657</v>
      </c>
      <c r="V9" s="34">
        <v>2</v>
      </c>
      <c r="W9" s="34">
        <v>2</v>
      </c>
      <c r="X9" s="35">
        <f t="shared" si="6"/>
        <v>100</v>
      </c>
      <c r="Y9" s="36">
        <v>4</v>
      </c>
      <c r="Z9" s="36">
        <v>2</v>
      </c>
      <c r="AA9" s="35">
        <f t="shared" si="7"/>
        <v>50</v>
      </c>
      <c r="AB9" s="34">
        <v>3</v>
      </c>
      <c r="AC9" s="34">
        <v>2</v>
      </c>
      <c r="AD9" s="35">
        <f t="shared" si="8"/>
        <v>66.666666666666657</v>
      </c>
      <c r="AE9" s="36">
        <v>2</v>
      </c>
      <c r="AF9" s="36">
        <v>1</v>
      </c>
      <c r="AG9" s="35">
        <f t="shared" si="9"/>
        <v>50</v>
      </c>
      <c r="AH9" s="34">
        <v>8</v>
      </c>
      <c r="AI9" s="34">
        <v>5</v>
      </c>
      <c r="AJ9" s="35">
        <f t="shared" si="10"/>
        <v>62.5</v>
      </c>
      <c r="AK9" s="36">
        <v>3</v>
      </c>
      <c r="AL9" s="36">
        <v>3</v>
      </c>
      <c r="AM9" s="35">
        <f t="shared" si="11"/>
        <v>100</v>
      </c>
      <c r="AN9" s="34">
        <v>4</v>
      </c>
      <c r="AO9" s="34">
        <v>3</v>
      </c>
      <c r="AP9" s="35">
        <f t="shared" si="12"/>
        <v>75</v>
      </c>
      <c r="AQ9" s="36">
        <v>2</v>
      </c>
      <c r="AR9" s="36">
        <v>2</v>
      </c>
      <c r="AS9" s="35">
        <f t="shared" si="13"/>
        <v>100</v>
      </c>
      <c r="AT9" s="10">
        <f t="shared" si="14"/>
        <v>40</v>
      </c>
      <c r="AU9" s="10">
        <f t="shared" si="14"/>
        <v>24</v>
      </c>
      <c r="AV9" s="26">
        <f t="shared" si="15"/>
        <v>60</v>
      </c>
      <c r="AW9" s="10">
        <f t="shared" si="16"/>
        <v>27</v>
      </c>
      <c r="AX9" s="10">
        <f t="shared" si="16"/>
        <v>16</v>
      </c>
      <c r="AY9" s="26">
        <f t="shared" si="17"/>
        <v>59.259259259259252</v>
      </c>
      <c r="AZ9" s="10">
        <f t="shared" si="18"/>
        <v>67</v>
      </c>
      <c r="BA9" s="10">
        <f t="shared" si="18"/>
        <v>40</v>
      </c>
      <c r="BB9" s="27">
        <f t="shared" si="19"/>
        <v>59.701492537313428</v>
      </c>
    </row>
    <row r="10" spans="1:54" ht="14.25" customHeight="1">
      <c r="A10" s="31">
        <v>4</v>
      </c>
      <c r="B10" s="32">
        <v>1220321049</v>
      </c>
      <c r="C10" s="33" t="s">
        <v>26</v>
      </c>
      <c r="D10" s="34">
        <v>4</v>
      </c>
      <c r="E10" s="34">
        <v>2</v>
      </c>
      <c r="F10" s="35">
        <f t="shared" si="0"/>
        <v>50</v>
      </c>
      <c r="G10" s="34">
        <v>4</v>
      </c>
      <c r="H10" s="36">
        <v>2</v>
      </c>
      <c r="I10" s="35">
        <f t="shared" si="1"/>
        <v>50</v>
      </c>
      <c r="J10" s="34">
        <v>10</v>
      </c>
      <c r="K10" s="36">
        <v>5</v>
      </c>
      <c r="L10" s="35">
        <f t="shared" si="2"/>
        <v>50</v>
      </c>
      <c r="M10" s="36">
        <v>9</v>
      </c>
      <c r="N10" s="36">
        <v>4</v>
      </c>
      <c r="O10" s="35">
        <f t="shared" si="3"/>
        <v>44.444444444444443</v>
      </c>
      <c r="P10" s="34">
        <v>9</v>
      </c>
      <c r="Q10" s="34">
        <v>5</v>
      </c>
      <c r="R10" s="35">
        <f t="shared" si="4"/>
        <v>55.555555555555557</v>
      </c>
      <c r="S10" s="36">
        <v>3</v>
      </c>
      <c r="T10" s="36">
        <v>2</v>
      </c>
      <c r="U10" s="35">
        <f t="shared" si="5"/>
        <v>66.666666666666657</v>
      </c>
      <c r="V10" s="34">
        <v>2</v>
      </c>
      <c r="W10" s="34">
        <v>2</v>
      </c>
      <c r="X10" s="35">
        <f t="shared" si="6"/>
        <v>100</v>
      </c>
      <c r="Y10" s="36">
        <v>4</v>
      </c>
      <c r="Z10" s="36">
        <v>2</v>
      </c>
      <c r="AA10" s="35">
        <f t="shared" si="7"/>
        <v>50</v>
      </c>
      <c r="AB10" s="34">
        <v>3</v>
      </c>
      <c r="AC10" s="34">
        <v>2</v>
      </c>
      <c r="AD10" s="35">
        <f t="shared" si="8"/>
        <v>66.666666666666657</v>
      </c>
      <c r="AE10" s="36">
        <v>2</v>
      </c>
      <c r="AF10" s="36">
        <v>1</v>
      </c>
      <c r="AG10" s="35">
        <f t="shared" si="9"/>
        <v>50</v>
      </c>
      <c r="AH10" s="34">
        <v>8</v>
      </c>
      <c r="AI10" s="34">
        <v>4</v>
      </c>
      <c r="AJ10" s="35">
        <f t="shared" si="10"/>
        <v>50</v>
      </c>
      <c r="AK10" s="36">
        <v>3</v>
      </c>
      <c r="AL10" s="36">
        <v>3</v>
      </c>
      <c r="AM10" s="35">
        <f t="shared" si="11"/>
        <v>100</v>
      </c>
      <c r="AN10" s="34">
        <v>4</v>
      </c>
      <c r="AO10" s="34">
        <v>4</v>
      </c>
      <c r="AP10" s="35">
        <f t="shared" si="12"/>
        <v>100</v>
      </c>
      <c r="AQ10" s="36">
        <v>2</v>
      </c>
      <c r="AR10" s="36">
        <v>2</v>
      </c>
      <c r="AS10" s="35">
        <f t="shared" si="13"/>
        <v>100</v>
      </c>
      <c r="AT10" s="10">
        <f t="shared" si="14"/>
        <v>40</v>
      </c>
      <c r="AU10" s="10">
        <f t="shared" si="14"/>
        <v>24</v>
      </c>
      <c r="AV10" s="26">
        <f t="shared" si="15"/>
        <v>60</v>
      </c>
      <c r="AW10" s="10">
        <f t="shared" si="16"/>
        <v>27</v>
      </c>
      <c r="AX10" s="10">
        <f t="shared" si="16"/>
        <v>16</v>
      </c>
      <c r="AY10" s="26">
        <f t="shared" si="17"/>
        <v>59.259259259259252</v>
      </c>
      <c r="AZ10" s="10">
        <f t="shared" si="18"/>
        <v>67</v>
      </c>
      <c r="BA10" s="10">
        <f t="shared" si="18"/>
        <v>40</v>
      </c>
      <c r="BB10" s="27">
        <f t="shared" si="19"/>
        <v>59.701492537313428</v>
      </c>
    </row>
    <row r="11" spans="1:54" ht="14.25" customHeight="1">
      <c r="A11" s="31">
        <v>5</v>
      </c>
      <c r="B11" s="32">
        <v>1230321002</v>
      </c>
      <c r="C11" s="33" t="s">
        <v>27</v>
      </c>
      <c r="D11" s="34">
        <v>4</v>
      </c>
      <c r="E11" s="34">
        <v>2</v>
      </c>
      <c r="F11" s="35">
        <f t="shared" si="0"/>
        <v>50</v>
      </c>
      <c r="G11" s="34">
        <v>4</v>
      </c>
      <c r="H11" s="36">
        <v>2</v>
      </c>
      <c r="I11" s="35">
        <f t="shared" si="1"/>
        <v>50</v>
      </c>
      <c r="J11" s="34">
        <v>10</v>
      </c>
      <c r="K11" s="36">
        <v>6</v>
      </c>
      <c r="L11" s="35">
        <f t="shared" si="2"/>
        <v>60</v>
      </c>
      <c r="M11" s="36">
        <v>9</v>
      </c>
      <c r="N11" s="36">
        <v>4</v>
      </c>
      <c r="O11" s="35">
        <f t="shared" si="3"/>
        <v>44.444444444444443</v>
      </c>
      <c r="P11" s="34">
        <v>9</v>
      </c>
      <c r="Q11" s="34">
        <v>8</v>
      </c>
      <c r="R11" s="35">
        <f t="shared" si="4"/>
        <v>88.888888888888886</v>
      </c>
      <c r="S11" s="36">
        <v>3</v>
      </c>
      <c r="T11" s="36">
        <v>3</v>
      </c>
      <c r="U11" s="35">
        <f t="shared" si="5"/>
        <v>100</v>
      </c>
      <c r="V11" s="34">
        <v>2</v>
      </c>
      <c r="W11" s="34">
        <v>2</v>
      </c>
      <c r="X11" s="35">
        <f t="shared" si="6"/>
        <v>100</v>
      </c>
      <c r="Y11" s="36">
        <v>4</v>
      </c>
      <c r="Z11" s="36">
        <v>3</v>
      </c>
      <c r="AA11" s="35">
        <f t="shared" si="7"/>
        <v>75</v>
      </c>
      <c r="AB11" s="34">
        <v>3</v>
      </c>
      <c r="AC11" s="34">
        <v>2</v>
      </c>
      <c r="AD11" s="35">
        <f t="shared" si="8"/>
        <v>66.666666666666657</v>
      </c>
      <c r="AE11" s="36">
        <v>2</v>
      </c>
      <c r="AF11" s="36">
        <v>1</v>
      </c>
      <c r="AG11" s="35">
        <f t="shared" si="9"/>
        <v>50</v>
      </c>
      <c r="AH11" s="34">
        <v>8</v>
      </c>
      <c r="AI11" s="34">
        <v>7</v>
      </c>
      <c r="AJ11" s="35">
        <f t="shared" si="10"/>
        <v>87.5</v>
      </c>
      <c r="AK11" s="36">
        <v>3</v>
      </c>
      <c r="AL11" s="36">
        <v>3</v>
      </c>
      <c r="AM11" s="35">
        <f t="shared" si="11"/>
        <v>100</v>
      </c>
      <c r="AN11" s="34">
        <v>4</v>
      </c>
      <c r="AO11" s="34">
        <v>4</v>
      </c>
      <c r="AP11" s="35">
        <f t="shared" si="12"/>
        <v>100</v>
      </c>
      <c r="AQ11" s="36">
        <v>2</v>
      </c>
      <c r="AR11" s="36">
        <v>2</v>
      </c>
      <c r="AS11" s="35">
        <f t="shared" si="13"/>
        <v>100</v>
      </c>
      <c r="AT11" s="10">
        <f t="shared" si="14"/>
        <v>40</v>
      </c>
      <c r="AU11" s="10">
        <f t="shared" si="14"/>
        <v>31</v>
      </c>
      <c r="AV11" s="26">
        <f t="shared" si="15"/>
        <v>77.5</v>
      </c>
      <c r="AW11" s="10">
        <f t="shared" si="16"/>
        <v>27</v>
      </c>
      <c r="AX11" s="10">
        <f t="shared" si="16"/>
        <v>18</v>
      </c>
      <c r="AY11" s="26">
        <f t="shared" si="17"/>
        <v>66.666666666666657</v>
      </c>
      <c r="AZ11" s="10">
        <f t="shared" si="18"/>
        <v>67</v>
      </c>
      <c r="BA11" s="10">
        <f t="shared" si="18"/>
        <v>49</v>
      </c>
      <c r="BB11" s="27">
        <f t="shared" si="19"/>
        <v>73.134328358208961</v>
      </c>
    </row>
    <row r="12" spans="1:54" ht="14.25" customHeight="1">
      <c r="A12" s="31">
        <v>6</v>
      </c>
      <c r="B12" s="32">
        <v>1230321003</v>
      </c>
      <c r="C12" s="33" t="s">
        <v>28</v>
      </c>
      <c r="D12" s="34">
        <v>4</v>
      </c>
      <c r="E12" s="34">
        <v>2</v>
      </c>
      <c r="F12" s="35">
        <f t="shared" si="0"/>
        <v>50</v>
      </c>
      <c r="G12" s="34">
        <v>4</v>
      </c>
      <c r="H12" s="36">
        <v>2</v>
      </c>
      <c r="I12" s="35">
        <f t="shared" si="1"/>
        <v>50</v>
      </c>
      <c r="J12" s="34">
        <v>10</v>
      </c>
      <c r="K12" s="36">
        <v>2</v>
      </c>
      <c r="L12" s="35">
        <f t="shared" si="2"/>
        <v>20</v>
      </c>
      <c r="M12" s="36">
        <v>9</v>
      </c>
      <c r="N12" s="36">
        <v>4</v>
      </c>
      <c r="O12" s="35">
        <f t="shared" si="3"/>
        <v>44.444444444444443</v>
      </c>
      <c r="P12" s="34">
        <v>9</v>
      </c>
      <c r="Q12" s="34">
        <v>8</v>
      </c>
      <c r="R12" s="35">
        <f t="shared" si="4"/>
        <v>88.888888888888886</v>
      </c>
      <c r="S12" s="36">
        <v>3</v>
      </c>
      <c r="T12" s="36">
        <v>2</v>
      </c>
      <c r="U12" s="35">
        <f t="shared" si="5"/>
        <v>66.666666666666657</v>
      </c>
      <c r="V12" s="34">
        <v>2</v>
      </c>
      <c r="W12" s="34">
        <v>2</v>
      </c>
      <c r="X12" s="35">
        <f t="shared" si="6"/>
        <v>100</v>
      </c>
      <c r="Y12" s="36">
        <v>4</v>
      </c>
      <c r="Z12" s="36">
        <v>3</v>
      </c>
      <c r="AA12" s="35">
        <f t="shared" si="7"/>
        <v>75</v>
      </c>
      <c r="AB12" s="34">
        <v>3</v>
      </c>
      <c r="AC12" s="34">
        <v>2</v>
      </c>
      <c r="AD12" s="35">
        <f t="shared" si="8"/>
        <v>66.666666666666657</v>
      </c>
      <c r="AE12" s="36">
        <v>2</v>
      </c>
      <c r="AF12" s="36">
        <v>1</v>
      </c>
      <c r="AG12" s="35">
        <f t="shared" si="9"/>
        <v>50</v>
      </c>
      <c r="AH12" s="34">
        <v>8</v>
      </c>
      <c r="AI12" s="34">
        <v>8</v>
      </c>
      <c r="AJ12" s="35">
        <f t="shared" si="10"/>
        <v>100</v>
      </c>
      <c r="AK12" s="36">
        <v>3</v>
      </c>
      <c r="AL12" s="36">
        <v>3</v>
      </c>
      <c r="AM12" s="35">
        <f t="shared" si="11"/>
        <v>100</v>
      </c>
      <c r="AN12" s="34">
        <v>4</v>
      </c>
      <c r="AO12" s="34">
        <v>4</v>
      </c>
      <c r="AP12" s="35">
        <f t="shared" si="12"/>
        <v>100</v>
      </c>
      <c r="AQ12" s="36">
        <v>2</v>
      </c>
      <c r="AR12" s="36">
        <v>2</v>
      </c>
      <c r="AS12" s="35">
        <f t="shared" si="13"/>
        <v>100</v>
      </c>
      <c r="AT12" s="10">
        <f t="shared" si="14"/>
        <v>40</v>
      </c>
      <c r="AU12" s="10">
        <f t="shared" si="14"/>
        <v>28</v>
      </c>
      <c r="AV12" s="26">
        <f t="shared" si="15"/>
        <v>70</v>
      </c>
      <c r="AW12" s="10">
        <f t="shared" si="16"/>
        <v>27</v>
      </c>
      <c r="AX12" s="10">
        <f t="shared" si="16"/>
        <v>17</v>
      </c>
      <c r="AY12" s="26">
        <f t="shared" si="17"/>
        <v>62.962962962962962</v>
      </c>
      <c r="AZ12" s="10">
        <f t="shared" si="18"/>
        <v>67</v>
      </c>
      <c r="BA12" s="10">
        <f t="shared" si="18"/>
        <v>45</v>
      </c>
      <c r="BB12" s="27">
        <f t="shared" si="19"/>
        <v>67.164179104477611</v>
      </c>
    </row>
    <row r="13" spans="1:54" ht="14.25" customHeight="1">
      <c r="A13" s="31">
        <v>7</v>
      </c>
      <c r="B13" s="32">
        <v>1230321004</v>
      </c>
      <c r="C13" s="33" t="s">
        <v>29</v>
      </c>
      <c r="D13" s="34">
        <v>4</v>
      </c>
      <c r="E13" s="34">
        <v>2</v>
      </c>
      <c r="F13" s="35">
        <f t="shared" si="0"/>
        <v>50</v>
      </c>
      <c r="G13" s="34">
        <v>4</v>
      </c>
      <c r="H13" s="36">
        <v>2</v>
      </c>
      <c r="I13" s="35">
        <f t="shared" si="1"/>
        <v>50</v>
      </c>
      <c r="J13" s="34">
        <v>10</v>
      </c>
      <c r="K13" s="36">
        <v>5</v>
      </c>
      <c r="L13" s="35">
        <f t="shared" si="2"/>
        <v>50</v>
      </c>
      <c r="M13" s="36">
        <v>9</v>
      </c>
      <c r="N13" s="36">
        <v>4</v>
      </c>
      <c r="O13" s="35">
        <f t="shared" si="3"/>
        <v>44.444444444444443</v>
      </c>
      <c r="P13" s="34">
        <v>9</v>
      </c>
      <c r="Q13" s="34">
        <v>8</v>
      </c>
      <c r="R13" s="35">
        <f t="shared" si="4"/>
        <v>88.888888888888886</v>
      </c>
      <c r="S13" s="36">
        <v>3</v>
      </c>
      <c r="T13" s="36">
        <v>2</v>
      </c>
      <c r="U13" s="35">
        <f t="shared" si="5"/>
        <v>66.666666666666657</v>
      </c>
      <c r="V13" s="34">
        <v>2</v>
      </c>
      <c r="W13" s="34">
        <v>2</v>
      </c>
      <c r="X13" s="35">
        <f t="shared" si="6"/>
        <v>100</v>
      </c>
      <c r="Y13" s="36">
        <v>4</v>
      </c>
      <c r="Z13" s="36">
        <v>3</v>
      </c>
      <c r="AA13" s="35">
        <f t="shared" si="7"/>
        <v>75</v>
      </c>
      <c r="AB13" s="34">
        <v>3</v>
      </c>
      <c r="AC13" s="34">
        <v>3</v>
      </c>
      <c r="AD13" s="35">
        <f t="shared" si="8"/>
        <v>100</v>
      </c>
      <c r="AE13" s="36">
        <v>2</v>
      </c>
      <c r="AF13" s="36">
        <v>1</v>
      </c>
      <c r="AG13" s="35">
        <f t="shared" si="9"/>
        <v>50</v>
      </c>
      <c r="AH13" s="34">
        <v>8</v>
      </c>
      <c r="AI13" s="34">
        <v>7</v>
      </c>
      <c r="AJ13" s="35">
        <f t="shared" si="10"/>
        <v>87.5</v>
      </c>
      <c r="AK13" s="36">
        <v>3</v>
      </c>
      <c r="AL13" s="36">
        <v>3</v>
      </c>
      <c r="AM13" s="35">
        <f t="shared" si="11"/>
        <v>100</v>
      </c>
      <c r="AN13" s="34">
        <v>4</v>
      </c>
      <c r="AO13" s="34">
        <v>4</v>
      </c>
      <c r="AP13" s="35">
        <f t="shared" si="12"/>
        <v>100</v>
      </c>
      <c r="AQ13" s="36">
        <v>2</v>
      </c>
      <c r="AR13" s="36">
        <v>2</v>
      </c>
      <c r="AS13" s="35">
        <f t="shared" si="13"/>
        <v>100</v>
      </c>
      <c r="AT13" s="10">
        <f t="shared" si="14"/>
        <v>40</v>
      </c>
      <c r="AU13" s="10">
        <f t="shared" si="14"/>
        <v>31</v>
      </c>
      <c r="AV13" s="26">
        <f t="shared" si="15"/>
        <v>77.5</v>
      </c>
      <c r="AW13" s="10">
        <f t="shared" si="16"/>
        <v>27</v>
      </c>
      <c r="AX13" s="10">
        <f t="shared" si="16"/>
        <v>17</v>
      </c>
      <c r="AY13" s="26">
        <f t="shared" si="17"/>
        <v>62.962962962962962</v>
      </c>
      <c r="AZ13" s="10">
        <f t="shared" si="18"/>
        <v>67</v>
      </c>
      <c r="BA13" s="10">
        <f t="shared" si="18"/>
        <v>48</v>
      </c>
      <c r="BB13" s="27">
        <f t="shared" si="19"/>
        <v>71.641791044776113</v>
      </c>
    </row>
    <row r="14" spans="1:54" ht="14.25" customHeight="1">
      <c r="A14" s="31">
        <v>8</v>
      </c>
      <c r="B14" s="32">
        <v>1230321005</v>
      </c>
      <c r="C14" s="33" t="s">
        <v>30</v>
      </c>
      <c r="D14" s="34">
        <v>4</v>
      </c>
      <c r="E14" s="34">
        <v>2</v>
      </c>
      <c r="F14" s="35">
        <f t="shared" si="0"/>
        <v>50</v>
      </c>
      <c r="G14" s="34">
        <v>4</v>
      </c>
      <c r="H14" s="36">
        <v>2</v>
      </c>
      <c r="I14" s="35">
        <f t="shared" si="1"/>
        <v>50</v>
      </c>
      <c r="J14" s="34">
        <v>10</v>
      </c>
      <c r="K14" s="36">
        <v>5</v>
      </c>
      <c r="L14" s="35">
        <f t="shared" si="2"/>
        <v>50</v>
      </c>
      <c r="M14" s="36">
        <v>9</v>
      </c>
      <c r="N14" s="36">
        <v>4</v>
      </c>
      <c r="O14" s="35">
        <f t="shared" si="3"/>
        <v>44.444444444444443</v>
      </c>
      <c r="P14" s="34">
        <v>9</v>
      </c>
      <c r="Q14" s="34">
        <v>8</v>
      </c>
      <c r="R14" s="35">
        <f t="shared" si="4"/>
        <v>88.888888888888886</v>
      </c>
      <c r="S14" s="36">
        <v>3</v>
      </c>
      <c r="T14" s="36">
        <v>2</v>
      </c>
      <c r="U14" s="35">
        <f t="shared" si="5"/>
        <v>66.666666666666657</v>
      </c>
      <c r="V14" s="34">
        <v>2</v>
      </c>
      <c r="W14" s="34">
        <v>2</v>
      </c>
      <c r="X14" s="35">
        <f t="shared" si="6"/>
        <v>100</v>
      </c>
      <c r="Y14" s="36">
        <v>4</v>
      </c>
      <c r="Z14" s="36">
        <v>3</v>
      </c>
      <c r="AA14" s="35">
        <f t="shared" si="7"/>
        <v>75</v>
      </c>
      <c r="AB14" s="34">
        <v>3</v>
      </c>
      <c r="AC14" s="34">
        <v>3</v>
      </c>
      <c r="AD14" s="35">
        <f t="shared" si="8"/>
        <v>100</v>
      </c>
      <c r="AE14" s="36">
        <v>2</v>
      </c>
      <c r="AF14" s="36">
        <v>1</v>
      </c>
      <c r="AG14" s="35">
        <f t="shared" si="9"/>
        <v>50</v>
      </c>
      <c r="AH14" s="34">
        <v>8</v>
      </c>
      <c r="AI14" s="34">
        <v>7</v>
      </c>
      <c r="AJ14" s="35">
        <f t="shared" si="10"/>
        <v>87.5</v>
      </c>
      <c r="AK14" s="36">
        <v>3</v>
      </c>
      <c r="AL14" s="36">
        <v>3</v>
      </c>
      <c r="AM14" s="35">
        <f t="shared" si="11"/>
        <v>100</v>
      </c>
      <c r="AN14" s="34">
        <v>4</v>
      </c>
      <c r="AO14" s="34">
        <v>4</v>
      </c>
      <c r="AP14" s="35">
        <f t="shared" si="12"/>
        <v>100</v>
      </c>
      <c r="AQ14" s="36">
        <v>2</v>
      </c>
      <c r="AR14" s="36">
        <v>2</v>
      </c>
      <c r="AS14" s="35">
        <f t="shared" si="13"/>
        <v>100</v>
      </c>
      <c r="AT14" s="10">
        <f t="shared" si="14"/>
        <v>40</v>
      </c>
      <c r="AU14" s="10">
        <f t="shared" si="14"/>
        <v>31</v>
      </c>
      <c r="AV14" s="26">
        <f t="shared" si="15"/>
        <v>77.5</v>
      </c>
      <c r="AW14" s="10">
        <f t="shared" si="16"/>
        <v>27</v>
      </c>
      <c r="AX14" s="10">
        <f t="shared" si="16"/>
        <v>17</v>
      </c>
      <c r="AY14" s="26">
        <f t="shared" si="17"/>
        <v>62.962962962962962</v>
      </c>
      <c r="AZ14" s="10">
        <f t="shared" si="18"/>
        <v>67</v>
      </c>
      <c r="BA14" s="10">
        <f t="shared" si="18"/>
        <v>48</v>
      </c>
      <c r="BB14" s="27">
        <f t="shared" si="19"/>
        <v>71.641791044776113</v>
      </c>
    </row>
    <row r="15" spans="1:54" ht="14.25" customHeight="1">
      <c r="A15" s="31">
        <v>9</v>
      </c>
      <c r="B15" s="32">
        <v>1230321006</v>
      </c>
      <c r="C15" s="33" t="s">
        <v>31</v>
      </c>
      <c r="D15" s="34">
        <v>4</v>
      </c>
      <c r="E15" s="34">
        <v>2</v>
      </c>
      <c r="F15" s="35">
        <f t="shared" si="0"/>
        <v>50</v>
      </c>
      <c r="G15" s="34">
        <v>4</v>
      </c>
      <c r="H15" s="36">
        <v>2</v>
      </c>
      <c r="I15" s="35">
        <f t="shared" si="1"/>
        <v>50</v>
      </c>
      <c r="J15" s="34">
        <v>10</v>
      </c>
      <c r="K15" s="36">
        <v>5</v>
      </c>
      <c r="L15" s="35">
        <f t="shared" si="2"/>
        <v>50</v>
      </c>
      <c r="M15" s="36">
        <v>9</v>
      </c>
      <c r="N15" s="36">
        <v>4</v>
      </c>
      <c r="O15" s="35">
        <f t="shared" si="3"/>
        <v>44.444444444444443</v>
      </c>
      <c r="P15" s="34">
        <v>9</v>
      </c>
      <c r="Q15" s="34">
        <v>8</v>
      </c>
      <c r="R15" s="35">
        <f t="shared" si="4"/>
        <v>88.888888888888886</v>
      </c>
      <c r="S15" s="36">
        <v>3</v>
      </c>
      <c r="T15" s="36">
        <v>2</v>
      </c>
      <c r="U15" s="35">
        <f t="shared" si="5"/>
        <v>66.666666666666657</v>
      </c>
      <c r="V15" s="34">
        <v>2</v>
      </c>
      <c r="W15" s="34">
        <v>2</v>
      </c>
      <c r="X15" s="35">
        <f t="shared" si="6"/>
        <v>100</v>
      </c>
      <c r="Y15" s="36">
        <v>4</v>
      </c>
      <c r="Z15" s="36">
        <v>3</v>
      </c>
      <c r="AA15" s="35">
        <f t="shared" si="7"/>
        <v>75</v>
      </c>
      <c r="AB15" s="34">
        <v>3</v>
      </c>
      <c r="AC15" s="34">
        <v>3</v>
      </c>
      <c r="AD15" s="35">
        <f t="shared" si="8"/>
        <v>100</v>
      </c>
      <c r="AE15" s="36">
        <v>2</v>
      </c>
      <c r="AF15" s="36">
        <v>1</v>
      </c>
      <c r="AG15" s="35">
        <f t="shared" si="9"/>
        <v>50</v>
      </c>
      <c r="AH15" s="34">
        <v>8</v>
      </c>
      <c r="AI15" s="34">
        <v>7</v>
      </c>
      <c r="AJ15" s="35">
        <f t="shared" si="10"/>
        <v>87.5</v>
      </c>
      <c r="AK15" s="36">
        <v>3</v>
      </c>
      <c r="AL15" s="36">
        <v>3</v>
      </c>
      <c r="AM15" s="35">
        <f t="shared" si="11"/>
        <v>100</v>
      </c>
      <c r="AN15" s="34">
        <v>4</v>
      </c>
      <c r="AO15" s="34">
        <v>4</v>
      </c>
      <c r="AP15" s="35">
        <f t="shared" si="12"/>
        <v>100</v>
      </c>
      <c r="AQ15" s="36">
        <v>2</v>
      </c>
      <c r="AR15" s="36">
        <v>2</v>
      </c>
      <c r="AS15" s="35">
        <f t="shared" si="13"/>
        <v>100</v>
      </c>
      <c r="AT15" s="10">
        <f t="shared" si="14"/>
        <v>40</v>
      </c>
      <c r="AU15" s="10">
        <f t="shared" si="14"/>
        <v>31</v>
      </c>
      <c r="AV15" s="26">
        <f t="shared" si="15"/>
        <v>77.5</v>
      </c>
      <c r="AW15" s="10">
        <f t="shared" si="16"/>
        <v>27</v>
      </c>
      <c r="AX15" s="10">
        <f t="shared" si="16"/>
        <v>17</v>
      </c>
      <c r="AY15" s="26">
        <f t="shared" si="17"/>
        <v>62.962962962962962</v>
      </c>
      <c r="AZ15" s="10">
        <f t="shared" si="18"/>
        <v>67</v>
      </c>
      <c r="BA15" s="10">
        <f t="shared" si="18"/>
        <v>48</v>
      </c>
      <c r="BB15" s="27">
        <f t="shared" si="19"/>
        <v>71.641791044776113</v>
      </c>
    </row>
    <row r="16" spans="1:54" ht="14.25" customHeight="1">
      <c r="A16" s="31">
        <v>10</v>
      </c>
      <c r="B16" s="32">
        <v>1230321007</v>
      </c>
      <c r="C16" s="33" t="s">
        <v>32</v>
      </c>
      <c r="D16" s="34">
        <v>4</v>
      </c>
      <c r="E16" s="34">
        <v>2</v>
      </c>
      <c r="F16" s="35">
        <f t="shared" si="0"/>
        <v>50</v>
      </c>
      <c r="G16" s="34">
        <v>4</v>
      </c>
      <c r="H16" s="36">
        <v>2</v>
      </c>
      <c r="I16" s="35">
        <f t="shared" si="1"/>
        <v>50</v>
      </c>
      <c r="J16" s="34">
        <v>10</v>
      </c>
      <c r="K16" s="36">
        <v>6</v>
      </c>
      <c r="L16" s="35">
        <f t="shared" si="2"/>
        <v>60</v>
      </c>
      <c r="M16" s="36">
        <v>9</v>
      </c>
      <c r="N16" s="36">
        <v>4</v>
      </c>
      <c r="O16" s="35">
        <f t="shared" si="3"/>
        <v>44.444444444444443</v>
      </c>
      <c r="P16" s="34">
        <v>9</v>
      </c>
      <c r="Q16" s="34">
        <v>8</v>
      </c>
      <c r="R16" s="35">
        <f t="shared" si="4"/>
        <v>88.888888888888886</v>
      </c>
      <c r="S16" s="36">
        <v>3</v>
      </c>
      <c r="T16" s="36">
        <v>3</v>
      </c>
      <c r="U16" s="35">
        <f t="shared" si="5"/>
        <v>100</v>
      </c>
      <c r="V16" s="34">
        <v>2</v>
      </c>
      <c r="W16" s="34">
        <v>2</v>
      </c>
      <c r="X16" s="35">
        <f t="shared" si="6"/>
        <v>100</v>
      </c>
      <c r="Y16" s="36">
        <v>4</v>
      </c>
      <c r="Z16" s="36">
        <v>3</v>
      </c>
      <c r="AA16" s="35">
        <f t="shared" si="7"/>
        <v>75</v>
      </c>
      <c r="AB16" s="34">
        <v>3</v>
      </c>
      <c r="AC16" s="34">
        <v>3</v>
      </c>
      <c r="AD16" s="35">
        <f t="shared" si="8"/>
        <v>100</v>
      </c>
      <c r="AE16" s="36">
        <v>2</v>
      </c>
      <c r="AF16" s="36">
        <v>1</v>
      </c>
      <c r="AG16" s="35">
        <f t="shared" si="9"/>
        <v>50</v>
      </c>
      <c r="AH16" s="34">
        <v>8</v>
      </c>
      <c r="AI16" s="34">
        <v>6</v>
      </c>
      <c r="AJ16" s="35">
        <f t="shared" si="10"/>
        <v>75</v>
      </c>
      <c r="AK16" s="36">
        <v>3</v>
      </c>
      <c r="AL16" s="36">
        <v>3</v>
      </c>
      <c r="AM16" s="35">
        <f t="shared" si="11"/>
        <v>100</v>
      </c>
      <c r="AN16" s="34">
        <v>4</v>
      </c>
      <c r="AO16" s="34">
        <v>4</v>
      </c>
      <c r="AP16" s="35">
        <f t="shared" si="12"/>
        <v>100</v>
      </c>
      <c r="AQ16" s="36">
        <v>2</v>
      </c>
      <c r="AR16" s="36">
        <v>2</v>
      </c>
      <c r="AS16" s="35">
        <f t="shared" si="13"/>
        <v>100</v>
      </c>
      <c r="AT16" s="10">
        <f t="shared" si="14"/>
        <v>40</v>
      </c>
      <c r="AU16" s="10">
        <f t="shared" si="14"/>
        <v>31</v>
      </c>
      <c r="AV16" s="26">
        <f t="shared" si="15"/>
        <v>77.5</v>
      </c>
      <c r="AW16" s="10">
        <f t="shared" si="16"/>
        <v>27</v>
      </c>
      <c r="AX16" s="10">
        <f t="shared" si="16"/>
        <v>18</v>
      </c>
      <c r="AY16" s="26">
        <f t="shared" si="17"/>
        <v>66.666666666666657</v>
      </c>
      <c r="AZ16" s="10">
        <f t="shared" si="18"/>
        <v>67</v>
      </c>
      <c r="BA16" s="10">
        <f t="shared" si="18"/>
        <v>49</v>
      </c>
      <c r="BB16" s="27">
        <f t="shared" si="19"/>
        <v>73.134328358208961</v>
      </c>
    </row>
    <row r="17" spans="1:54" ht="14.25" customHeight="1">
      <c r="A17" s="31">
        <v>11</v>
      </c>
      <c r="B17" s="32">
        <v>1230321008</v>
      </c>
      <c r="C17" s="33" t="s">
        <v>33</v>
      </c>
      <c r="D17" s="34">
        <v>4</v>
      </c>
      <c r="E17" s="34">
        <v>2</v>
      </c>
      <c r="F17" s="35">
        <f t="shared" si="0"/>
        <v>50</v>
      </c>
      <c r="G17" s="34">
        <v>4</v>
      </c>
      <c r="H17" s="36">
        <v>2</v>
      </c>
      <c r="I17" s="35">
        <f t="shared" si="1"/>
        <v>50</v>
      </c>
      <c r="J17" s="34">
        <v>10</v>
      </c>
      <c r="K17" s="36">
        <v>5</v>
      </c>
      <c r="L17" s="35">
        <f t="shared" si="2"/>
        <v>50</v>
      </c>
      <c r="M17" s="36">
        <v>9</v>
      </c>
      <c r="N17" s="36">
        <v>4</v>
      </c>
      <c r="O17" s="35">
        <f t="shared" si="3"/>
        <v>44.444444444444443</v>
      </c>
      <c r="P17" s="34">
        <v>9</v>
      </c>
      <c r="Q17" s="34">
        <v>8</v>
      </c>
      <c r="R17" s="35">
        <f t="shared" si="4"/>
        <v>88.888888888888886</v>
      </c>
      <c r="S17" s="36">
        <v>3</v>
      </c>
      <c r="T17" s="36">
        <v>2</v>
      </c>
      <c r="U17" s="35">
        <f t="shared" si="5"/>
        <v>66.666666666666657</v>
      </c>
      <c r="V17" s="34">
        <v>2</v>
      </c>
      <c r="W17" s="34">
        <v>2</v>
      </c>
      <c r="X17" s="35">
        <f t="shared" si="6"/>
        <v>100</v>
      </c>
      <c r="Y17" s="36">
        <v>4</v>
      </c>
      <c r="Z17" s="36">
        <v>3</v>
      </c>
      <c r="AA17" s="35">
        <f t="shared" si="7"/>
        <v>75</v>
      </c>
      <c r="AB17" s="34">
        <v>3</v>
      </c>
      <c r="AC17" s="34">
        <v>3</v>
      </c>
      <c r="AD17" s="35">
        <f t="shared" si="8"/>
        <v>100</v>
      </c>
      <c r="AE17" s="36">
        <v>2</v>
      </c>
      <c r="AF17" s="36">
        <v>1</v>
      </c>
      <c r="AG17" s="35">
        <f t="shared" si="9"/>
        <v>50</v>
      </c>
      <c r="AH17" s="34">
        <v>8</v>
      </c>
      <c r="AI17" s="34">
        <v>7</v>
      </c>
      <c r="AJ17" s="35">
        <f t="shared" si="10"/>
        <v>87.5</v>
      </c>
      <c r="AK17" s="36">
        <v>3</v>
      </c>
      <c r="AL17" s="36">
        <v>3</v>
      </c>
      <c r="AM17" s="35">
        <f t="shared" si="11"/>
        <v>100</v>
      </c>
      <c r="AN17" s="34">
        <v>4</v>
      </c>
      <c r="AO17" s="34">
        <v>4</v>
      </c>
      <c r="AP17" s="35">
        <f t="shared" si="12"/>
        <v>100</v>
      </c>
      <c r="AQ17" s="36">
        <v>2</v>
      </c>
      <c r="AR17" s="36">
        <v>2</v>
      </c>
      <c r="AS17" s="35">
        <f t="shared" si="13"/>
        <v>100</v>
      </c>
      <c r="AT17" s="10">
        <f t="shared" si="14"/>
        <v>40</v>
      </c>
      <c r="AU17" s="10">
        <f t="shared" si="14"/>
        <v>31</v>
      </c>
      <c r="AV17" s="26">
        <f t="shared" si="15"/>
        <v>77.5</v>
      </c>
      <c r="AW17" s="10">
        <f t="shared" si="16"/>
        <v>27</v>
      </c>
      <c r="AX17" s="10">
        <f t="shared" si="16"/>
        <v>17</v>
      </c>
      <c r="AY17" s="26">
        <f t="shared" si="17"/>
        <v>62.962962962962962</v>
      </c>
      <c r="AZ17" s="10">
        <f t="shared" si="18"/>
        <v>67</v>
      </c>
      <c r="BA17" s="10">
        <f t="shared" si="18"/>
        <v>48</v>
      </c>
      <c r="BB17" s="27">
        <f t="shared" si="19"/>
        <v>71.641791044776113</v>
      </c>
    </row>
    <row r="18" spans="1:54" ht="14.25" customHeight="1">
      <c r="A18" s="31">
        <v>12</v>
      </c>
      <c r="B18" s="32">
        <v>1230321009</v>
      </c>
      <c r="C18" s="33" t="s">
        <v>34</v>
      </c>
      <c r="D18" s="34">
        <v>4</v>
      </c>
      <c r="E18" s="34">
        <v>2</v>
      </c>
      <c r="F18" s="35">
        <f t="shared" si="0"/>
        <v>50</v>
      </c>
      <c r="G18" s="34">
        <v>4</v>
      </c>
      <c r="H18" s="36">
        <v>2</v>
      </c>
      <c r="I18" s="35">
        <f t="shared" si="1"/>
        <v>50</v>
      </c>
      <c r="J18" s="34">
        <v>10</v>
      </c>
      <c r="K18" s="36">
        <v>5</v>
      </c>
      <c r="L18" s="35">
        <f t="shared" si="2"/>
        <v>50</v>
      </c>
      <c r="M18" s="36">
        <v>9</v>
      </c>
      <c r="N18" s="36">
        <v>4</v>
      </c>
      <c r="O18" s="35">
        <f t="shared" si="3"/>
        <v>44.444444444444443</v>
      </c>
      <c r="P18" s="34">
        <v>9</v>
      </c>
      <c r="Q18" s="34">
        <v>8</v>
      </c>
      <c r="R18" s="35">
        <f t="shared" si="4"/>
        <v>88.888888888888886</v>
      </c>
      <c r="S18" s="36">
        <v>3</v>
      </c>
      <c r="T18" s="36">
        <v>2</v>
      </c>
      <c r="U18" s="35">
        <f t="shared" si="5"/>
        <v>66.666666666666657</v>
      </c>
      <c r="V18" s="34">
        <v>2</v>
      </c>
      <c r="W18" s="34">
        <v>2</v>
      </c>
      <c r="X18" s="35">
        <f t="shared" si="6"/>
        <v>100</v>
      </c>
      <c r="Y18" s="36">
        <v>4</v>
      </c>
      <c r="Z18" s="36">
        <v>3</v>
      </c>
      <c r="AA18" s="35">
        <f t="shared" si="7"/>
        <v>75</v>
      </c>
      <c r="AB18" s="34">
        <v>3</v>
      </c>
      <c r="AC18" s="34">
        <v>3</v>
      </c>
      <c r="AD18" s="35">
        <f t="shared" si="8"/>
        <v>100</v>
      </c>
      <c r="AE18" s="36">
        <v>2</v>
      </c>
      <c r="AF18" s="36">
        <v>1</v>
      </c>
      <c r="AG18" s="35">
        <f t="shared" si="9"/>
        <v>50</v>
      </c>
      <c r="AH18" s="34">
        <v>8</v>
      </c>
      <c r="AI18" s="34">
        <v>8</v>
      </c>
      <c r="AJ18" s="35">
        <f t="shared" si="10"/>
        <v>100</v>
      </c>
      <c r="AK18" s="36">
        <v>3</v>
      </c>
      <c r="AL18" s="36">
        <v>3</v>
      </c>
      <c r="AM18" s="35">
        <f t="shared" si="11"/>
        <v>100</v>
      </c>
      <c r="AN18" s="34">
        <v>4</v>
      </c>
      <c r="AO18" s="34">
        <v>4</v>
      </c>
      <c r="AP18" s="35">
        <f t="shared" si="12"/>
        <v>100</v>
      </c>
      <c r="AQ18" s="36">
        <v>2</v>
      </c>
      <c r="AR18" s="36">
        <v>2</v>
      </c>
      <c r="AS18" s="35">
        <f t="shared" si="13"/>
        <v>100</v>
      </c>
      <c r="AT18" s="10">
        <f t="shared" si="14"/>
        <v>40</v>
      </c>
      <c r="AU18" s="10">
        <f t="shared" si="14"/>
        <v>32</v>
      </c>
      <c r="AV18" s="26">
        <f t="shared" si="15"/>
        <v>80</v>
      </c>
      <c r="AW18" s="10">
        <f t="shared" si="16"/>
        <v>27</v>
      </c>
      <c r="AX18" s="10">
        <f t="shared" si="16"/>
        <v>17</v>
      </c>
      <c r="AY18" s="26">
        <f t="shared" si="17"/>
        <v>62.962962962962962</v>
      </c>
      <c r="AZ18" s="10">
        <f t="shared" si="18"/>
        <v>67</v>
      </c>
      <c r="BA18" s="10">
        <f t="shared" si="18"/>
        <v>49</v>
      </c>
      <c r="BB18" s="27">
        <f t="shared" si="19"/>
        <v>73.134328358208961</v>
      </c>
    </row>
    <row r="19" spans="1:54" ht="14.25" customHeight="1">
      <c r="A19" s="31">
        <v>13</v>
      </c>
      <c r="B19" s="32">
        <v>1230321010</v>
      </c>
      <c r="C19" s="33" t="s">
        <v>35</v>
      </c>
      <c r="D19" s="34">
        <v>4</v>
      </c>
      <c r="E19" s="34">
        <v>2</v>
      </c>
      <c r="F19" s="35">
        <f t="shared" si="0"/>
        <v>50</v>
      </c>
      <c r="G19" s="34">
        <v>4</v>
      </c>
      <c r="H19" s="36">
        <v>2</v>
      </c>
      <c r="I19" s="35">
        <f t="shared" si="1"/>
        <v>50</v>
      </c>
      <c r="J19" s="34">
        <v>10</v>
      </c>
      <c r="K19" s="36">
        <v>6</v>
      </c>
      <c r="L19" s="35">
        <f t="shared" si="2"/>
        <v>60</v>
      </c>
      <c r="M19" s="36">
        <v>9</v>
      </c>
      <c r="N19" s="36">
        <v>4</v>
      </c>
      <c r="O19" s="35">
        <f t="shared" si="3"/>
        <v>44.444444444444443</v>
      </c>
      <c r="P19" s="34">
        <v>9</v>
      </c>
      <c r="Q19" s="34">
        <v>8</v>
      </c>
      <c r="R19" s="35">
        <f t="shared" si="4"/>
        <v>88.888888888888886</v>
      </c>
      <c r="S19" s="36">
        <v>3</v>
      </c>
      <c r="T19" s="36">
        <v>2</v>
      </c>
      <c r="U19" s="35">
        <f t="shared" si="5"/>
        <v>66.666666666666657</v>
      </c>
      <c r="V19" s="34">
        <v>2</v>
      </c>
      <c r="W19" s="34">
        <v>2</v>
      </c>
      <c r="X19" s="35">
        <f t="shared" si="6"/>
        <v>100</v>
      </c>
      <c r="Y19" s="36">
        <v>4</v>
      </c>
      <c r="Z19" s="36">
        <v>3</v>
      </c>
      <c r="AA19" s="35">
        <f t="shared" si="7"/>
        <v>75</v>
      </c>
      <c r="AB19" s="34">
        <v>3</v>
      </c>
      <c r="AC19" s="34">
        <v>3</v>
      </c>
      <c r="AD19" s="35">
        <f t="shared" si="8"/>
        <v>100</v>
      </c>
      <c r="AE19" s="36">
        <v>2</v>
      </c>
      <c r="AF19" s="36">
        <v>1</v>
      </c>
      <c r="AG19" s="35">
        <f t="shared" si="9"/>
        <v>50</v>
      </c>
      <c r="AH19" s="34">
        <v>8</v>
      </c>
      <c r="AI19" s="34">
        <v>7</v>
      </c>
      <c r="AJ19" s="35">
        <f t="shared" si="10"/>
        <v>87.5</v>
      </c>
      <c r="AK19" s="36">
        <v>3</v>
      </c>
      <c r="AL19" s="36">
        <v>3</v>
      </c>
      <c r="AM19" s="35">
        <f t="shared" si="11"/>
        <v>100</v>
      </c>
      <c r="AN19" s="34">
        <v>4</v>
      </c>
      <c r="AO19" s="34">
        <v>4</v>
      </c>
      <c r="AP19" s="35">
        <f t="shared" si="12"/>
        <v>100</v>
      </c>
      <c r="AQ19" s="36">
        <v>2</v>
      </c>
      <c r="AR19" s="36">
        <v>2</v>
      </c>
      <c r="AS19" s="35">
        <f t="shared" si="13"/>
        <v>100</v>
      </c>
      <c r="AT19" s="10">
        <f t="shared" si="14"/>
        <v>40</v>
      </c>
      <c r="AU19" s="10">
        <f t="shared" si="14"/>
        <v>32</v>
      </c>
      <c r="AV19" s="26">
        <f t="shared" si="15"/>
        <v>80</v>
      </c>
      <c r="AW19" s="10">
        <f t="shared" si="16"/>
        <v>27</v>
      </c>
      <c r="AX19" s="10">
        <f t="shared" si="16"/>
        <v>17</v>
      </c>
      <c r="AY19" s="26">
        <f t="shared" si="17"/>
        <v>62.962962962962962</v>
      </c>
      <c r="AZ19" s="10">
        <f t="shared" si="18"/>
        <v>67</v>
      </c>
      <c r="BA19" s="10">
        <f t="shared" si="18"/>
        <v>49</v>
      </c>
      <c r="BB19" s="27">
        <f t="shared" si="19"/>
        <v>73.134328358208961</v>
      </c>
    </row>
    <row r="20" spans="1:54" ht="14.25" customHeight="1">
      <c r="A20" s="31">
        <v>14</v>
      </c>
      <c r="B20" s="32">
        <v>1230321011</v>
      </c>
      <c r="C20" s="33" t="s">
        <v>36</v>
      </c>
      <c r="D20" s="34">
        <v>4</v>
      </c>
      <c r="E20" s="34">
        <v>2</v>
      </c>
      <c r="F20" s="35">
        <f t="shared" si="0"/>
        <v>50</v>
      </c>
      <c r="G20" s="34">
        <v>4</v>
      </c>
      <c r="H20" s="36">
        <v>2</v>
      </c>
      <c r="I20" s="35">
        <f t="shared" si="1"/>
        <v>50</v>
      </c>
      <c r="J20" s="34">
        <v>10</v>
      </c>
      <c r="K20" s="36">
        <v>5</v>
      </c>
      <c r="L20" s="35">
        <f t="shared" si="2"/>
        <v>50</v>
      </c>
      <c r="M20" s="36">
        <v>9</v>
      </c>
      <c r="N20" s="36">
        <v>4</v>
      </c>
      <c r="O20" s="35">
        <f t="shared" si="3"/>
        <v>44.444444444444443</v>
      </c>
      <c r="P20" s="34">
        <v>9</v>
      </c>
      <c r="Q20" s="34">
        <v>8</v>
      </c>
      <c r="R20" s="35">
        <f t="shared" si="4"/>
        <v>88.888888888888886</v>
      </c>
      <c r="S20" s="36">
        <v>3</v>
      </c>
      <c r="T20" s="36">
        <v>2</v>
      </c>
      <c r="U20" s="35">
        <f t="shared" si="5"/>
        <v>66.666666666666657</v>
      </c>
      <c r="V20" s="34">
        <v>2</v>
      </c>
      <c r="W20" s="34">
        <v>2</v>
      </c>
      <c r="X20" s="35">
        <f t="shared" si="6"/>
        <v>100</v>
      </c>
      <c r="Y20" s="36">
        <v>4</v>
      </c>
      <c r="Z20" s="36">
        <v>3</v>
      </c>
      <c r="AA20" s="35">
        <f t="shared" si="7"/>
        <v>75</v>
      </c>
      <c r="AB20" s="34">
        <v>3</v>
      </c>
      <c r="AC20" s="34">
        <v>3</v>
      </c>
      <c r="AD20" s="35">
        <f t="shared" si="8"/>
        <v>100</v>
      </c>
      <c r="AE20" s="36">
        <v>2</v>
      </c>
      <c r="AF20" s="36">
        <v>1</v>
      </c>
      <c r="AG20" s="35">
        <f t="shared" si="9"/>
        <v>50</v>
      </c>
      <c r="AH20" s="34">
        <v>8</v>
      </c>
      <c r="AI20" s="34">
        <v>6</v>
      </c>
      <c r="AJ20" s="35">
        <f t="shared" si="10"/>
        <v>75</v>
      </c>
      <c r="AK20" s="36">
        <v>3</v>
      </c>
      <c r="AL20" s="36">
        <v>3</v>
      </c>
      <c r="AM20" s="35">
        <f t="shared" si="11"/>
        <v>100</v>
      </c>
      <c r="AN20" s="34">
        <v>4</v>
      </c>
      <c r="AO20" s="34">
        <v>4</v>
      </c>
      <c r="AP20" s="35">
        <f t="shared" si="12"/>
        <v>100</v>
      </c>
      <c r="AQ20" s="36">
        <v>2</v>
      </c>
      <c r="AR20" s="36">
        <v>2</v>
      </c>
      <c r="AS20" s="35">
        <f t="shared" si="13"/>
        <v>100</v>
      </c>
      <c r="AT20" s="10">
        <f t="shared" si="14"/>
        <v>40</v>
      </c>
      <c r="AU20" s="10">
        <f t="shared" si="14"/>
        <v>30</v>
      </c>
      <c r="AV20" s="26">
        <f t="shared" si="15"/>
        <v>75</v>
      </c>
      <c r="AW20" s="10">
        <f t="shared" si="16"/>
        <v>27</v>
      </c>
      <c r="AX20" s="10">
        <f t="shared" si="16"/>
        <v>17</v>
      </c>
      <c r="AY20" s="26">
        <f t="shared" si="17"/>
        <v>62.962962962962962</v>
      </c>
      <c r="AZ20" s="10">
        <f t="shared" si="18"/>
        <v>67</v>
      </c>
      <c r="BA20" s="10">
        <f t="shared" si="18"/>
        <v>47</v>
      </c>
      <c r="BB20" s="27">
        <f t="shared" si="19"/>
        <v>70.149253731343293</v>
      </c>
    </row>
    <row r="21" spans="1:54" ht="14.25" customHeight="1">
      <c r="A21" s="31">
        <v>15</v>
      </c>
      <c r="B21" s="32">
        <v>1230321012</v>
      </c>
      <c r="C21" s="33" t="s">
        <v>37</v>
      </c>
      <c r="D21" s="34">
        <v>4</v>
      </c>
      <c r="E21" s="34">
        <v>2</v>
      </c>
      <c r="F21" s="35">
        <f t="shared" si="0"/>
        <v>50</v>
      </c>
      <c r="G21" s="34">
        <v>4</v>
      </c>
      <c r="H21" s="36">
        <v>2</v>
      </c>
      <c r="I21" s="35">
        <f t="shared" si="1"/>
        <v>50</v>
      </c>
      <c r="J21" s="34">
        <v>10</v>
      </c>
      <c r="K21" s="36">
        <v>5</v>
      </c>
      <c r="L21" s="35">
        <f t="shared" si="2"/>
        <v>50</v>
      </c>
      <c r="M21" s="36">
        <v>9</v>
      </c>
      <c r="N21" s="36">
        <v>4</v>
      </c>
      <c r="O21" s="35">
        <f t="shared" si="3"/>
        <v>44.444444444444443</v>
      </c>
      <c r="P21" s="34">
        <v>9</v>
      </c>
      <c r="Q21" s="34">
        <v>8</v>
      </c>
      <c r="R21" s="35">
        <f t="shared" si="4"/>
        <v>88.888888888888886</v>
      </c>
      <c r="S21" s="36">
        <v>3</v>
      </c>
      <c r="T21" s="36">
        <v>2</v>
      </c>
      <c r="U21" s="35">
        <f t="shared" si="5"/>
        <v>66.666666666666657</v>
      </c>
      <c r="V21" s="34">
        <v>2</v>
      </c>
      <c r="W21" s="34">
        <v>2</v>
      </c>
      <c r="X21" s="35">
        <f t="shared" si="6"/>
        <v>100</v>
      </c>
      <c r="Y21" s="36">
        <v>4</v>
      </c>
      <c r="Z21" s="36">
        <v>3</v>
      </c>
      <c r="AA21" s="35">
        <f t="shared" si="7"/>
        <v>75</v>
      </c>
      <c r="AB21" s="34">
        <v>3</v>
      </c>
      <c r="AC21" s="34">
        <v>3</v>
      </c>
      <c r="AD21" s="35">
        <f t="shared" si="8"/>
        <v>100</v>
      </c>
      <c r="AE21" s="36">
        <v>2</v>
      </c>
      <c r="AF21" s="36">
        <v>1</v>
      </c>
      <c r="AG21" s="35">
        <f t="shared" si="9"/>
        <v>50</v>
      </c>
      <c r="AH21" s="34">
        <v>8</v>
      </c>
      <c r="AI21" s="34">
        <v>6</v>
      </c>
      <c r="AJ21" s="35">
        <f t="shared" si="10"/>
        <v>75</v>
      </c>
      <c r="AK21" s="36">
        <v>3</v>
      </c>
      <c r="AL21" s="36">
        <v>3</v>
      </c>
      <c r="AM21" s="35">
        <f t="shared" si="11"/>
        <v>100</v>
      </c>
      <c r="AN21" s="34">
        <v>4</v>
      </c>
      <c r="AO21" s="34">
        <v>4</v>
      </c>
      <c r="AP21" s="35">
        <f t="shared" si="12"/>
        <v>100</v>
      </c>
      <c r="AQ21" s="36">
        <v>2</v>
      </c>
      <c r="AR21" s="36">
        <v>2</v>
      </c>
      <c r="AS21" s="35">
        <f t="shared" si="13"/>
        <v>100</v>
      </c>
      <c r="AT21" s="10">
        <f t="shared" si="14"/>
        <v>40</v>
      </c>
      <c r="AU21" s="10">
        <f t="shared" si="14"/>
        <v>30</v>
      </c>
      <c r="AV21" s="26">
        <f t="shared" si="15"/>
        <v>75</v>
      </c>
      <c r="AW21" s="10">
        <f t="shared" si="16"/>
        <v>27</v>
      </c>
      <c r="AX21" s="10">
        <f t="shared" si="16"/>
        <v>17</v>
      </c>
      <c r="AY21" s="26">
        <f t="shared" si="17"/>
        <v>62.962962962962962</v>
      </c>
      <c r="AZ21" s="10">
        <f t="shared" si="18"/>
        <v>67</v>
      </c>
      <c r="BA21" s="10">
        <f t="shared" si="18"/>
        <v>47</v>
      </c>
      <c r="BB21" s="27">
        <f t="shared" si="19"/>
        <v>70.149253731343293</v>
      </c>
    </row>
    <row r="22" spans="1:54" ht="14.25" customHeight="1">
      <c r="A22" s="31">
        <v>16</v>
      </c>
      <c r="B22" s="32">
        <v>1230321013</v>
      </c>
      <c r="C22" s="33" t="s">
        <v>38</v>
      </c>
      <c r="D22" s="34">
        <v>4</v>
      </c>
      <c r="E22" s="34">
        <v>2</v>
      </c>
      <c r="F22" s="35">
        <f t="shared" si="0"/>
        <v>50</v>
      </c>
      <c r="G22" s="34">
        <v>4</v>
      </c>
      <c r="H22" s="36">
        <v>2</v>
      </c>
      <c r="I22" s="35">
        <f t="shared" si="1"/>
        <v>50</v>
      </c>
      <c r="J22" s="34">
        <v>10</v>
      </c>
      <c r="K22" s="36">
        <v>9</v>
      </c>
      <c r="L22" s="35">
        <f t="shared" si="2"/>
        <v>90</v>
      </c>
      <c r="M22" s="36">
        <v>9</v>
      </c>
      <c r="N22" s="36">
        <v>4</v>
      </c>
      <c r="O22" s="35">
        <f t="shared" si="3"/>
        <v>44.444444444444443</v>
      </c>
      <c r="P22" s="34">
        <v>9</v>
      </c>
      <c r="Q22" s="34">
        <v>8</v>
      </c>
      <c r="R22" s="35">
        <f t="shared" si="4"/>
        <v>88.888888888888886</v>
      </c>
      <c r="S22" s="36">
        <v>3</v>
      </c>
      <c r="T22" s="36">
        <v>2</v>
      </c>
      <c r="U22" s="35">
        <f t="shared" si="5"/>
        <v>66.666666666666657</v>
      </c>
      <c r="V22" s="34">
        <v>2</v>
      </c>
      <c r="W22" s="34">
        <v>2</v>
      </c>
      <c r="X22" s="35">
        <f t="shared" si="6"/>
        <v>100</v>
      </c>
      <c r="Y22" s="36">
        <v>4</v>
      </c>
      <c r="Z22" s="36">
        <v>3</v>
      </c>
      <c r="AA22" s="35">
        <f t="shared" si="7"/>
        <v>75</v>
      </c>
      <c r="AB22" s="34">
        <v>3</v>
      </c>
      <c r="AC22" s="34">
        <v>3</v>
      </c>
      <c r="AD22" s="35">
        <f t="shared" si="8"/>
        <v>100</v>
      </c>
      <c r="AE22" s="36">
        <v>2</v>
      </c>
      <c r="AF22" s="36">
        <v>1</v>
      </c>
      <c r="AG22" s="35">
        <f t="shared" si="9"/>
        <v>50</v>
      </c>
      <c r="AH22" s="34">
        <v>8</v>
      </c>
      <c r="AI22" s="34">
        <v>6</v>
      </c>
      <c r="AJ22" s="35">
        <f t="shared" si="10"/>
        <v>75</v>
      </c>
      <c r="AK22" s="36">
        <v>3</v>
      </c>
      <c r="AL22" s="36">
        <v>3</v>
      </c>
      <c r="AM22" s="35">
        <f t="shared" si="11"/>
        <v>100</v>
      </c>
      <c r="AN22" s="34">
        <v>4</v>
      </c>
      <c r="AO22" s="34">
        <v>4</v>
      </c>
      <c r="AP22" s="35">
        <f t="shared" si="12"/>
        <v>100</v>
      </c>
      <c r="AQ22" s="36">
        <v>2</v>
      </c>
      <c r="AR22" s="36">
        <v>2</v>
      </c>
      <c r="AS22" s="35">
        <f t="shared" si="13"/>
        <v>100</v>
      </c>
      <c r="AT22" s="10">
        <f t="shared" si="14"/>
        <v>40</v>
      </c>
      <c r="AU22" s="10">
        <f t="shared" si="14"/>
        <v>34</v>
      </c>
      <c r="AV22" s="26">
        <f t="shared" si="15"/>
        <v>85</v>
      </c>
      <c r="AW22" s="10">
        <f t="shared" si="16"/>
        <v>27</v>
      </c>
      <c r="AX22" s="10">
        <f t="shared" si="16"/>
        <v>17</v>
      </c>
      <c r="AY22" s="26">
        <f t="shared" si="17"/>
        <v>62.962962962962962</v>
      </c>
      <c r="AZ22" s="10">
        <f t="shared" si="18"/>
        <v>67</v>
      </c>
      <c r="BA22" s="10">
        <f t="shared" si="18"/>
        <v>51</v>
      </c>
      <c r="BB22" s="27">
        <f t="shared" si="19"/>
        <v>76.119402985074629</v>
      </c>
    </row>
    <row r="23" spans="1:54" ht="14.25" customHeight="1">
      <c r="A23" s="31">
        <v>17</v>
      </c>
      <c r="B23" s="32">
        <v>1230321014</v>
      </c>
      <c r="C23" s="33" t="s">
        <v>39</v>
      </c>
      <c r="D23" s="34">
        <v>4</v>
      </c>
      <c r="E23" s="34">
        <v>2</v>
      </c>
      <c r="F23" s="35">
        <f t="shared" si="0"/>
        <v>50</v>
      </c>
      <c r="G23" s="34">
        <v>4</v>
      </c>
      <c r="H23" s="36">
        <v>2</v>
      </c>
      <c r="I23" s="35">
        <f t="shared" si="1"/>
        <v>50</v>
      </c>
      <c r="J23" s="34">
        <v>10</v>
      </c>
      <c r="K23" s="36">
        <v>8</v>
      </c>
      <c r="L23" s="35">
        <f t="shared" si="2"/>
        <v>80</v>
      </c>
      <c r="M23" s="36">
        <v>9</v>
      </c>
      <c r="N23" s="36">
        <v>4</v>
      </c>
      <c r="O23" s="35">
        <f t="shared" si="3"/>
        <v>44.444444444444443</v>
      </c>
      <c r="P23" s="34">
        <v>9</v>
      </c>
      <c r="Q23" s="34">
        <v>8</v>
      </c>
      <c r="R23" s="35">
        <f t="shared" si="4"/>
        <v>88.888888888888886</v>
      </c>
      <c r="S23" s="36">
        <v>3</v>
      </c>
      <c r="T23" s="36">
        <v>2</v>
      </c>
      <c r="U23" s="35">
        <f t="shared" si="5"/>
        <v>66.666666666666657</v>
      </c>
      <c r="V23" s="34">
        <v>2</v>
      </c>
      <c r="W23" s="34">
        <v>2</v>
      </c>
      <c r="X23" s="35">
        <f t="shared" si="6"/>
        <v>100</v>
      </c>
      <c r="Y23" s="36">
        <v>4</v>
      </c>
      <c r="Z23" s="36">
        <v>3</v>
      </c>
      <c r="AA23" s="35">
        <f t="shared" si="7"/>
        <v>75</v>
      </c>
      <c r="AB23" s="34">
        <v>3</v>
      </c>
      <c r="AC23" s="34">
        <v>3</v>
      </c>
      <c r="AD23" s="35">
        <f t="shared" si="8"/>
        <v>100</v>
      </c>
      <c r="AE23" s="36">
        <v>2</v>
      </c>
      <c r="AF23" s="36">
        <v>1</v>
      </c>
      <c r="AG23" s="35">
        <f t="shared" si="9"/>
        <v>50</v>
      </c>
      <c r="AH23" s="34">
        <v>8</v>
      </c>
      <c r="AI23" s="34">
        <v>6</v>
      </c>
      <c r="AJ23" s="35">
        <f t="shared" si="10"/>
        <v>75</v>
      </c>
      <c r="AK23" s="36">
        <v>3</v>
      </c>
      <c r="AL23" s="36">
        <v>2</v>
      </c>
      <c r="AM23" s="35">
        <f t="shared" si="11"/>
        <v>66.666666666666657</v>
      </c>
      <c r="AN23" s="34">
        <v>4</v>
      </c>
      <c r="AO23" s="34">
        <v>4</v>
      </c>
      <c r="AP23" s="35">
        <f t="shared" si="12"/>
        <v>100</v>
      </c>
      <c r="AQ23" s="36">
        <v>2</v>
      </c>
      <c r="AR23" s="36">
        <v>2</v>
      </c>
      <c r="AS23" s="35">
        <f t="shared" si="13"/>
        <v>100</v>
      </c>
      <c r="AT23" s="10">
        <f t="shared" si="14"/>
        <v>40</v>
      </c>
      <c r="AU23" s="10">
        <f t="shared" si="14"/>
        <v>33</v>
      </c>
      <c r="AV23" s="26">
        <f t="shared" si="15"/>
        <v>82.5</v>
      </c>
      <c r="AW23" s="10">
        <f t="shared" si="16"/>
        <v>27</v>
      </c>
      <c r="AX23" s="10">
        <f t="shared" si="16"/>
        <v>16</v>
      </c>
      <c r="AY23" s="26">
        <f t="shared" si="17"/>
        <v>59.259259259259252</v>
      </c>
      <c r="AZ23" s="10">
        <f t="shared" si="18"/>
        <v>67</v>
      </c>
      <c r="BA23" s="10">
        <f t="shared" si="18"/>
        <v>49</v>
      </c>
      <c r="BB23" s="27">
        <f t="shared" si="19"/>
        <v>73.134328358208961</v>
      </c>
    </row>
    <row r="24" spans="1:54" ht="14.25" customHeight="1">
      <c r="A24" s="31">
        <v>18</v>
      </c>
      <c r="B24" s="32">
        <v>1230321015</v>
      </c>
      <c r="C24" s="33" t="s">
        <v>40</v>
      </c>
      <c r="D24" s="34">
        <v>4</v>
      </c>
      <c r="E24" s="34">
        <v>2</v>
      </c>
      <c r="F24" s="35">
        <f t="shared" si="0"/>
        <v>50</v>
      </c>
      <c r="G24" s="34">
        <v>4</v>
      </c>
      <c r="H24" s="36">
        <v>2</v>
      </c>
      <c r="I24" s="35">
        <f t="shared" si="1"/>
        <v>50</v>
      </c>
      <c r="J24" s="34">
        <v>10</v>
      </c>
      <c r="K24" s="36">
        <v>6</v>
      </c>
      <c r="L24" s="35">
        <f t="shared" si="2"/>
        <v>60</v>
      </c>
      <c r="M24" s="36">
        <v>9</v>
      </c>
      <c r="N24" s="36">
        <v>4</v>
      </c>
      <c r="O24" s="35">
        <f t="shared" si="3"/>
        <v>44.444444444444443</v>
      </c>
      <c r="P24" s="34">
        <v>9</v>
      </c>
      <c r="Q24" s="34">
        <v>8</v>
      </c>
      <c r="R24" s="35">
        <f t="shared" si="4"/>
        <v>88.888888888888886</v>
      </c>
      <c r="S24" s="36">
        <v>3</v>
      </c>
      <c r="T24" s="36">
        <v>2</v>
      </c>
      <c r="U24" s="35">
        <f t="shared" si="5"/>
        <v>66.666666666666657</v>
      </c>
      <c r="V24" s="34">
        <v>2</v>
      </c>
      <c r="W24" s="34">
        <v>2</v>
      </c>
      <c r="X24" s="35">
        <f t="shared" si="6"/>
        <v>100</v>
      </c>
      <c r="Y24" s="36">
        <v>4</v>
      </c>
      <c r="Z24" s="36">
        <v>3</v>
      </c>
      <c r="AA24" s="35">
        <f t="shared" si="7"/>
        <v>75</v>
      </c>
      <c r="AB24" s="34">
        <v>3</v>
      </c>
      <c r="AC24" s="34">
        <v>3</v>
      </c>
      <c r="AD24" s="35">
        <f t="shared" si="8"/>
        <v>100</v>
      </c>
      <c r="AE24" s="36">
        <v>2</v>
      </c>
      <c r="AF24" s="36">
        <v>1</v>
      </c>
      <c r="AG24" s="35">
        <f t="shared" si="9"/>
        <v>50</v>
      </c>
      <c r="AH24" s="34">
        <v>8</v>
      </c>
      <c r="AI24" s="34">
        <v>6</v>
      </c>
      <c r="AJ24" s="35">
        <f t="shared" si="10"/>
        <v>75</v>
      </c>
      <c r="AK24" s="36">
        <v>3</v>
      </c>
      <c r="AL24" s="36">
        <v>2</v>
      </c>
      <c r="AM24" s="35">
        <f t="shared" si="11"/>
        <v>66.666666666666657</v>
      </c>
      <c r="AN24" s="34">
        <v>4</v>
      </c>
      <c r="AO24" s="34">
        <v>4</v>
      </c>
      <c r="AP24" s="35">
        <f t="shared" si="12"/>
        <v>100</v>
      </c>
      <c r="AQ24" s="36">
        <v>2</v>
      </c>
      <c r="AR24" s="36">
        <v>2</v>
      </c>
      <c r="AS24" s="35">
        <f t="shared" si="13"/>
        <v>100</v>
      </c>
      <c r="AT24" s="10">
        <f t="shared" si="14"/>
        <v>40</v>
      </c>
      <c r="AU24" s="10">
        <f t="shared" si="14"/>
        <v>31</v>
      </c>
      <c r="AV24" s="26">
        <f t="shared" si="15"/>
        <v>77.5</v>
      </c>
      <c r="AW24" s="10">
        <f t="shared" si="16"/>
        <v>27</v>
      </c>
      <c r="AX24" s="10">
        <f t="shared" si="16"/>
        <v>16</v>
      </c>
      <c r="AY24" s="26">
        <f t="shared" si="17"/>
        <v>59.259259259259252</v>
      </c>
      <c r="AZ24" s="10">
        <f t="shared" si="18"/>
        <v>67</v>
      </c>
      <c r="BA24" s="10">
        <f t="shared" si="18"/>
        <v>47</v>
      </c>
      <c r="BB24" s="27">
        <f t="shared" si="19"/>
        <v>70.149253731343293</v>
      </c>
    </row>
    <row r="25" spans="1:54" ht="14.25" customHeight="1">
      <c r="A25" s="31">
        <v>19</v>
      </c>
      <c r="B25" s="32">
        <v>1230321016</v>
      </c>
      <c r="C25" s="33" t="s">
        <v>41</v>
      </c>
      <c r="D25" s="34">
        <v>4</v>
      </c>
      <c r="E25" s="34">
        <v>2</v>
      </c>
      <c r="F25" s="35">
        <f t="shared" si="0"/>
        <v>50</v>
      </c>
      <c r="G25" s="34">
        <v>4</v>
      </c>
      <c r="H25" s="36">
        <v>2</v>
      </c>
      <c r="I25" s="35">
        <f t="shared" si="1"/>
        <v>50</v>
      </c>
      <c r="J25" s="34">
        <v>10</v>
      </c>
      <c r="K25" s="36">
        <v>6</v>
      </c>
      <c r="L25" s="35">
        <f t="shared" si="2"/>
        <v>60</v>
      </c>
      <c r="M25" s="36">
        <v>9</v>
      </c>
      <c r="N25" s="36">
        <v>4</v>
      </c>
      <c r="O25" s="35">
        <f t="shared" si="3"/>
        <v>44.444444444444443</v>
      </c>
      <c r="P25" s="34">
        <v>9</v>
      </c>
      <c r="Q25" s="34">
        <v>8</v>
      </c>
      <c r="R25" s="35">
        <f t="shared" si="4"/>
        <v>88.888888888888886</v>
      </c>
      <c r="S25" s="36">
        <v>3</v>
      </c>
      <c r="T25" s="36">
        <v>2</v>
      </c>
      <c r="U25" s="35">
        <f t="shared" si="5"/>
        <v>66.666666666666657</v>
      </c>
      <c r="V25" s="34">
        <v>2</v>
      </c>
      <c r="W25" s="34">
        <v>2</v>
      </c>
      <c r="X25" s="35">
        <f t="shared" si="6"/>
        <v>100</v>
      </c>
      <c r="Y25" s="36">
        <v>4</v>
      </c>
      <c r="Z25" s="36">
        <v>3</v>
      </c>
      <c r="AA25" s="35">
        <f t="shared" si="7"/>
        <v>75</v>
      </c>
      <c r="AB25" s="34">
        <v>3</v>
      </c>
      <c r="AC25" s="34">
        <v>3</v>
      </c>
      <c r="AD25" s="35">
        <f t="shared" si="8"/>
        <v>100</v>
      </c>
      <c r="AE25" s="36">
        <v>2</v>
      </c>
      <c r="AF25" s="36">
        <v>1</v>
      </c>
      <c r="AG25" s="35">
        <f t="shared" si="9"/>
        <v>50</v>
      </c>
      <c r="AH25" s="34">
        <v>8</v>
      </c>
      <c r="AI25" s="34">
        <v>6</v>
      </c>
      <c r="AJ25" s="35">
        <f t="shared" si="10"/>
        <v>75</v>
      </c>
      <c r="AK25" s="36">
        <v>3</v>
      </c>
      <c r="AL25" s="36">
        <v>2</v>
      </c>
      <c r="AM25" s="35">
        <f t="shared" si="11"/>
        <v>66.666666666666657</v>
      </c>
      <c r="AN25" s="34">
        <v>4</v>
      </c>
      <c r="AO25" s="34">
        <v>4</v>
      </c>
      <c r="AP25" s="35">
        <f t="shared" si="12"/>
        <v>100</v>
      </c>
      <c r="AQ25" s="36">
        <v>2</v>
      </c>
      <c r="AR25" s="36">
        <v>2</v>
      </c>
      <c r="AS25" s="35">
        <f t="shared" si="13"/>
        <v>100</v>
      </c>
      <c r="AT25" s="10">
        <f t="shared" si="14"/>
        <v>40</v>
      </c>
      <c r="AU25" s="10">
        <f t="shared" si="14"/>
        <v>31</v>
      </c>
      <c r="AV25" s="26">
        <f t="shared" si="15"/>
        <v>77.5</v>
      </c>
      <c r="AW25" s="10">
        <f t="shared" si="16"/>
        <v>27</v>
      </c>
      <c r="AX25" s="10">
        <f t="shared" si="16"/>
        <v>16</v>
      </c>
      <c r="AY25" s="26">
        <f t="shared" si="17"/>
        <v>59.259259259259252</v>
      </c>
      <c r="AZ25" s="10">
        <f t="shared" si="18"/>
        <v>67</v>
      </c>
      <c r="BA25" s="10">
        <f t="shared" si="18"/>
        <v>47</v>
      </c>
      <c r="BB25" s="27">
        <f t="shared" si="19"/>
        <v>70.149253731343293</v>
      </c>
    </row>
    <row r="26" spans="1:54" ht="14.25" customHeight="1">
      <c r="A26" s="31">
        <v>20</v>
      </c>
      <c r="B26" s="32">
        <v>1230321017</v>
      </c>
      <c r="C26" s="33" t="s">
        <v>42</v>
      </c>
      <c r="D26" s="34">
        <v>4</v>
      </c>
      <c r="E26" s="34">
        <v>2</v>
      </c>
      <c r="F26" s="35">
        <f t="shared" si="0"/>
        <v>50</v>
      </c>
      <c r="G26" s="34">
        <v>4</v>
      </c>
      <c r="H26" s="36">
        <v>2</v>
      </c>
      <c r="I26" s="35">
        <f t="shared" si="1"/>
        <v>50</v>
      </c>
      <c r="J26" s="34">
        <v>10</v>
      </c>
      <c r="K26" s="36">
        <v>6</v>
      </c>
      <c r="L26" s="35">
        <f t="shared" si="2"/>
        <v>60</v>
      </c>
      <c r="M26" s="36">
        <v>9</v>
      </c>
      <c r="N26" s="36">
        <v>4</v>
      </c>
      <c r="O26" s="35">
        <f t="shared" si="3"/>
        <v>44.444444444444443</v>
      </c>
      <c r="P26" s="34">
        <v>9</v>
      </c>
      <c r="Q26" s="34">
        <v>8</v>
      </c>
      <c r="R26" s="35">
        <f t="shared" si="4"/>
        <v>88.888888888888886</v>
      </c>
      <c r="S26" s="36">
        <v>3</v>
      </c>
      <c r="T26" s="36">
        <v>2</v>
      </c>
      <c r="U26" s="35">
        <f t="shared" si="5"/>
        <v>66.666666666666657</v>
      </c>
      <c r="V26" s="34">
        <v>2</v>
      </c>
      <c r="W26" s="34">
        <v>2</v>
      </c>
      <c r="X26" s="35">
        <f t="shared" si="6"/>
        <v>100</v>
      </c>
      <c r="Y26" s="36">
        <v>4</v>
      </c>
      <c r="Z26" s="36">
        <v>3</v>
      </c>
      <c r="AA26" s="35">
        <f t="shared" si="7"/>
        <v>75</v>
      </c>
      <c r="AB26" s="34">
        <v>3</v>
      </c>
      <c r="AC26" s="34">
        <v>3</v>
      </c>
      <c r="AD26" s="35">
        <f t="shared" si="8"/>
        <v>100</v>
      </c>
      <c r="AE26" s="36">
        <v>2</v>
      </c>
      <c r="AF26" s="36">
        <v>1</v>
      </c>
      <c r="AG26" s="35">
        <f t="shared" si="9"/>
        <v>50</v>
      </c>
      <c r="AH26" s="34">
        <v>8</v>
      </c>
      <c r="AI26" s="34">
        <v>6</v>
      </c>
      <c r="AJ26" s="35">
        <f t="shared" si="10"/>
        <v>75</v>
      </c>
      <c r="AK26" s="36">
        <v>3</v>
      </c>
      <c r="AL26" s="36">
        <v>2</v>
      </c>
      <c r="AM26" s="35">
        <f t="shared" si="11"/>
        <v>66.666666666666657</v>
      </c>
      <c r="AN26" s="34">
        <v>4</v>
      </c>
      <c r="AO26" s="34">
        <v>4</v>
      </c>
      <c r="AP26" s="35">
        <f t="shared" si="12"/>
        <v>100</v>
      </c>
      <c r="AQ26" s="36">
        <v>2</v>
      </c>
      <c r="AR26" s="36">
        <v>2</v>
      </c>
      <c r="AS26" s="35">
        <f t="shared" si="13"/>
        <v>100</v>
      </c>
      <c r="AT26" s="10">
        <f t="shared" si="14"/>
        <v>40</v>
      </c>
      <c r="AU26" s="10">
        <f t="shared" si="14"/>
        <v>31</v>
      </c>
      <c r="AV26" s="26">
        <f t="shared" si="15"/>
        <v>77.5</v>
      </c>
      <c r="AW26" s="10">
        <f t="shared" si="16"/>
        <v>27</v>
      </c>
      <c r="AX26" s="10">
        <f t="shared" si="16"/>
        <v>16</v>
      </c>
      <c r="AY26" s="26">
        <f t="shared" si="17"/>
        <v>59.259259259259252</v>
      </c>
      <c r="AZ26" s="10">
        <f t="shared" si="18"/>
        <v>67</v>
      </c>
      <c r="BA26" s="10">
        <f t="shared" si="18"/>
        <v>47</v>
      </c>
      <c r="BB26" s="27">
        <f t="shared" si="19"/>
        <v>70.149253731343293</v>
      </c>
    </row>
    <row r="27" spans="1:54" ht="14.25" customHeight="1">
      <c r="A27" s="31">
        <v>21</v>
      </c>
      <c r="B27" s="32">
        <v>1230321018</v>
      </c>
      <c r="C27" s="33" t="s">
        <v>43</v>
      </c>
      <c r="D27" s="34">
        <v>4</v>
      </c>
      <c r="E27" s="34">
        <v>2</v>
      </c>
      <c r="F27" s="35">
        <f t="shared" si="0"/>
        <v>50</v>
      </c>
      <c r="G27" s="34">
        <v>4</v>
      </c>
      <c r="H27" s="36">
        <v>2</v>
      </c>
      <c r="I27" s="35">
        <f t="shared" si="1"/>
        <v>50</v>
      </c>
      <c r="J27" s="34">
        <v>10</v>
      </c>
      <c r="K27" s="36">
        <v>5</v>
      </c>
      <c r="L27" s="35">
        <f t="shared" si="2"/>
        <v>50</v>
      </c>
      <c r="M27" s="36">
        <v>9</v>
      </c>
      <c r="N27" s="36">
        <v>4</v>
      </c>
      <c r="O27" s="35">
        <f t="shared" si="3"/>
        <v>44.444444444444443</v>
      </c>
      <c r="P27" s="34">
        <v>9</v>
      </c>
      <c r="Q27" s="34">
        <v>8</v>
      </c>
      <c r="R27" s="35">
        <f t="shared" si="4"/>
        <v>88.888888888888886</v>
      </c>
      <c r="S27" s="36">
        <v>3</v>
      </c>
      <c r="T27" s="36">
        <v>2</v>
      </c>
      <c r="U27" s="35">
        <f t="shared" si="5"/>
        <v>66.666666666666657</v>
      </c>
      <c r="V27" s="34">
        <v>2</v>
      </c>
      <c r="W27" s="34">
        <v>2</v>
      </c>
      <c r="X27" s="35">
        <f t="shared" si="6"/>
        <v>100</v>
      </c>
      <c r="Y27" s="36">
        <v>4</v>
      </c>
      <c r="Z27" s="36">
        <v>3</v>
      </c>
      <c r="AA27" s="35">
        <f t="shared" si="7"/>
        <v>75</v>
      </c>
      <c r="AB27" s="34">
        <v>3</v>
      </c>
      <c r="AC27" s="34">
        <v>3</v>
      </c>
      <c r="AD27" s="35">
        <f t="shared" si="8"/>
        <v>100</v>
      </c>
      <c r="AE27" s="36">
        <v>2</v>
      </c>
      <c r="AF27" s="36">
        <v>1</v>
      </c>
      <c r="AG27" s="35">
        <f t="shared" si="9"/>
        <v>50</v>
      </c>
      <c r="AH27" s="34">
        <v>8</v>
      </c>
      <c r="AI27" s="34">
        <v>6</v>
      </c>
      <c r="AJ27" s="35">
        <f t="shared" si="10"/>
        <v>75</v>
      </c>
      <c r="AK27" s="36">
        <v>3</v>
      </c>
      <c r="AL27" s="36">
        <v>2</v>
      </c>
      <c r="AM27" s="35">
        <f t="shared" si="11"/>
        <v>66.666666666666657</v>
      </c>
      <c r="AN27" s="34">
        <v>4</v>
      </c>
      <c r="AO27" s="34">
        <v>4</v>
      </c>
      <c r="AP27" s="35">
        <f t="shared" si="12"/>
        <v>100</v>
      </c>
      <c r="AQ27" s="36">
        <v>2</v>
      </c>
      <c r="AR27" s="36">
        <v>2</v>
      </c>
      <c r="AS27" s="35">
        <f t="shared" si="13"/>
        <v>100</v>
      </c>
      <c r="AT27" s="10">
        <f t="shared" si="14"/>
        <v>40</v>
      </c>
      <c r="AU27" s="10">
        <f t="shared" si="14"/>
        <v>30</v>
      </c>
      <c r="AV27" s="26">
        <f t="shared" si="15"/>
        <v>75</v>
      </c>
      <c r="AW27" s="10">
        <f t="shared" si="16"/>
        <v>27</v>
      </c>
      <c r="AX27" s="10">
        <f t="shared" si="16"/>
        <v>16</v>
      </c>
      <c r="AY27" s="26">
        <f t="shared" si="17"/>
        <v>59.259259259259252</v>
      </c>
      <c r="AZ27" s="10">
        <f t="shared" si="18"/>
        <v>67</v>
      </c>
      <c r="BA27" s="10">
        <f t="shared" si="18"/>
        <v>46</v>
      </c>
      <c r="BB27" s="27">
        <f t="shared" si="19"/>
        <v>68.656716417910445</v>
      </c>
    </row>
    <row r="28" spans="1:54" ht="14.25" customHeight="1">
      <c r="A28" s="31">
        <v>22</v>
      </c>
      <c r="B28" s="32">
        <v>1230321019</v>
      </c>
      <c r="C28" s="33" t="s">
        <v>44</v>
      </c>
      <c r="D28" s="34">
        <v>4</v>
      </c>
      <c r="E28" s="34">
        <v>2</v>
      </c>
      <c r="F28" s="35">
        <f t="shared" si="0"/>
        <v>50</v>
      </c>
      <c r="G28" s="34">
        <v>4</v>
      </c>
      <c r="H28" s="36">
        <v>2</v>
      </c>
      <c r="I28" s="35">
        <f t="shared" si="1"/>
        <v>50</v>
      </c>
      <c r="J28" s="34">
        <v>10</v>
      </c>
      <c r="K28" s="36">
        <v>9</v>
      </c>
      <c r="L28" s="35">
        <f t="shared" si="2"/>
        <v>90</v>
      </c>
      <c r="M28" s="36">
        <v>9</v>
      </c>
      <c r="N28" s="36">
        <v>4</v>
      </c>
      <c r="O28" s="35">
        <f t="shared" si="3"/>
        <v>44.444444444444443</v>
      </c>
      <c r="P28" s="34">
        <v>9</v>
      </c>
      <c r="Q28" s="34">
        <v>8</v>
      </c>
      <c r="R28" s="35">
        <f t="shared" si="4"/>
        <v>88.888888888888886</v>
      </c>
      <c r="S28" s="36">
        <v>3</v>
      </c>
      <c r="T28" s="36">
        <v>2</v>
      </c>
      <c r="U28" s="35">
        <f t="shared" si="5"/>
        <v>66.666666666666657</v>
      </c>
      <c r="V28" s="34">
        <v>2</v>
      </c>
      <c r="W28" s="34">
        <v>2</v>
      </c>
      <c r="X28" s="35">
        <f t="shared" si="6"/>
        <v>100</v>
      </c>
      <c r="Y28" s="36">
        <v>4</v>
      </c>
      <c r="Z28" s="36">
        <v>3</v>
      </c>
      <c r="AA28" s="35">
        <f t="shared" si="7"/>
        <v>75</v>
      </c>
      <c r="AB28" s="34">
        <v>3</v>
      </c>
      <c r="AC28" s="34">
        <v>3</v>
      </c>
      <c r="AD28" s="35">
        <f t="shared" si="8"/>
        <v>100</v>
      </c>
      <c r="AE28" s="36">
        <v>2</v>
      </c>
      <c r="AF28" s="36">
        <v>2</v>
      </c>
      <c r="AG28" s="35">
        <f t="shared" si="9"/>
        <v>100</v>
      </c>
      <c r="AH28" s="34">
        <v>8</v>
      </c>
      <c r="AI28" s="34">
        <v>8</v>
      </c>
      <c r="AJ28" s="35">
        <f t="shared" si="10"/>
        <v>100</v>
      </c>
      <c r="AK28" s="36">
        <v>3</v>
      </c>
      <c r="AL28" s="36">
        <v>2</v>
      </c>
      <c r="AM28" s="35">
        <f t="shared" si="11"/>
        <v>66.666666666666657</v>
      </c>
      <c r="AN28" s="34">
        <v>4</v>
      </c>
      <c r="AO28" s="34">
        <v>4</v>
      </c>
      <c r="AP28" s="35">
        <f t="shared" si="12"/>
        <v>100</v>
      </c>
      <c r="AQ28" s="36">
        <v>2</v>
      </c>
      <c r="AR28" s="36">
        <v>2</v>
      </c>
      <c r="AS28" s="35">
        <f t="shared" si="13"/>
        <v>100</v>
      </c>
      <c r="AT28" s="10">
        <f t="shared" si="14"/>
        <v>40</v>
      </c>
      <c r="AU28" s="10">
        <f t="shared" si="14"/>
        <v>36</v>
      </c>
      <c r="AV28" s="26">
        <f t="shared" si="15"/>
        <v>90</v>
      </c>
      <c r="AW28" s="10">
        <f t="shared" si="16"/>
        <v>27</v>
      </c>
      <c r="AX28" s="10">
        <f t="shared" si="16"/>
        <v>17</v>
      </c>
      <c r="AY28" s="26">
        <f t="shared" si="17"/>
        <v>62.962962962962962</v>
      </c>
      <c r="AZ28" s="10">
        <f t="shared" si="18"/>
        <v>67</v>
      </c>
      <c r="BA28" s="10">
        <f t="shared" si="18"/>
        <v>53</v>
      </c>
      <c r="BB28" s="27">
        <f t="shared" si="19"/>
        <v>79.104477611940297</v>
      </c>
    </row>
    <row r="29" spans="1:54" ht="14.25" customHeight="1">
      <c r="A29" s="31">
        <v>23</v>
      </c>
      <c r="B29" s="32">
        <v>1230321020</v>
      </c>
      <c r="C29" s="33" t="s">
        <v>45</v>
      </c>
      <c r="D29" s="34">
        <v>4</v>
      </c>
      <c r="E29" s="34">
        <v>2</v>
      </c>
      <c r="F29" s="35">
        <f t="shared" si="0"/>
        <v>50</v>
      </c>
      <c r="G29" s="34">
        <v>4</v>
      </c>
      <c r="H29" s="36">
        <v>2</v>
      </c>
      <c r="I29" s="35">
        <f t="shared" si="1"/>
        <v>50</v>
      </c>
      <c r="J29" s="34">
        <v>10</v>
      </c>
      <c r="K29" s="36">
        <v>4</v>
      </c>
      <c r="L29" s="35">
        <f t="shared" si="2"/>
        <v>40</v>
      </c>
      <c r="M29" s="36">
        <v>9</v>
      </c>
      <c r="N29" s="36">
        <v>4</v>
      </c>
      <c r="O29" s="35">
        <f t="shared" si="3"/>
        <v>44.444444444444443</v>
      </c>
      <c r="P29" s="34">
        <v>9</v>
      </c>
      <c r="Q29" s="34">
        <v>8</v>
      </c>
      <c r="R29" s="35">
        <f t="shared" si="4"/>
        <v>88.888888888888886</v>
      </c>
      <c r="S29" s="36">
        <v>3</v>
      </c>
      <c r="T29" s="36">
        <v>2</v>
      </c>
      <c r="U29" s="35">
        <f t="shared" si="5"/>
        <v>66.666666666666657</v>
      </c>
      <c r="V29" s="34">
        <v>2</v>
      </c>
      <c r="W29" s="34">
        <v>2</v>
      </c>
      <c r="X29" s="35">
        <f t="shared" si="6"/>
        <v>100</v>
      </c>
      <c r="Y29" s="36">
        <v>4</v>
      </c>
      <c r="Z29" s="36">
        <v>3</v>
      </c>
      <c r="AA29" s="35">
        <f t="shared" si="7"/>
        <v>75</v>
      </c>
      <c r="AB29" s="34">
        <v>3</v>
      </c>
      <c r="AC29" s="34">
        <v>3</v>
      </c>
      <c r="AD29" s="35">
        <f t="shared" si="8"/>
        <v>100</v>
      </c>
      <c r="AE29" s="36">
        <v>2</v>
      </c>
      <c r="AF29" s="36">
        <v>2</v>
      </c>
      <c r="AG29" s="35">
        <f t="shared" si="9"/>
        <v>100</v>
      </c>
      <c r="AH29" s="34">
        <v>8</v>
      </c>
      <c r="AI29" s="34">
        <v>6</v>
      </c>
      <c r="AJ29" s="35">
        <f t="shared" si="10"/>
        <v>75</v>
      </c>
      <c r="AK29" s="36">
        <v>3</v>
      </c>
      <c r="AL29" s="36">
        <v>2</v>
      </c>
      <c r="AM29" s="35">
        <f t="shared" si="11"/>
        <v>66.666666666666657</v>
      </c>
      <c r="AN29" s="34">
        <v>4</v>
      </c>
      <c r="AO29" s="34">
        <v>4</v>
      </c>
      <c r="AP29" s="35">
        <f t="shared" si="12"/>
        <v>100</v>
      </c>
      <c r="AQ29" s="36">
        <v>2</v>
      </c>
      <c r="AR29" s="36">
        <v>2</v>
      </c>
      <c r="AS29" s="35">
        <f t="shared" si="13"/>
        <v>100</v>
      </c>
      <c r="AT29" s="10">
        <f t="shared" si="14"/>
        <v>40</v>
      </c>
      <c r="AU29" s="10">
        <f t="shared" si="14"/>
        <v>29</v>
      </c>
      <c r="AV29" s="26">
        <f t="shared" si="15"/>
        <v>72.5</v>
      </c>
      <c r="AW29" s="10">
        <f t="shared" si="16"/>
        <v>27</v>
      </c>
      <c r="AX29" s="10">
        <f t="shared" si="16"/>
        <v>17</v>
      </c>
      <c r="AY29" s="26">
        <f t="shared" si="17"/>
        <v>62.962962962962962</v>
      </c>
      <c r="AZ29" s="10">
        <f t="shared" si="18"/>
        <v>67</v>
      </c>
      <c r="BA29" s="10">
        <f t="shared" si="18"/>
        <v>46</v>
      </c>
      <c r="BB29" s="27">
        <f t="shared" si="19"/>
        <v>68.656716417910445</v>
      </c>
    </row>
    <row r="30" spans="1:54" ht="14.25" customHeight="1">
      <c r="A30" s="31">
        <v>24</v>
      </c>
      <c r="B30" s="32">
        <v>1230321021</v>
      </c>
      <c r="C30" s="33" t="s">
        <v>46</v>
      </c>
      <c r="D30" s="34">
        <v>4</v>
      </c>
      <c r="E30" s="34">
        <v>2</v>
      </c>
      <c r="F30" s="35">
        <f t="shared" si="0"/>
        <v>50</v>
      </c>
      <c r="G30" s="34">
        <v>4</v>
      </c>
      <c r="H30" s="36">
        <v>2</v>
      </c>
      <c r="I30" s="35">
        <f t="shared" si="1"/>
        <v>50</v>
      </c>
      <c r="J30" s="34">
        <v>10</v>
      </c>
      <c r="K30" s="36">
        <v>7</v>
      </c>
      <c r="L30" s="35">
        <f t="shared" si="2"/>
        <v>70</v>
      </c>
      <c r="M30" s="36">
        <v>9</v>
      </c>
      <c r="N30" s="36">
        <v>4</v>
      </c>
      <c r="O30" s="35">
        <f t="shared" si="3"/>
        <v>44.444444444444443</v>
      </c>
      <c r="P30" s="34">
        <v>9</v>
      </c>
      <c r="Q30" s="34">
        <v>8</v>
      </c>
      <c r="R30" s="35">
        <f t="shared" si="4"/>
        <v>88.888888888888886</v>
      </c>
      <c r="S30" s="36">
        <v>3</v>
      </c>
      <c r="T30" s="36">
        <v>2</v>
      </c>
      <c r="U30" s="35">
        <f t="shared" si="5"/>
        <v>66.666666666666657</v>
      </c>
      <c r="V30" s="34">
        <v>2</v>
      </c>
      <c r="W30" s="34">
        <v>2</v>
      </c>
      <c r="X30" s="35">
        <f t="shared" si="6"/>
        <v>100</v>
      </c>
      <c r="Y30" s="36">
        <v>4</v>
      </c>
      <c r="Z30" s="36">
        <v>3</v>
      </c>
      <c r="AA30" s="35">
        <f t="shared" si="7"/>
        <v>75</v>
      </c>
      <c r="AB30" s="34">
        <v>3</v>
      </c>
      <c r="AC30" s="34">
        <v>3</v>
      </c>
      <c r="AD30" s="35">
        <f t="shared" si="8"/>
        <v>100</v>
      </c>
      <c r="AE30" s="36">
        <v>2</v>
      </c>
      <c r="AF30" s="36">
        <v>2</v>
      </c>
      <c r="AG30" s="35">
        <f t="shared" si="9"/>
        <v>100</v>
      </c>
      <c r="AH30" s="34">
        <v>8</v>
      </c>
      <c r="AI30" s="34">
        <v>6</v>
      </c>
      <c r="AJ30" s="35">
        <f t="shared" si="10"/>
        <v>75</v>
      </c>
      <c r="AK30" s="36">
        <v>3</v>
      </c>
      <c r="AL30" s="36">
        <v>2</v>
      </c>
      <c r="AM30" s="35">
        <f t="shared" si="11"/>
        <v>66.666666666666657</v>
      </c>
      <c r="AN30" s="34">
        <v>4</v>
      </c>
      <c r="AO30" s="34">
        <v>4</v>
      </c>
      <c r="AP30" s="35">
        <f t="shared" si="12"/>
        <v>100</v>
      </c>
      <c r="AQ30" s="36">
        <v>2</v>
      </c>
      <c r="AR30" s="36">
        <v>2</v>
      </c>
      <c r="AS30" s="35">
        <f t="shared" si="13"/>
        <v>100</v>
      </c>
      <c r="AT30" s="10">
        <f t="shared" si="14"/>
        <v>40</v>
      </c>
      <c r="AU30" s="10">
        <f t="shared" si="14"/>
        <v>32</v>
      </c>
      <c r="AV30" s="26">
        <f t="shared" si="15"/>
        <v>80</v>
      </c>
      <c r="AW30" s="10">
        <f t="shared" si="16"/>
        <v>27</v>
      </c>
      <c r="AX30" s="10">
        <f t="shared" si="16"/>
        <v>17</v>
      </c>
      <c r="AY30" s="26">
        <f t="shared" si="17"/>
        <v>62.962962962962962</v>
      </c>
      <c r="AZ30" s="10">
        <f t="shared" si="18"/>
        <v>67</v>
      </c>
      <c r="BA30" s="10">
        <f t="shared" si="18"/>
        <v>49</v>
      </c>
      <c r="BB30" s="27">
        <f t="shared" si="19"/>
        <v>73.134328358208961</v>
      </c>
    </row>
    <row r="31" spans="1:54" ht="14.25" customHeight="1">
      <c r="A31" s="31">
        <v>25</v>
      </c>
      <c r="B31" s="32">
        <v>1230321022</v>
      </c>
      <c r="C31" s="33" t="s">
        <v>47</v>
      </c>
      <c r="D31" s="34">
        <v>4</v>
      </c>
      <c r="E31" s="34">
        <v>2</v>
      </c>
      <c r="F31" s="35">
        <f t="shared" si="0"/>
        <v>50</v>
      </c>
      <c r="G31" s="34">
        <v>4</v>
      </c>
      <c r="H31" s="36">
        <v>2</v>
      </c>
      <c r="I31" s="35">
        <f t="shared" si="1"/>
        <v>50</v>
      </c>
      <c r="J31" s="34">
        <v>10</v>
      </c>
      <c r="K31" s="36">
        <v>5</v>
      </c>
      <c r="L31" s="35">
        <f t="shared" si="2"/>
        <v>50</v>
      </c>
      <c r="M31" s="36">
        <v>9</v>
      </c>
      <c r="N31" s="36">
        <v>4</v>
      </c>
      <c r="O31" s="35">
        <f t="shared" si="3"/>
        <v>44.444444444444443</v>
      </c>
      <c r="P31" s="34">
        <v>9</v>
      </c>
      <c r="Q31" s="34">
        <v>8</v>
      </c>
      <c r="R31" s="35">
        <f t="shared" si="4"/>
        <v>88.888888888888886</v>
      </c>
      <c r="S31" s="36">
        <v>3</v>
      </c>
      <c r="T31" s="36">
        <v>2</v>
      </c>
      <c r="U31" s="35">
        <f t="shared" si="5"/>
        <v>66.666666666666657</v>
      </c>
      <c r="V31" s="34">
        <v>2</v>
      </c>
      <c r="W31" s="34">
        <v>2</v>
      </c>
      <c r="X31" s="35">
        <f t="shared" si="6"/>
        <v>100</v>
      </c>
      <c r="Y31" s="36">
        <v>4</v>
      </c>
      <c r="Z31" s="36">
        <v>3</v>
      </c>
      <c r="AA31" s="35">
        <f t="shared" si="7"/>
        <v>75</v>
      </c>
      <c r="AB31" s="34">
        <v>3</v>
      </c>
      <c r="AC31" s="34">
        <v>3</v>
      </c>
      <c r="AD31" s="35">
        <f t="shared" si="8"/>
        <v>100</v>
      </c>
      <c r="AE31" s="36">
        <v>2</v>
      </c>
      <c r="AF31" s="36">
        <v>2</v>
      </c>
      <c r="AG31" s="35">
        <f t="shared" si="9"/>
        <v>100</v>
      </c>
      <c r="AH31" s="34">
        <v>8</v>
      </c>
      <c r="AI31" s="34">
        <v>7</v>
      </c>
      <c r="AJ31" s="35">
        <f t="shared" si="10"/>
        <v>87.5</v>
      </c>
      <c r="AK31" s="36">
        <v>3</v>
      </c>
      <c r="AL31" s="36">
        <v>2</v>
      </c>
      <c r="AM31" s="35">
        <f t="shared" si="11"/>
        <v>66.666666666666657</v>
      </c>
      <c r="AN31" s="34">
        <v>4</v>
      </c>
      <c r="AO31" s="34">
        <v>4</v>
      </c>
      <c r="AP31" s="35">
        <f t="shared" si="12"/>
        <v>100</v>
      </c>
      <c r="AQ31" s="36">
        <v>2</v>
      </c>
      <c r="AR31" s="36">
        <v>2</v>
      </c>
      <c r="AS31" s="35">
        <f t="shared" si="13"/>
        <v>100</v>
      </c>
      <c r="AT31" s="10">
        <f t="shared" si="14"/>
        <v>40</v>
      </c>
      <c r="AU31" s="10">
        <f t="shared" si="14"/>
        <v>31</v>
      </c>
      <c r="AV31" s="26">
        <f t="shared" si="15"/>
        <v>77.5</v>
      </c>
      <c r="AW31" s="10">
        <f t="shared" si="16"/>
        <v>27</v>
      </c>
      <c r="AX31" s="10">
        <f t="shared" si="16"/>
        <v>17</v>
      </c>
      <c r="AY31" s="26">
        <f t="shared" si="17"/>
        <v>62.962962962962962</v>
      </c>
      <c r="AZ31" s="10">
        <f t="shared" si="18"/>
        <v>67</v>
      </c>
      <c r="BA31" s="10">
        <f t="shared" si="18"/>
        <v>48</v>
      </c>
      <c r="BB31" s="27">
        <f t="shared" si="19"/>
        <v>71.641791044776113</v>
      </c>
    </row>
    <row r="32" spans="1:54" ht="14.25" customHeight="1">
      <c r="A32" s="31">
        <v>26</v>
      </c>
      <c r="B32" s="32">
        <v>1230321023</v>
      </c>
      <c r="C32" s="33" t="s">
        <v>48</v>
      </c>
      <c r="D32" s="34">
        <v>4</v>
      </c>
      <c r="E32" s="34">
        <v>2</v>
      </c>
      <c r="F32" s="35">
        <f t="shared" si="0"/>
        <v>50</v>
      </c>
      <c r="G32" s="34">
        <v>4</v>
      </c>
      <c r="H32" s="36">
        <v>2</v>
      </c>
      <c r="I32" s="35">
        <f t="shared" si="1"/>
        <v>50</v>
      </c>
      <c r="J32" s="34">
        <v>10</v>
      </c>
      <c r="K32" s="36">
        <v>5</v>
      </c>
      <c r="L32" s="35">
        <f t="shared" si="2"/>
        <v>50</v>
      </c>
      <c r="M32" s="36">
        <v>9</v>
      </c>
      <c r="N32" s="36">
        <v>4</v>
      </c>
      <c r="O32" s="35">
        <f t="shared" si="3"/>
        <v>44.444444444444443</v>
      </c>
      <c r="P32" s="34">
        <v>9</v>
      </c>
      <c r="Q32" s="34">
        <v>8</v>
      </c>
      <c r="R32" s="35">
        <f t="shared" si="4"/>
        <v>88.888888888888886</v>
      </c>
      <c r="S32" s="36">
        <v>3</v>
      </c>
      <c r="T32" s="36">
        <v>2</v>
      </c>
      <c r="U32" s="35">
        <f t="shared" si="5"/>
        <v>66.666666666666657</v>
      </c>
      <c r="V32" s="34">
        <v>2</v>
      </c>
      <c r="W32" s="34">
        <v>2</v>
      </c>
      <c r="X32" s="35">
        <f t="shared" si="6"/>
        <v>100</v>
      </c>
      <c r="Y32" s="36">
        <v>4</v>
      </c>
      <c r="Z32" s="36">
        <v>3</v>
      </c>
      <c r="AA32" s="35">
        <f t="shared" si="7"/>
        <v>75</v>
      </c>
      <c r="AB32" s="34">
        <v>3</v>
      </c>
      <c r="AC32" s="34">
        <v>3</v>
      </c>
      <c r="AD32" s="35">
        <f t="shared" si="8"/>
        <v>100</v>
      </c>
      <c r="AE32" s="36">
        <v>2</v>
      </c>
      <c r="AF32" s="36">
        <v>2</v>
      </c>
      <c r="AG32" s="35">
        <f t="shared" si="9"/>
        <v>100</v>
      </c>
      <c r="AH32" s="34">
        <v>8</v>
      </c>
      <c r="AI32" s="34">
        <v>6</v>
      </c>
      <c r="AJ32" s="35">
        <f t="shared" si="10"/>
        <v>75</v>
      </c>
      <c r="AK32" s="36">
        <v>3</v>
      </c>
      <c r="AL32" s="36">
        <v>2</v>
      </c>
      <c r="AM32" s="35">
        <f t="shared" si="11"/>
        <v>66.666666666666657</v>
      </c>
      <c r="AN32" s="34">
        <v>4</v>
      </c>
      <c r="AO32" s="34">
        <v>4</v>
      </c>
      <c r="AP32" s="35">
        <f t="shared" si="12"/>
        <v>100</v>
      </c>
      <c r="AQ32" s="36">
        <v>2</v>
      </c>
      <c r="AR32" s="36">
        <v>2</v>
      </c>
      <c r="AS32" s="35">
        <f t="shared" si="13"/>
        <v>100</v>
      </c>
      <c r="AT32" s="10">
        <f t="shared" si="14"/>
        <v>40</v>
      </c>
      <c r="AU32" s="10">
        <f t="shared" si="14"/>
        <v>30</v>
      </c>
      <c r="AV32" s="26">
        <f t="shared" si="15"/>
        <v>75</v>
      </c>
      <c r="AW32" s="10">
        <f t="shared" si="16"/>
        <v>27</v>
      </c>
      <c r="AX32" s="10">
        <f t="shared" si="16"/>
        <v>17</v>
      </c>
      <c r="AY32" s="26">
        <f t="shared" si="17"/>
        <v>62.962962962962962</v>
      </c>
      <c r="AZ32" s="10">
        <f t="shared" si="18"/>
        <v>67</v>
      </c>
      <c r="BA32" s="10">
        <f t="shared" si="18"/>
        <v>47</v>
      </c>
      <c r="BB32" s="27">
        <f t="shared" si="19"/>
        <v>70.149253731343293</v>
      </c>
    </row>
    <row r="33" spans="1:54" ht="14.25" customHeight="1">
      <c r="A33" s="31">
        <v>27</v>
      </c>
      <c r="B33" s="32">
        <v>1230321024</v>
      </c>
      <c r="C33" s="33" t="s">
        <v>49</v>
      </c>
      <c r="D33" s="34">
        <v>4</v>
      </c>
      <c r="E33" s="34">
        <v>2</v>
      </c>
      <c r="F33" s="35">
        <f t="shared" si="0"/>
        <v>50</v>
      </c>
      <c r="G33" s="34">
        <v>4</v>
      </c>
      <c r="H33" s="36">
        <v>2</v>
      </c>
      <c r="I33" s="35">
        <f t="shared" si="1"/>
        <v>50</v>
      </c>
      <c r="J33" s="34">
        <v>10</v>
      </c>
      <c r="K33" s="36">
        <v>6</v>
      </c>
      <c r="L33" s="35">
        <f t="shared" si="2"/>
        <v>60</v>
      </c>
      <c r="M33" s="36">
        <v>9</v>
      </c>
      <c r="N33" s="36">
        <v>4</v>
      </c>
      <c r="O33" s="35">
        <f t="shared" si="3"/>
        <v>44.444444444444443</v>
      </c>
      <c r="P33" s="34">
        <v>9</v>
      </c>
      <c r="Q33" s="34">
        <v>8</v>
      </c>
      <c r="R33" s="35">
        <f t="shared" si="4"/>
        <v>88.888888888888886</v>
      </c>
      <c r="S33" s="36">
        <v>3</v>
      </c>
      <c r="T33" s="36">
        <v>2</v>
      </c>
      <c r="U33" s="35">
        <f t="shared" si="5"/>
        <v>66.666666666666657</v>
      </c>
      <c r="V33" s="34">
        <v>2</v>
      </c>
      <c r="W33" s="34">
        <v>2</v>
      </c>
      <c r="X33" s="35">
        <f t="shared" si="6"/>
        <v>100</v>
      </c>
      <c r="Y33" s="36">
        <v>4</v>
      </c>
      <c r="Z33" s="36">
        <v>3</v>
      </c>
      <c r="AA33" s="35">
        <f t="shared" si="7"/>
        <v>75</v>
      </c>
      <c r="AB33" s="34">
        <v>3</v>
      </c>
      <c r="AC33" s="34">
        <v>3</v>
      </c>
      <c r="AD33" s="35">
        <f t="shared" si="8"/>
        <v>100</v>
      </c>
      <c r="AE33" s="36">
        <v>2</v>
      </c>
      <c r="AF33" s="36">
        <v>2</v>
      </c>
      <c r="AG33" s="35">
        <f t="shared" si="9"/>
        <v>100</v>
      </c>
      <c r="AH33" s="34">
        <v>8</v>
      </c>
      <c r="AI33" s="34">
        <v>6</v>
      </c>
      <c r="AJ33" s="35">
        <f t="shared" si="10"/>
        <v>75</v>
      </c>
      <c r="AK33" s="36">
        <v>3</v>
      </c>
      <c r="AL33" s="36">
        <v>2</v>
      </c>
      <c r="AM33" s="35">
        <f t="shared" si="11"/>
        <v>66.666666666666657</v>
      </c>
      <c r="AN33" s="34">
        <v>4</v>
      </c>
      <c r="AO33" s="34">
        <v>4</v>
      </c>
      <c r="AP33" s="35">
        <f t="shared" si="12"/>
        <v>100</v>
      </c>
      <c r="AQ33" s="36">
        <v>2</v>
      </c>
      <c r="AR33" s="36">
        <v>2</v>
      </c>
      <c r="AS33" s="35">
        <f t="shared" si="13"/>
        <v>100</v>
      </c>
      <c r="AT33" s="10">
        <f t="shared" si="14"/>
        <v>40</v>
      </c>
      <c r="AU33" s="10">
        <f t="shared" si="14"/>
        <v>31</v>
      </c>
      <c r="AV33" s="26">
        <f t="shared" si="15"/>
        <v>77.5</v>
      </c>
      <c r="AW33" s="10">
        <f t="shared" si="16"/>
        <v>27</v>
      </c>
      <c r="AX33" s="10">
        <f t="shared" si="16"/>
        <v>17</v>
      </c>
      <c r="AY33" s="26">
        <f t="shared" si="17"/>
        <v>62.962962962962962</v>
      </c>
      <c r="AZ33" s="10">
        <f t="shared" si="18"/>
        <v>67</v>
      </c>
      <c r="BA33" s="10">
        <f t="shared" si="18"/>
        <v>48</v>
      </c>
      <c r="BB33" s="27">
        <f t="shared" si="19"/>
        <v>71.641791044776113</v>
      </c>
    </row>
    <row r="34" spans="1:54" ht="14.25" customHeight="1">
      <c r="A34" s="31">
        <v>28</v>
      </c>
      <c r="B34" s="32">
        <v>1230321025</v>
      </c>
      <c r="C34" s="33" t="s">
        <v>50</v>
      </c>
      <c r="D34" s="34">
        <v>4</v>
      </c>
      <c r="E34" s="34">
        <v>2</v>
      </c>
      <c r="F34" s="35">
        <f t="shared" si="0"/>
        <v>50</v>
      </c>
      <c r="G34" s="34">
        <v>4</v>
      </c>
      <c r="H34" s="36">
        <v>2</v>
      </c>
      <c r="I34" s="35">
        <f t="shared" si="1"/>
        <v>50</v>
      </c>
      <c r="J34" s="34">
        <v>10</v>
      </c>
      <c r="K34" s="36">
        <v>5</v>
      </c>
      <c r="L34" s="35">
        <f t="shared" si="2"/>
        <v>50</v>
      </c>
      <c r="M34" s="36">
        <v>9</v>
      </c>
      <c r="N34" s="36">
        <v>4</v>
      </c>
      <c r="O34" s="35">
        <f t="shared" si="3"/>
        <v>44.444444444444443</v>
      </c>
      <c r="P34" s="34">
        <v>9</v>
      </c>
      <c r="Q34" s="34">
        <v>8</v>
      </c>
      <c r="R34" s="35">
        <f t="shared" si="4"/>
        <v>88.888888888888886</v>
      </c>
      <c r="S34" s="36">
        <v>3</v>
      </c>
      <c r="T34" s="36">
        <v>2</v>
      </c>
      <c r="U34" s="35">
        <f t="shared" si="5"/>
        <v>66.666666666666657</v>
      </c>
      <c r="V34" s="34">
        <v>2</v>
      </c>
      <c r="W34" s="34">
        <v>2</v>
      </c>
      <c r="X34" s="35">
        <f t="shared" si="6"/>
        <v>100</v>
      </c>
      <c r="Y34" s="36">
        <v>4</v>
      </c>
      <c r="Z34" s="36">
        <v>3</v>
      </c>
      <c r="AA34" s="35">
        <f t="shared" si="7"/>
        <v>75</v>
      </c>
      <c r="AB34" s="34">
        <v>3</v>
      </c>
      <c r="AC34" s="34">
        <v>3</v>
      </c>
      <c r="AD34" s="35">
        <f t="shared" si="8"/>
        <v>100</v>
      </c>
      <c r="AE34" s="36">
        <v>2</v>
      </c>
      <c r="AF34" s="36">
        <v>2</v>
      </c>
      <c r="AG34" s="35">
        <f t="shared" si="9"/>
        <v>100</v>
      </c>
      <c r="AH34" s="34">
        <v>8</v>
      </c>
      <c r="AI34" s="34">
        <v>6</v>
      </c>
      <c r="AJ34" s="35">
        <f t="shared" si="10"/>
        <v>75</v>
      </c>
      <c r="AK34" s="36">
        <v>3</v>
      </c>
      <c r="AL34" s="36">
        <v>2</v>
      </c>
      <c r="AM34" s="35">
        <f t="shared" si="11"/>
        <v>66.666666666666657</v>
      </c>
      <c r="AN34" s="34">
        <v>4</v>
      </c>
      <c r="AO34" s="34">
        <v>4</v>
      </c>
      <c r="AP34" s="35">
        <f t="shared" si="12"/>
        <v>100</v>
      </c>
      <c r="AQ34" s="36">
        <v>2</v>
      </c>
      <c r="AR34" s="36">
        <v>2</v>
      </c>
      <c r="AS34" s="35">
        <f t="shared" si="13"/>
        <v>100</v>
      </c>
      <c r="AT34" s="10">
        <f t="shared" si="14"/>
        <v>40</v>
      </c>
      <c r="AU34" s="10">
        <f t="shared" si="14"/>
        <v>30</v>
      </c>
      <c r="AV34" s="26">
        <f t="shared" si="15"/>
        <v>75</v>
      </c>
      <c r="AW34" s="10">
        <f t="shared" si="16"/>
        <v>27</v>
      </c>
      <c r="AX34" s="10">
        <f t="shared" si="16"/>
        <v>17</v>
      </c>
      <c r="AY34" s="26">
        <f t="shared" si="17"/>
        <v>62.962962962962962</v>
      </c>
      <c r="AZ34" s="10">
        <f t="shared" si="18"/>
        <v>67</v>
      </c>
      <c r="BA34" s="10">
        <f t="shared" si="18"/>
        <v>47</v>
      </c>
      <c r="BB34" s="27">
        <f t="shared" si="19"/>
        <v>70.149253731343293</v>
      </c>
    </row>
    <row r="35" spans="1:54" ht="14.25" customHeight="1">
      <c r="A35" s="31">
        <v>29</v>
      </c>
      <c r="B35" s="32">
        <v>1230321026</v>
      </c>
      <c r="C35" s="33" t="s">
        <v>51</v>
      </c>
      <c r="D35" s="34">
        <v>4</v>
      </c>
      <c r="E35" s="34">
        <v>2</v>
      </c>
      <c r="F35" s="35">
        <f t="shared" si="0"/>
        <v>50</v>
      </c>
      <c r="G35" s="34">
        <v>4</v>
      </c>
      <c r="H35" s="36">
        <v>2</v>
      </c>
      <c r="I35" s="35">
        <f t="shared" si="1"/>
        <v>50</v>
      </c>
      <c r="J35" s="34">
        <v>10</v>
      </c>
      <c r="K35" s="36">
        <v>7</v>
      </c>
      <c r="L35" s="35">
        <f t="shared" si="2"/>
        <v>70</v>
      </c>
      <c r="M35" s="36">
        <v>9</v>
      </c>
      <c r="N35" s="36">
        <v>4</v>
      </c>
      <c r="O35" s="35">
        <f t="shared" si="3"/>
        <v>44.444444444444443</v>
      </c>
      <c r="P35" s="34">
        <v>9</v>
      </c>
      <c r="Q35" s="34">
        <v>8</v>
      </c>
      <c r="R35" s="35">
        <f t="shared" si="4"/>
        <v>88.888888888888886</v>
      </c>
      <c r="S35" s="36">
        <v>3</v>
      </c>
      <c r="T35" s="36">
        <v>2</v>
      </c>
      <c r="U35" s="35">
        <f t="shared" si="5"/>
        <v>66.666666666666657</v>
      </c>
      <c r="V35" s="34">
        <v>2</v>
      </c>
      <c r="W35" s="34">
        <v>2</v>
      </c>
      <c r="X35" s="35">
        <f t="shared" si="6"/>
        <v>100</v>
      </c>
      <c r="Y35" s="36">
        <v>4</v>
      </c>
      <c r="Z35" s="36">
        <v>3</v>
      </c>
      <c r="AA35" s="35">
        <f t="shared" si="7"/>
        <v>75</v>
      </c>
      <c r="AB35" s="34">
        <v>3</v>
      </c>
      <c r="AC35" s="34">
        <v>3</v>
      </c>
      <c r="AD35" s="35">
        <f t="shared" si="8"/>
        <v>100</v>
      </c>
      <c r="AE35" s="36">
        <v>2</v>
      </c>
      <c r="AF35" s="36">
        <v>2</v>
      </c>
      <c r="AG35" s="35">
        <f t="shared" si="9"/>
        <v>100</v>
      </c>
      <c r="AH35" s="34">
        <v>8</v>
      </c>
      <c r="AI35" s="34">
        <v>7</v>
      </c>
      <c r="AJ35" s="35">
        <f t="shared" si="10"/>
        <v>87.5</v>
      </c>
      <c r="AK35" s="36">
        <v>3</v>
      </c>
      <c r="AL35" s="36">
        <v>2</v>
      </c>
      <c r="AM35" s="35">
        <f t="shared" si="11"/>
        <v>66.666666666666657</v>
      </c>
      <c r="AN35" s="34">
        <v>4</v>
      </c>
      <c r="AO35" s="34">
        <v>4</v>
      </c>
      <c r="AP35" s="35">
        <f t="shared" si="12"/>
        <v>100</v>
      </c>
      <c r="AQ35" s="36">
        <v>2</v>
      </c>
      <c r="AR35" s="36">
        <v>2</v>
      </c>
      <c r="AS35" s="35">
        <f t="shared" si="13"/>
        <v>100</v>
      </c>
      <c r="AT35" s="10">
        <f t="shared" si="14"/>
        <v>40</v>
      </c>
      <c r="AU35" s="10">
        <f t="shared" si="14"/>
        <v>33</v>
      </c>
      <c r="AV35" s="26">
        <f t="shared" si="15"/>
        <v>82.5</v>
      </c>
      <c r="AW35" s="10">
        <f t="shared" si="16"/>
        <v>27</v>
      </c>
      <c r="AX35" s="10">
        <f t="shared" si="16"/>
        <v>17</v>
      </c>
      <c r="AY35" s="26">
        <f t="shared" si="17"/>
        <v>62.962962962962962</v>
      </c>
      <c r="AZ35" s="10">
        <f t="shared" si="18"/>
        <v>67</v>
      </c>
      <c r="BA35" s="10">
        <f t="shared" si="18"/>
        <v>50</v>
      </c>
      <c r="BB35" s="27">
        <f t="shared" si="19"/>
        <v>74.626865671641795</v>
      </c>
    </row>
    <row r="36" spans="1:54" ht="14.25" customHeight="1">
      <c r="A36" s="31">
        <v>30</v>
      </c>
      <c r="B36" s="32">
        <v>1230321027</v>
      </c>
      <c r="C36" s="33" t="s">
        <v>52</v>
      </c>
      <c r="D36" s="34">
        <v>4</v>
      </c>
      <c r="E36" s="34">
        <v>2</v>
      </c>
      <c r="F36" s="35">
        <f t="shared" si="0"/>
        <v>50</v>
      </c>
      <c r="G36" s="34">
        <v>4</v>
      </c>
      <c r="H36" s="36">
        <v>2</v>
      </c>
      <c r="I36" s="35">
        <f t="shared" si="1"/>
        <v>50</v>
      </c>
      <c r="J36" s="34">
        <v>10</v>
      </c>
      <c r="K36" s="36">
        <v>9</v>
      </c>
      <c r="L36" s="35">
        <f t="shared" si="2"/>
        <v>90</v>
      </c>
      <c r="M36" s="36">
        <v>9</v>
      </c>
      <c r="N36" s="36">
        <v>4</v>
      </c>
      <c r="O36" s="35">
        <f t="shared" si="3"/>
        <v>44.444444444444443</v>
      </c>
      <c r="P36" s="34">
        <v>9</v>
      </c>
      <c r="Q36" s="34">
        <v>8</v>
      </c>
      <c r="R36" s="35">
        <f t="shared" si="4"/>
        <v>88.888888888888886</v>
      </c>
      <c r="S36" s="36">
        <v>3</v>
      </c>
      <c r="T36" s="36">
        <v>2</v>
      </c>
      <c r="U36" s="35">
        <f t="shared" si="5"/>
        <v>66.666666666666657</v>
      </c>
      <c r="V36" s="34">
        <v>2</v>
      </c>
      <c r="W36" s="34">
        <v>2</v>
      </c>
      <c r="X36" s="35">
        <f t="shared" si="6"/>
        <v>100</v>
      </c>
      <c r="Y36" s="36">
        <v>4</v>
      </c>
      <c r="Z36" s="36">
        <v>3</v>
      </c>
      <c r="AA36" s="35">
        <f t="shared" si="7"/>
        <v>75</v>
      </c>
      <c r="AB36" s="34">
        <v>3</v>
      </c>
      <c r="AC36" s="34">
        <v>3</v>
      </c>
      <c r="AD36" s="35">
        <f t="shared" si="8"/>
        <v>100</v>
      </c>
      <c r="AE36" s="36">
        <v>2</v>
      </c>
      <c r="AF36" s="36">
        <v>2</v>
      </c>
      <c r="AG36" s="35">
        <f t="shared" si="9"/>
        <v>100</v>
      </c>
      <c r="AH36" s="34">
        <v>8</v>
      </c>
      <c r="AI36" s="34">
        <v>6</v>
      </c>
      <c r="AJ36" s="35">
        <f t="shared" si="10"/>
        <v>75</v>
      </c>
      <c r="AK36" s="36">
        <v>3</v>
      </c>
      <c r="AL36" s="36">
        <v>2</v>
      </c>
      <c r="AM36" s="35">
        <f t="shared" si="11"/>
        <v>66.666666666666657</v>
      </c>
      <c r="AN36" s="34">
        <v>4</v>
      </c>
      <c r="AO36" s="34">
        <v>4</v>
      </c>
      <c r="AP36" s="35">
        <f t="shared" si="12"/>
        <v>100</v>
      </c>
      <c r="AQ36" s="36">
        <v>2</v>
      </c>
      <c r="AR36" s="36">
        <v>2</v>
      </c>
      <c r="AS36" s="35">
        <f t="shared" si="13"/>
        <v>100</v>
      </c>
      <c r="AT36" s="10">
        <f t="shared" si="14"/>
        <v>40</v>
      </c>
      <c r="AU36" s="10">
        <f t="shared" si="14"/>
        <v>34</v>
      </c>
      <c r="AV36" s="26">
        <f t="shared" si="15"/>
        <v>85</v>
      </c>
      <c r="AW36" s="10">
        <f t="shared" si="16"/>
        <v>27</v>
      </c>
      <c r="AX36" s="10">
        <f t="shared" si="16"/>
        <v>17</v>
      </c>
      <c r="AY36" s="26">
        <f t="shared" si="17"/>
        <v>62.962962962962962</v>
      </c>
      <c r="AZ36" s="10">
        <f t="shared" si="18"/>
        <v>67</v>
      </c>
      <c r="BA36" s="10">
        <f t="shared" si="18"/>
        <v>51</v>
      </c>
      <c r="BB36" s="27">
        <f t="shared" si="19"/>
        <v>76.119402985074629</v>
      </c>
    </row>
    <row r="37" spans="1:54" ht="14.25" customHeight="1">
      <c r="A37" s="31">
        <v>31</v>
      </c>
      <c r="B37" s="32">
        <v>1230321028</v>
      </c>
      <c r="C37" s="33" t="s">
        <v>53</v>
      </c>
      <c r="D37" s="34">
        <v>4</v>
      </c>
      <c r="E37" s="34">
        <v>2</v>
      </c>
      <c r="F37" s="35">
        <f t="shared" si="0"/>
        <v>50</v>
      </c>
      <c r="G37" s="34">
        <v>4</v>
      </c>
      <c r="H37" s="36">
        <v>2</v>
      </c>
      <c r="I37" s="35">
        <f t="shared" si="1"/>
        <v>50</v>
      </c>
      <c r="J37" s="34">
        <v>10</v>
      </c>
      <c r="K37" s="36">
        <v>5</v>
      </c>
      <c r="L37" s="35">
        <f t="shared" si="2"/>
        <v>50</v>
      </c>
      <c r="M37" s="36">
        <v>9</v>
      </c>
      <c r="N37" s="36">
        <v>4</v>
      </c>
      <c r="O37" s="35">
        <f t="shared" si="3"/>
        <v>44.444444444444443</v>
      </c>
      <c r="P37" s="34">
        <v>9</v>
      </c>
      <c r="Q37" s="34">
        <v>8</v>
      </c>
      <c r="R37" s="35">
        <f t="shared" si="4"/>
        <v>88.888888888888886</v>
      </c>
      <c r="S37" s="36">
        <v>3</v>
      </c>
      <c r="T37" s="36">
        <v>2</v>
      </c>
      <c r="U37" s="35">
        <f t="shared" si="5"/>
        <v>66.666666666666657</v>
      </c>
      <c r="V37" s="34">
        <v>2</v>
      </c>
      <c r="W37" s="34">
        <v>2</v>
      </c>
      <c r="X37" s="35">
        <f t="shared" si="6"/>
        <v>100</v>
      </c>
      <c r="Y37" s="36">
        <v>4</v>
      </c>
      <c r="Z37" s="36">
        <v>3</v>
      </c>
      <c r="AA37" s="35">
        <f t="shared" si="7"/>
        <v>75</v>
      </c>
      <c r="AB37" s="34">
        <v>3</v>
      </c>
      <c r="AC37" s="34">
        <v>3</v>
      </c>
      <c r="AD37" s="35">
        <f t="shared" si="8"/>
        <v>100</v>
      </c>
      <c r="AE37" s="36">
        <v>2</v>
      </c>
      <c r="AF37" s="36">
        <v>2</v>
      </c>
      <c r="AG37" s="35">
        <f t="shared" si="9"/>
        <v>100</v>
      </c>
      <c r="AH37" s="34">
        <v>8</v>
      </c>
      <c r="AI37" s="34">
        <v>6</v>
      </c>
      <c r="AJ37" s="35">
        <f t="shared" si="10"/>
        <v>75</v>
      </c>
      <c r="AK37" s="36">
        <v>3</v>
      </c>
      <c r="AL37" s="36">
        <v>2</v>
      </c>
      <c r="AM37" s="35">
        <f t="shared" si="11"/>
        <v>66.666666666666657</v>
      </c>
      <c r="AN37" s="34">
        <v>4</v>
      </c>
      <c r="AO37" s="34">
        <v>4</v>
      </c>
      <c r="AP37" s="35">
        <f t="shared" si="12"/>
        <v>100</v>
      </c>
      <c r="AQ37" s="36">
        <v>2</v>
      </c>
      <c r="AR37" s="36">
        <v>2</v>
      </c>
      <c r="AS37" s="35">
        <f t="shared" si="13"/>
        <v>100</v>
      </c>
      <c r="AT37" s="10">
        <f t="shared" si="14"/>
        <v>40</v>
      </c>
      <c r="AU37" s="10">
        <f t="shared" si="14"/>
        <v>30</v>
      </c>
      <c r="AV37" s="26">
        <f t="shared" si="15"/>
        <v>75</v>
      </c>
      <c r="AW37" s="10">
        <f t="shared" si="16"/>
        <v>27</v>
      </c>
      <c r="AX37" s="10">
        <f t="shared" si="16"/>
        <v>17</v>
      </c>
      <c r="AY37" s="26">
        <f t="shared" si="17"/>
        <v>62.962962962962962</v>
      </c>
      <c r="AZ37" s="10">
        <f t="shared" si="18"/>
        <v>67</v>
      </c>
      <c r="BA37" s="10">
        <f t="shared" si="18"/>
        <v>47</v>
      </c>
      <c r="BB37" s="27">
        <f t="shared" si="19"/>
        <v>70.149253731343293</v>
      </c>
    </row>
    <row r="38" spans="1:54" ht="14.25" customHeight="1">
      <c r="A38" s="31">
        <v>32</v>
      </c>
      <c r="B38" s="32">
        <v>1230321029</v>
      </c>
      <c r="C38" s="33" t="s">
        <v>54</v>
      </c>
      <c r="D38" s="34">
        <v>4</v>
      </c>
      <c r="E38" s="34">
        <v>2</v>
      </c>
      <c r="F38" s="35">
        <f t="shared" si="0"/>
        <v>50</v>
      </c>
      <c r="G38" s="34">
        <v>4</v>
      </c>
      <c r="H38" s="36">
        <v>2</v>
      </c>
      <c r="I38" s="35">
        <f t="shared" si="1"/>
        <v>50</v>
      </c>
      <c r="J38" s="34">
        <v>10</v>
      </c>
      <c r="K38" s="36">
        <v>5</v>
      </c>
      <c r="L38" s="35">
        <f t="shared" si="2"/>
        <v>50</v>
      </c>
      <c r="M38" s="36">
        <v>9</v>
      </c>
      <c r="N38" s="36">
        <v>4</v>
      </c>
      <c r="O38" s="35">
        <f t="shared" si="3"/>
        <v>44.444444444444443</v>
      </c>
      <c r="P38" s="34">
        <v>9</v>
      </c>
      <c r="Q38" s="34">
        <v>8</v>
      </c>
      <c r="R38" s="35">
        <f t="shared" si="4"/>
        <v>88.888888888888886</v>
      </c>
      <c r="S38" s="36">
        <v>3</v>
      </c>
      <c r="T38" s="36">
        <v>2</v>
      </c>
      <c r="U38" s="35">
        <f t="shared" si="5"/>
        <v>66.666666666666657</v>
      </c>
      <c r="V38" s="34">
        <v>2</v>
      </c>
      <c r="W38" s="34">
        <v>2</v>
      </c>
      <c r="X38" s="35">
        <f t="shared" si="6"/>
        <v>100</v>
      </c>
      <c r="Y38" s="36">
        <v>4</v>
      </c>
      <c r="Z38" s="36">
        <v>3</v>
      </c>
      <c r="AA38" s="35">
        <f t="shared" si="7"/>
        <v>75</v>
      </c>
      <c r="AB38" s="34">
        <v>3</v>
      </c>
      <c r="AC38" s="34">
        <v>3</v>
      </c>
      <c r="AD38" s="35">
        <f t="shared" si="8"/>
        <v>100</v>
      </c>
      <c r="AE38" s="36">
        <v>2</v>
      </c>
      <c r="AF38" s="36">
        <v>2</v>
      </c>
      <c r="AG38" s="35">
        <f t="shared" si="9"/>
        <v>100</v>
      </c>
      <c r="AH38" s="34">
        <v>8</v>
      </c>
      <c r="AI38" s="34">
        <v>6</v>
      </c>
      <c r="AJ38" s="35">
        <f t="shared" si="10"/>
        <v>75</v>
      </c>
      <c r="AK38" s="36">
        <v>3</v>
      </c>
      <c r="AL38" s="36">
        <v>2</v>
      </c>
      <c r="AM38" s="35">
        <f t="shared" si="11"/>
        <v>66.666666666666657</v>
      </c>
      <c r="AN38" s="34">
        <v>4</v>
      </c>
      <c r="AO38" s="34">
        <v>4</v>
      </c>
      <c r="AP38" s="35">
        <f t="shared" si="12"/>
        <v>100</v>
      </c>
      <c r="AQ38" s="36">
        <v>2</v>
      </c>
      <c r="AR38" s="36">
        <v>2</v>
      </c>
      <c r="AS38" s="35">
        <f t="shared" si="13"/>
        <v>100</v>
      </c>
      <c r="AT38" s="10">
        <f t="shared" si="14"/>
        <v>40</v>
      </c>
      <c r="AU38" s="10">
        <f t="shared" si="14"/>
        <v>30</v>
      </c>
      <c r="AV38" s="26">
        <f t="shared" si="15"/>
        <v>75</v>
      </c>
      <c r="AW38" s="10">
        <f t="shared" si="16"/>
        <v>27</v>
      </c>
      <c r="AX38" s="10">
        <f t="shared" si="16"/>
        <v>17</v>
      </c>
      <c r="AY38" s="26">
        <f t="shared" si="17"/>
        <v>62.962962962962962</v>
      </c>
      <c r="AZ38" s="10">
        <f t="shared" si="18"/>
        <v>67</v>
      </c>
      <c r="BA38" s="10">
        <f t="shared" si="18"/>
        <v>47</v>
      </c>
      <c r="BB38" s="27">
        <f t="shared" si="19"/>
        <v>70.149253731343293</v>
      </c>
    </row>
    <row r="39" spans="1:54" ht="14.25" customHeight="1">
      <c r="A39" s="31">
        <v>33</v>
      </c>
      <c r="B39" s="32">
        <v>1230321030</v>
      </c>
      <c r="C39" s="33" t="s">
        <v>55</v>
      </c>
      <c r="D39" s="34">
        <v>4</v>
      </c>
      <c r="E39" s="34">
        <v>2</v>
      </c>
      <c r="F39" s="35">
        <f t="shared" si="0"/>
        <v>50</v>
      </c>
      <c r="G39" s="34">
        <v>4</v>
      </c>
      <c r="H39" s="36">
        <v>2</v>
      </c>
      <c r="I39" s="35">
        <f t="shared" si="1"/>
        <v>50</v>
      </c>
      <c r="J39" s="34">
        <v>10</v>
      </c>
      <c r="K39" s="36">
        <v>6</v>
      </c>
      <c r="L39" s="35">
        <f t="shared" si="2"/>
        <v>60</v>
      </c>
      <c r="M39" s="36">
        <v>9</v>
      </c>
      <c r="N39" s="36">
        <v>4</v>
      </c>
      <c r="O39" s="35">
        <f t="shared" si="3"/>
        <v>44.444444444444443</v>
      </c>
      <c r="P39" s="34">
        <v>9</v>
      </c>
      <c r="Q39" s="34">
        <v>8</v>
      </c>
      <c r="R39" s="35">
        <f t="shared" si="4"/>
        <v>88.888888888888886</v>
      </c>
      <c r="S39" s="36">
        <v>3</v>
      </c>
      <c r="T39" s="36">
        <v>2</v>
      </c>
      <c r="U39" s="35">
        <f t="shared" si="5"/>
        <v>66.666666666666657</v>
      </c>
      <c r="V39" s="34">
        <v>2</v>
      </c>
      <c r="W39" s="34">
        <v>2</v>
      </c>
      <c r="X39" s="35">
        <f t="shared" si="6"/>
        <v>100</v>
      </c>
      <c r="Y39" s="36">
        <v>4</v>
      </c>
      <c r="Z39" s="36">
        <v>3</v>
      </c>
      <c r="AA39" s="35">
        <f t="shared" si="7"/>
        <v>75</v>
      </c>
      <c r="AB39" s="34">
        <v>3</v>
      </c>
      <c r="AC39" s="34">
        <v>3</v>
      </c>
      <c r="AD39" s="35">
        <f t="shared" si="8"/>
        <v>100</v>
      </c>
      <c r="AE39" s="36">
        <v>2</v>
      </c>
      <c r="AF39" s="36">
        <v>2</v>
      </c>
      <c r="AG39" s="35">
        <f t="shared" si="9"/>
        <v>100</v>
      </c>
      <c r="AH39" s="34">
        <v>8</v>
      </c>
      <c r="AI39" s="34">
        <v>6</v>
      </c>
      <c r="AJ39" s="35">
        <f t="shared" si="10"/>
        <v>75</v>
      </c>
      <c r="AK39" s="36">
        <v>3</v>
      </c>
      <c r="AL39" s="36">
        <v>2</v>
      </c>
      <c r="AM39" s="35">
        <f t="shared" si="11"/>
        <v>66.666666666666657</v>
      </c>
      <c r="AN39" s="34">
        <v>4</v>
      </c>
      <c r="AO39" s="34">
        <v>4</v>
      </c>
      <c r="AP39" s="35">
        <f t="shared" si="12"/>
        <v>100</v>
      </c>
      <c r="AQ39" s="36">
        <v>2</v>
      </c>
      <c r="AR39" s="36">
        <v>2</v>
      </c>
      <c r="AS39" s="35">
        <f t="shared" si="13"/>
        <v>100</v>
      </c>
      <c r="AT39" s="10">
        <f t="shared" si="14"/>
        <v>40</v>
      </c>
      <c r="AU39" s="10">
        <f t="shared" si="14"/>
        <v>31</v>
      </c>
      <c r="AV39" s="26">
        <f t="shared" si="15"/>
        <v>77.5</v>
      </c>
      <c r="AW39" s="10">
        <f t="shared" si="16"/>
        <v>27</v>
      </c>
      <c r="AX39" s="10">
        <f t="shared" si="16"/>
        <v>17</v>
      </c>
      <c r="AY39" s="26">
        <f t="shared" si="17"/>
        <v>62.962962962962962</v>
      </c>
      <c r="AZ39" s="10">
        <f t="shared" si="18"/>
        <v>67</v>
      </c>
      <c r="BA39" s="10">
        <f t="shared" si="18"/>
        <v>48</v>
      </c>
      <c r="BB39" s="27">
        <f t="shared" si="19"/>
        <v>71.641791044776113</v>
      </c>
    </row>
    <row r="40" spans="1:54" ht="14.25" customHeight="1">
      <c r="A40" s="31">
        <v>34</v>
      </c>
      <c r="B40" s="32">
        <v>1230321031</v>
      </c>
      <c r="C40" s="33" t="s">
        <v>56</v>
      </c>
      <c r="D40" s="34">
        <v>4</v>
      </c>
      <c r="E40" s="34">
        <v>2</v>
      </c>
      <c r="F40" s="35">
        <f t="shared" si="0"/>
        <v>50</v>
      </c>
      <c r="G40" s="34">
        <v>4</v>
      </c>
      <c r="H40" s="36">
        <v>2</v>
      </c>
      <c r="I40" s="35">
        <f t="shared" si="1"/>
        <v>50</v>
      </c>
      <c r="J40" s="34">
        <v>10</v>
      </c>
      <c r="K40" s="36">
        <v>5</v>
      </c>
      <c r="L40" s="35">
        <f t="shared" si="2"/>
        <v>50</v>
      </c>
      <c r="M40" s="36">
        <v>9</v>
      </c>
      <c r="N40" s="36">
        <v>4</v>
      </c>
      <c r="O40" s="35">
        <f t="shared" si="3"/>
        <v>44.444444444444443</v>
      </c>
      <c r="P40" s="34">
        <v>9</v>
      </c>
      <c r="Q40" s="34">
        <v>8</v>
      </c>
      <c r="R40" s="35">
        <f t="shared" si="4"/>
        <v>88.888888888888886</v>
      </c>
      <c r="S40" s="36">
        <v>3</v>
      </c>
      <c r="T40" s="36">
        <v>2</v>
      </c>
      <c r="U40" s="35">
        <f t="shared" si="5"/>
        <v>66.666666666666657</v>
      </c>
      <c r="V40" s="34">
        <v>2</v>
      </c>
      <c r="W40" s="34">
        <v>2</v>
      </c>
      <c r="X40" s="35">
        <f t="shared" si="6"/>
        <v>100</v>
      </c>
      <c r="Y40" s="36">
        <v>4</v>
      </c>
      <c r="Z40" s="36">
        <v>3</v>
      </c>
      <c r="AA40" s="35">
        <f t="shared" si="7"/>
        <v>75</v>
      </c>
      <c r="AB40" s="34">
        <v>3</v>
      </c>
      <c r="AC40" s="34">
        <v>3</v>
      </c>
      <c r="AD40" s="35">
        <f t="shared" si="8"/>
        <v>100</v>
      </c>
      <c r="AE40" s="36">
        <v>2</v>
      </c>
      <c r="AF40" s="36">
        <v>2</v>
      </c>
      <c r="AG40" s="35">
        <f t="shared" si="9"/>
        <v>100</v>
      </c>
      <c r="AH40" s="34">
        <v>8</v>
      </c>
      <c r="AI40" s="34">
        <v>7</v>
      </c>
      <c r="AJ40" s="35">
        <f t="shared" si="10"/>
        <v>87.5</v>
      </c>
      <c r="AK40" s="36">
        <v>3</v>
      </c>
      <c r="AL40" s="36">
        <v>2</v>
      </c>
      <c r="AM40" s="35">
        <f t="shared" si="11"/>
        <v>66.666666666666657</v>
      </c>
      <c r="AN40" s="34">
        <v>4</v>
      </c>
      <c r="AO40" s="34">
        <v>4</v>
      </c>
      <c r="AP40" s="35">
        <f t="shared" si="12"/>
        <v>100</v>
      </c>
      <c r="AQ40" s="36">
        <v>2</v>
      </c>
      <c r="AR40" s="36">
        <v>2</v>
      </c>
      <c r="AS40" s="35">
        <f t="shared" si="13"/>
        <v>100</v>
      </c>
      <c r="AT40" s="10">
        <f t="shared" si="14"/>
        <v>40</v>
      </c>
      <c r="AU40" s="10">
        <f t="shared" si="14"/>
        <v>31</v>
      </c>
      <c r="AV40" s="26">
        <f t="shared" si="15"/>
        <v>77.5</v>
      </c>
      <c r="AW40" s="10">
        <f t="shared" si="16"/>
        <v>27</v>
      </c>
      <c r="AX40" s="10">
        <f t="shared" si="16"/>
        <v>17</v>
      </c>
      <c r="AY40" s="26">
        <f t="shared" si="17"/>
        <v>62.962962962962962</v>
      </c>
      <c r="AZ40" s="10">
        <f t="shared" si="18"/>
        <v>67</v>
      </c>
      <c r="BA40" s="10">
        <f t="shared" si="18"/>
        <v>48</v>
      </c>
      <c r="BB40" s="27">
        <f t="shared" si="19"/>
        <v>71.641791044776113</v>
      </c>
    </row>
    <row r="41" spans="1:54" ht="14.25" customHeight="1">
      <c r="A41" s="31">
        <v>35</v>
      </c>
      <c r="B41" s="32">
        <v>1230321032</v>
      </c>
      <c r="C41" s="33" t="s">
        <v>57</v>
      </c>
      <c r="D41" s="34">
        <v>4</v>
      </c>
      <c r="E41" s="34">
        <v>2</v>
      </c>
      <c r="F41" s="35">
        <f t="shared" si="0"/>
        <v>50</v>
      </c>
      <c r="G41" s="34">
        <v>4</v>
      </c>
      <c r="H41" s="36">
        <v>2</v>
      </c>
      <c r="I41" s="35">
        <f t="shared" si="1"/>
        <v>50</v>
      </c>
      <c r="J41" s="34">
        <v>10</v>
      </c>
      <c r="K41" s="36">
        <v>5</v>
      </c>
      <c r="L41" s="35">
        <f t="shared" si="2"/>
        <v>50</v>
      </c>
      <c r="M41" s="36">
        <v>9</v>
      </c>
      <c r="N41" s="36">
        <v>4</v>
      </c>
      <c r="O41" s="35">
        <f t="shared" si="3"/>
        <v>44.444444444444443</v>
      </c>
      <c r="P41" s="34">
        <v>9</v>
      </c>
      <c r="Q41" s="34">
        <v>8</v>
      </c>
      <c r="R41" s="35">
        <f t="shared" si="4"/>
        <v>88.888888888888886</v>
      </c>
      <c r="S41" s="36">
        <v>3</v>
      </c>
      <c r="T41" s="36">
        <v>2</v>
      </c>
      <c r="U41" s="35">
        <f t="shared" si="5"/>
        <v>66.666666666666657</v>
      </c>
      <c r="V41" s="34">
        <v>2</v>
      </c>
      <c r="W41" s="34">
        <v>2</v>
      </c>
      <c r="X41" s="35">
        <f t="shared" si="6"/>
        <v>100</v>
      </c>
      <c r="Y41" s="36">
        <v>4</v>
      </c>
      <c r="Z41" s="36">
        <v>3</v>
      </c>
      <c r="AA41" s="35">
        <f t="shared" si="7"/>
        <v>75</v>
      </c>
      <c r="AB41" s="34">
        <v>3</v>
      </c>
      <c r="AC41" s="34">
        <v>3</v>
      </c>
      <c r="AD41" s="35">
        <f t="shared" si="8"/>
        <v>100</v>
      </c>
      <c r="AE41" s="36">
        <v>2</v>
      </c>
      <c r="AF41" s="36">
        <v>2</v>
      </c>
      <c r="AG41" s="35">
        <f t="shared" si="9"/>
        <v>100</v>
      </c>
      <c r="AH41" s="34">
        <v>8</v>
      </c>
      <c r="AI41" s="34">
        <v>6</v>
      </c>
      <c r="AJ41" s="35">
        <f t="shared" si="10"/>
        <v>75</v>
      </c>
      <c r="AK41" s="36">
        <v>3</v>
      </c>
      <c r="AL41" s="36">
        <v>2</v>
      </c>
      <c r="AM41" s="35">
        <f t="shared" si="11"/>
        <v>66.666666666666657</v>
      </c>
      <c r="AN41" s="34">
        <v>4</v>
      </c>
      <c r="AO41" s="34">
        <v>4</v>
      </c>
      <c r="AP41" s="35">
        <f t="shared" si="12"/>
        <v>100</v>
      </c>
      <c r="AQ41" s="36">
        <v>2</v>
      </c>
      <c r="AR41" s="36">
        <v>2</v>
      </c>
      <c r="AS41" s="35">
        <f t="shared" si="13"/>
        <v>100</v>
      </c>
      <c r="AT41" s="10">
        <f t="shared" si="14"/>
        <v>40</v>
      </c>
      <c r="AU41" s="10">
        <f t="shared" si="14"/>
        <v>30</v>
      </c>
      <c r="AV41" s="26">
        <f t="shared" si="15"/>
        <v>75</v>
      </c>
      <c r="AW41" s="10">
        <f t="shared" si="16"/>
        <v>27</v>
      </c>
      <c r="AX41" s="10">
        <f t="shared" si="16"/>
        <v>17</v>
      </c>
      <c r="AY41" s="26">
        <f t="shared" si="17"/>
        <v>62.962962962962962</v>
      </c>
      <c r="AZ41" s="10">
        <f t="shared" si="18"/>
        <v>67</v>
      </c>
      <c r="BA41" s="10">
        <f t="shared" si="18"/>
        <v>47</v>
      </c>
      <c r="BB41" s="27">
        <f t="shared" si="19"/>
        <v>70.149253731343293</v>
      </c>
    </row>
    <row r="42" spans="1:54" ht="14.25" customHeight="1">
      <c r="A42" s="31">
        <v>36</v>
      </c>
      <c r="B42" s="32">
        <v>1230321033</v>
      </c>
      <c r="C42" s="33" t="s">
        <v>58</v>
      </c>
      <c r="D42" s="34">
        <v>4</v>
      </c>
      <c r="E42" s="34">
        <v>2</v>
      </c>
      <c r="F42" s="35">
        <f t="shared" si="0"/>
        <v>50</v>
      </c>
      <c r="G42" s="34">
        <v>4</v>
      </c>
      <c r="H42" s="36">
        <v>2</v>
      </c>
      <c r="I42" s="35">
        <f t="shared" si="1"/>
        <v>50</v>
      </c>
      <c r="J42" s="34">
        <v>10</v>
      </c>
      <c r="K42" s="36">
        <v>9</v>
      </c>
      <c r="L42" s="35">
        <f t="shared" si="2"/>
        <v>90</v>
      </c>
      <c r="M42" s="36">
        <v>9</v>
      </c>
      <c r="N42" s="36">
        <v>4</v>
      </c>
      <c r="O42" s="35">
        <f t="shared" si="3"/>
        <v>44.444444444444443</v>
      </c>
      <c r="P42" s="34">
        <v>9</v>
      </c>
      <c r="Q42" s="34">
        <v>8</v>
      </c>
      <c r="R42" s="35">
        <f t="shared" si="4"/>
        <v>88.888888888888886</v>
      </c>
      <c r="S42" s="36">
        <v>3</v>
      </c>
      <c r="T42" s="36">
        <v>2</v>
      </c>
      <c r="U42" s="35">
        <f t="shared" si="5"/>
        <v>66.666666666666657</v>
      </c>
      <c r="V42" s="34">
        <v>2</v>
      </c>
      <c r="W42" s="34">
        <v>2</v>
      </c>
      <c r="X42" s="35">
        <f t="shared" si="6"/>
        <v>100</v>
      </c>
      <c r="Y42" s="36">
        <v>4</v>
      </c>
      <c r="Z42" s="36">
        <v>3</v>
      </c>
      <c r="AA42" s="35">
        <f t="shared" si="7"/>
        <v>75</v>
      </c>
      <c r="AB42" s="34">
        <v>3</v>
      </c>
      <c r="AC42" s="34">
        <v>3</v>
      </c>
      <c r="AD42" s="35">
        <f t="shared" si="8"/>
        <v>100</v>
      </c>
      <c r="AE42" s="36">
        <v>2</v>
      </c>
      <c r="AF42" s="36">
        <v>2</v>
      </c>
      <c r="AG42" s="35">
        <f t="shared" si="9"/>
        <v>100</v>
      </c>
      <c r="AH42" s="34">
        <v>8</v>
      </c>
      <c r="AI42" s="34">
        <v>6</v>
      </c>
      <c r="AJ42" s="35">
        <f t="shared" si="10"/>
        <v>75</v>
      </c>
      <c r="AK42" s="36">
        <v>3</v>
      </c>
      <c r="AL42" s="36">
        <v>2</v>
      </c>
      <c r="AM42" s="35">
        <f t="shared" si="11"/>
        <v>66.666666666666657</v>
      </c>
      <c r="AN42" s="34">
        <v>4</v>
      </c>
      <c r="AO42" s="34">
        <v>4</v>
      </c>
      <c r="AP42" s="35">
        <f t="shared" si="12"/>
        <v>100</v>
      </c>
      <c r="AQ42" s="36">
        <v>2</v>
      </c>
      <c r="AR42" s="36">
        <v>2</v>
      </c>
      <c r="AS42" s="35">
        <f t="shared" si="13"/>
        <v>100</v>
      </c>
      <c r="AT42" s="10">
        <f t="shared" si="14"/>
        <v>40</v>
      </c>
      <c r="AU42" s="10">
        <f t="shared" si="14"/>
        <v>34</v>
      </c>
      <c r="AV42" s="26">
        <f t="shared" si="15"/>
        <v>85</v>
      </c>
      <c r="AW42" s="10">
        <f t="shared" si="16"/>
        <v>27</v>
      </c>
      <c r="AX42" s="10">
        <f t="shared" si="16"/>
        <v>17</v>
      </c>
      <c r="AY42" s="26">
        <f t="shared" si="17"/>
        <v>62.962962962962962</v>
      </c>
      <c r="AZ42" s="10">
        <f t="shared" si="18"/>
        <v>67</v>
      </c>
      <c r="BA42" s="10">
        <f t="shared" si="18"/>
        <v>51</v>
      </c>
      <c r="BB42" s="27">
        <f t="shared" si="19"/>
        <v>76.119402985074629</v>
      </c>
    </row>
    <row r="43" spans="1:54" ht="14.25" customHeight="1">
      <c r="A43" s="31">
        <v>37</v>
      </c>
      <c r="B43" s="32">
        <v>1230321034</v>
      </c>
      <c r="C43" s="33" t="s">
        <v>59</v>
      </c>
      <c r="D43" s="34">
        <v>4</v>
      </c>
      <c r="E43" s="34">
        <v>2</v>
      </c>
      <c r="F43" s="35">
        <f t="shared" si="0"/>
        <v>50</v>
      </c>
      <c r="G43" s="34">
        <v>4</v>
      </c>
      <c r="H43" s="36">
        <v>2</v>
      </c>
      <c r="I43" s="35">
        <f t="shared" si="1"/>
        <v>50</v>
      </c>
      <c r="J43" s="34">
        <v>10</v>
      </c>
      <c r="K43" s="36">
        <v>9</v>
      </c>
      <c r="L43" s="35">
        <f t="shared" si="2"/>
        <v>90</v>
      </c>
      <c r="M43" s="36">
        <v>9</v>
      </c>
      <c r="N43" s="36">
        <v>4</v>
      </c>
      <c r="O43" s="35">
        <f t="shared" si="3"/>
        <v>44.444444444444443</v>
      </c>
      <c r="P43" s="34">
        <v>9</v>
      </c>
      <c r="Q43" s="34">
        <v>8</v>
      </c>
      <c r="R43" s="35">
        <f t="shared" si="4"/>
        <v>88.888888888888886</v>
      </c>
      <c r="S43" s="36">
        <v>3</v>
      </c>
      <c r="T43" s="36">
        <v>2</v>
      </c>
      <c r="U43" s="35">
        <f t="shared" si="5"/>
        <v>66.666666666666657</v>
      </c>
      <c r="V43" s="34">
        <v>2</v>
      </c>
      <c r="W43" s="34">
        <v>2</v>
      </c>
      <c r="X43" s="35">
        <f t="shared" si="6"/>
        <v>100</v>
      </c>
      <c r="Y43" s="36">
        <v>4</v>
      </c>
      <c r="Z43" s="36">
        <v>3</v>
      </c>
      <c r="AA43" s="35">
        <f t="shared" si="7"/>
        <v>75</v>
      </c>
      <c r="AB43" s="34">
        <v>3</v>
      </c>
      <c r="AC43" s="34">
        <v>2</v>
      </c>
      <c r="AD43" s="35">
        <f t="shared" si="8"/>
        <v>66.666666666666657</v>
      </c>
      <c r="AE43" s="36">
        <v>2</v>
      </c>
      <c r="AF43" s="36">
        <v>2</v>
      </c>
      <c r="AG43" s="35">
        <f t="shared" si="9"/>
        <v>100</v>
      </c>
      <c r="AH43" s="34">
        <v>8</v>
      </c>
      <c r="AI43" s="34">
        <v>6</v>
      </c>
      <c r="AJ43" s="35">
        <f t="shared" si="10"/>
        <v>75</v>
      </c>
      <c r="AK43" s="36">
        <v>3</v>
      </c>
      <c r="AL43" s="36">
        <v>2</v>
      </c>
      <c r="AM43" s="35">
        <f t="shared" si="11"/>
        <v>66.666666666666657</v>
      </c>
      <c r="AN43" s="34">
        <v>4</v>
      </c>
      <c r="AO43" s="34">
        <v>4</v>
      </c>
      <c r="AP43" s="35">
        <f t="shared" si="12"/>
        <v>100</v>
      </c>
      <c r="AQ43" s="36">
        <v>2</v>
      </c>
      <c r="AR43" s="36">
        <v>2</v>
      </c>
      <c r="AS43" s="35">
        <f t="shared" si="13"/>
        <v>100</v>
      </c>
      <c r="AT43" s="10">
        <f t="shared" si="14"/>
        <v>40</v>
      </c>
      <c r="AU43" s="10">
        <f t="shared" si="14"/>
        <v>33</v>
      </c>
      <c r="AV43" s="26">
        <f t="shared" si="15"/>
        <v>82.5</v>
      </c>
      <c r="AW43" s="10">
        <f t="shared" si="16"/>
        <v>27</v>
      </c>
      <c r="AX43" s="10">
        <f t="shared" si="16"/>
        <v>17</v>
      </c>
      <c r="AY43" s="26">
        <f t="shared" si="17"/>
        <v>62.962962962962962</v>
      </c>
      <c r="AZ43" s="10">
        <f t="shared" si="18"/>
        <v>67</v>
      </c>
      <c r="BA43" s="10">
        <f t="shared" si="18"/>
        <v>50</v>
      </c>
      <c r="BB43" s="27">
        <f t="shared" si="19"/>
        <v>74.626865671641795</v>
      </c>
    </row>
    <row r="44" spans="1:54" ht="14.25" customHeight="1">
      <c r="A44" s="31">
        <v>38</v>
      </c>
      <c r="B44" s="32">
        <v>1230321035</v>
      </c>
      <c r="C44" s="33" t="s">
        <v>60</v>
      </c>
      <c r="D44" s="34">
        <v>4</v>
      </c>
      <c r="E44" s="34">
        <v>2</v>
      </c>
      <c r="F44" s="35">
        <f t="shared" si="0"/>
        <v>50</v>
      </c>
      <c r="G44" s="34">
        <v>4</v>
      </c>
      <c r="H44" s="36">
        <v>2</v>
      </c>
      <c r="I44" s="35">
        <f t="shared" si="1"/>
        <v>50</v>
      </c>
      <c r="J44" s="34">
        <v>10</v>
      </c>
      <c r="K44" s="36">
        <v>8</v>
      </c>
      <c r="L44" s="35">
        <f t="shared" si="2"/>
        <v>80</v>
      </c>
      <c r="M44" s="36">
        <v>9</v>
      </c>
      <c r="N44" s="36">
        <v>4</v>
      </c>
      <c r="O44" s="35">
        <f t="shared" si="3"/>
        <v>44.444444444444443</v>
      </c>
      <c r="P44" s="34">
        <v>9</v>
      </c>
      <c r="Q44" s="34">
        <v>8</v>
      </c>
      <c r="R44" s="35">
        <f t="shared" si="4"/>
        <v>88.888888888888886</v>
      </c>
      <c r="S44" s="36">
        <v>3</v>
      </c>
      <c r="T44" s="36">
        <v>2</v>
      </c>
      <c r="U44" s="35">
        <f t="shared" si="5"/>
        <v>66.666666666666657</v>
      </c>
      <c r="V44" s="34">
        <v>2</v>
      </c>
      <c r="W44" s="34">
        <v>2</v>
      </c>
      <c r="X44" s="35">
        <f t="shared" si="6"/>
        <v>100</v>
      </c>
      <c r="Y44" s="36">
        <v>4</v>
      </c>
      <c r="Z44" s="36">
        <v>3</v>
      </c>
      <c r="AA44" s="35">
        <f t="shared" si="7"/>
        <v>75</v>
      </c>
      <c r="AB44" s="34">
        <v>3</v>
      </c>
      <c r="AC44" s="34">
        <v>2</v>
      </c>
      <c r="AD44" s="35">
        <f t="shared" si="8"/>
        <v>66.666666666666657</v>
      </c>
      <c r="AE44" s="36">
        <v>2</v>
      </c>
      <c r="AF44" s="36">
        <v>2</v>
      </c>
      <c r="AG44" s="35">
        <f t="shared" si="9"/>
        <v>100</v>
      </c>
      <c r="AH44" s="34">
        <v>8</v>
      </c>
      <c r="AI44" s="34">
        <v>6</v>
      </c>
      <c r="AJ44" s="35">
        <f t="shared" si="10"/>
        <v>75</v>
      </c>
      <c r="AK44" s="36">
        <v>3</v>
      </c>
      <c r="AL44" s="36">
        <v>2</v>
      </c>
      <c r="AM44" s="35">
        <f t="shared" si="11"/>
        <v>66.666666666666657</v>
      </c>
      <c r="AN44" s="34">
        <v>4</v>
      </c>
      <c r="AO44" s="34">
        <v>4</v>
      </c>
      <c r="AP44" s="35">
        <f t="shared" si="12"/>
        <v>100</v>
      </c>
      <c r="AQ44" s="36">
        <v>2</v>
      </c>
      <c r="AR44" s="36">
        <v>2</v>
      </c>
      <c r="AS44" s="35">
        <f t="shared" si="13"/>
        <v>100</v>
      </c>
      <c r="AT44" s="10">
        <f t="shared" si="14"/>
        <v>40</v>
      </c>
      <c r="AU44" s="10">
        <f t="shared" si="14"/>
        <v>32</v>
      </c>
      <c r="AV44" s="26">
        <f t="shared" si="15"/>
        <v>80</v>
      </c>
      <c r="AW44" s="10">
        <f t="shared" si="16"/>
        <v>27</v>
      </c>
      <c r="AX44" s="10">
        <f t="shared" si="16"/>
        <v>17</v>
      </c>
      <c r="AY44" s="26">
        <f t="shared" si="17"/>
        <v>62.962962962962962</v>
      </c>
      <c r="AZ44" s="10">
        <f t="shared" si="18"/>
        <v>67</v>
      </c>
      <c r="BA44" s="10">
        <f t="shared" si="18"/>
        <v>49</v>
      </c>
      <c r="BB44" s="27">
        <f t="shared" si="19"/>
        <v>73.134328358208961</v>
      </c>
    </row>
    <row r="45" spans="1:54" ht="14.25" customHeight="1">
      <c r="A45" s="31">
        <v>39</v>
      </c>
      <c r="B45" s="32">
        <v>1230321036</v>
      </c>
      <c r="C45" s="33" t="s">
        <v>61</v>
      </c>
      <c r="D45" s="34">
        <v>4</v>
      </c>
      <c r="E45" s="34">
        <v>2</v>
      </c>
      <c r="F45" s="35">
        <f t="shared" si="0"/>
        <v>50</v>
      </c>
      <c r="G45" s="34">
        <v>4</v>
      </c>
      <c r="H45" s="36">
        <v>2</v>
      </c>
      <c r="I45" s="35">
        <f t="shared" si="1"/>
        <v>50</v>
      </c>
      <c r="J45" s="34">
        <v>10</v>
      </c>
      <c r="K45" s="36">
        <v>9</v>
      </c>
      <c r="L45" s="35">
        <f t="shared" si="2"/>
        <v>90</v>
      </c>
      <c r="M45" s="36">
        <v>9</v>
      </c>
      <c r="N45" s="36">
        <v>4</v>
      </c>
      <c r="O45" s="35">
        <f t="shared" si="3"/>
        <v>44.444444444444443</v>
      </c>
      <c r="P45" s="34">
        <v>9</v>
      </c>
      <c r="Q45" s="34">
        <v>8</v>
      </c>
      <c r="R45" s="35">
        <f t="shared" si="4"/>
        <v>88.888888888888886</v>
      </c>
      <c r="S45" s="36">
        <v>3</v>
      </c>
      <c r="T45" s="36">
        <v>2</v>
      </c>
      <c r="U45" s="35">
        <f t="shared" si="5"/>
        <v>66.666666666666657</v>
      </c>
      <c r="V45" s="34">
        <v>2</v>
      </c>
      <c r="W45" s="34">
        <v>2</v>
      </c>
      <c r="X45" s="35">
        <f t="shared" si="6"/>
        <v>100</v>
      </c>
      <c r="Y45" s="36">
        <v>4</v>
      </c>
      <c r="Z45" s="36">
        <v>3</v>
      </c>
      <c r="AA45" s="35">
        <f t="shared" si="7"/>
        <v>75</v>
      </c>
      <c r="AB45" s="34">
        <v>3</v>
      </c>
      <c r="AC45" s="34">
        <v>2</v>
      </c>
      <c r="AD45" s="35">
        <f t="shared" si="8"/>
        <v>66.666666666666657</v>
      </c>
      <c r="AE45" s="36">
        <v>2</v>
      </c>
      <c r="AF45" s="36">
        <v>2</v>
      </c>
      <c r="AG45" s="35">
        <f t="shared" si="9"/>
        <v>100</v>
      </c>
      <c r="AH45" s="34">
        <v>8</v>
      </c>
      <c r="AI45" s="34">
        <v>6</v>
      </c>
      <c r="AJ45" s="35">
        <f t="shared" si="10"/>
        <v>75</v>
      </c>
      <c r="AK45" s="36">
        <v>3</v>
      </c>
      <c r="AL45" s="36">
        <v>2</v>
      </c>
      <c r="AM45" s="35">
        <f t="shared" si="11"/>
        <v>66.666666666666657</v>
      </c>
      <c r="AN45" s="34">
        <v>4</v>
      </c>
      <c r="AO45" s="34">
        <v>4</v>
      </c>
      <c r="AP45" s="35">
        <f t="shared" si="12"/>
        <v>100</v>
      </c>
      <c r="AQ45" s="36">
        <v>2</v>
      </c>
      <c r="AR45" s="36">
        <v>2</v>
      </c>
      <c r="AS45" s="35">
        <f t="shared" si="13"/>
        <v>100</v>
      </c>
      <c r="AT45" s="10">
        <f t="shared" si="14"/>
        <v>40</v>
      </c>
      <c r="AU45" s="10">
        <f t="shared" si="14"/>
        <v>33</v>
      </c>
      <c r="AV45" s="26">
        <f t="shared" si="15"/>
        <v>82.5</v>
      </c>
      <c r="AW45" s="10">
        <f t="shared" si="16"/>
        <v>27</v>
      </c>
      <c r="AX45" s="10">
        <f t="shared" si="16"/>
        <v>17</v>
      </c>
      <c r="AY45" s="26">
        <f t="shared" si="17"/>
        <v>62.962962962962962</v>
      </c>
      <c r="AZ45" s="10">
        <f t="shared" si="18"/>
        <v>67</v>
      </c>
      <c r="BA45" s="10">
        <f t="shared" si="18"/>
        <v>50</v>
      </c>
      <c r="BB45" s="27">
        <f t="shared" si="19"/>
        <v>74.626865671641795</v>
      </c>
    </row>
    <row r="46" spans="1:54" ht="14.25" customHeight="1">
      <c r="A46" s="31">
        <v>40</v>
      </c>
      <c r="B46" s="32">
        <v>1230321037</v>
      </c>
      <c r="C46" s="33" t="s">
        <v>62</v>
      </c>
      <c r="D46" s="34">
        <v>4</v>
      </c>
      <c r="E46" s="34">
        <v>2</v>
      </c>
      <c r="F46" s="35">
        <f t="shared" si="0"/>
        <v>50</v>
      </c>
      <c r="G46" s="34">
        <v>4</v>
      </c>
      <c r="H46" s="36">
        <v>2</v>
      </c>
      <c r="I46" s="35">
        <f t="shared" si="1"/>
        <v>50</v>
      </c>
      <c r="J46" s="34">
        <v>10</v>
      </c>
      <c r="K46" s="36">
        <v>8</v>
      </c>
      <c r="L46" s="35">
        <f t="shared" si="2"/>
        <v>80</v>
      </c>
      <c r="M46" s="36">
        <v>9</v>
      </c>
      <c r="N46" s="36">
        <v>4</v>
      </c>
      <c r="O46" s="35">
        <f t="shared" si="3"/>
        <v>44.444444444444443</v>
      </c>
      <c r="P46" s="34">
        <v>9</v>
      </c>
      <c r="Q46" s="34">
        <v>8</v>
      </c>
      <c r="R46" s="35">
        <f t="shared" si="4"/>
        <v>88.888888888888886</v>
      </c>
      <c r="S46" s="36">
        <v>3</v>
      </c>
      <c r="T46" s="36">
        <v>2</v>
      </c>
      <c r="U46" s="35">
        <f t="shared" si="5"/>
        <v>66.666666666666657</v>
      </c>
      <c r="V46" s="34">
        <v>2</v>
      </c>
      <c r="W46" s="34">
        <v>2</v>
      </c>
      <c r="X46" s="35">
        <f t="shared" si="6"/>
        <v>100</v>
      </c>
      <c r="Y46" s="36">
        <v>4</v>
      </c>
      <c r="Z46" s="36">
        <v>3</v>
      </c>
      <c r="AA46" s="35">
        <f t="shared" si="7"/>
        <v>75</v>
      </c>
      <c r="AB46" s="34">
        <v>3</v>
      </c>
      <c r="AC46" s="34">
        <v>2</v>
      </c>
      <c r="AD46" s="35">
        <f t="shared" si="8"/>
        <v>66.666666666666657</v>
      </c>
      <c r="AE46" s="36">
        <v>2</v>
      </c>
      <c r="AF46" s="36">
        <v>2</v>
      </c>
      <c r="AG46" s="35">
        <f t="shared" si="9"/>
        <v>100</v>
      </c>
      <c r="AH46" s="34">
        <v>8</v>
      </c>
      <c r="AI46" s="34">
        <v>6</v>
      </c>
      <c r="AJ46" s="35">
        <f t="shared" si="10"/>
        <v>75</v>
      </c>
      <c r="AK46" s="36">
        <v>3</v>
      </c>
      <c r="AL46" s="36">
        <v>2</v>
      </c>
      <c r="AM46" s="35">
        <f t="shared" si="11"/>
        <v>66.666666666666657</v>
      </c>
      <c r="AN46" s="34">
        <v>4</v>
      </c>
      <c r="AO46" s="34">
        <v>4</v>
      </c>
      <c r="AP46" s="35">
        <f t="shared" si="12"/>
        <v>100</v>
      </c>
      <c r="AQ46" s="36">
        <v>2</v>
      </c>
      <c r="AR46" s="36">
        <v>2</v>
      </c>
      <c r="AS46" s="35">
        <f t="shared" si="13"/>
        <v>100</v>
      </c>
      <c r="AT46" s="10">
        <f t="shared" si="14"/>
        <v>40</v>
      </c>
      <c r="AU46" s="10">
        <f t="shared" si="14"/>
        <v>32</v>
      </c>
      <c r="AV46" s="26">
        <f t="shared" si="15"/>
        <v>80</v>
      </c>
      <c r="AW46" s="10">
        <f t="shared" si="16"/>
        <v>27</v>
      </c>
      <c r="AX46" s="10">
        <f t="shared" si="16"/>
        <v>17</v>
      </c>
      <c r="AY46" s="26">
        <f t="shared" si="17"/>
        <v>62.962962962962962</v>
      </c>
      <c r="AZ46" s="10">
        <f t="shared" si="18"/>
        <v>67</v>
      </c>
      <c r="BA46" s="10">
        <f t="shared" si="18"/>
        <v>49</v>
      </c>
      <c r="BB46" s="27">
        <f t="shared" si="19"/>
        <v>73.134328358208961</v>
      </c>
    </row>
    <row r="47" spans="1:54" ht="14.25" customHeight="1">
      <c r="A47" s="31">
        <v>41</v>
      </c>
      <c r="B47" s="32">
        <v>1230321038</v>
      </c>
      <c r="C47" s="33" t="s">
        <v>63</v>
      </c>
      <c r="D47" s="34">
        <v>4</v>
      </c>
      <c r="E47" s="34">
        <v>2</v>
      </c>
      <c r="F47" s="35">
        <f t="shared" si="0"/>
        <v>50</v>
      </c>
      <c r="G47" s="34">
        <v>4</v>
      </c>
      <c r="H47" s="36">
        <v>2</v>
      </c>
      <c r="I47" s="35">
        <f t="shared" si="1"/>
        <v>50</v>
      </c>
      <c r="J47" s="34">
        <v>10</v>
      </c>
      <c r="K47" s="36">
        <v>7</v>
      </c>
      <c r="L47" s="35">
        <f t="shared" si="2"/>
        <v>70</v>
      </c>
      <c r="M47" s="36">
        <v>9</v>
      </c>
      <c r="N47" s="36">
        <v>4</v>
      </c>
      <c r="O47" s="35">
        <f t="shared" si="3"/>
        <v>44.444444444444443</v>
      </c>
      <c r="P47" s="34">
        <v>9</v>
      </c>
      <c r="Q47" s="34">
        <v>8</v>
      </c>
      <c r="R47" s="35">
        <f t="shared" si="4"/>
        <v>88.888888888888886</v>
      </c>
      <c r="S47" s="36">
        <v>3</v>
      </c>
      <c r="T47" s="36">
        <v>2</v>
      </c>
      <c r="U47" s="35">
        <f t="shared" si="5"/>
        <v>66.666666666666657</v>
      </c>
      <c r="V47" s="34">
        <v>2</v>
      </c>
      <c r="W47" s="34">
        <v>2</v>
      </c>
      <c r="X47" s="35">
        <f t="shared" si="6"/>
        <v>100</v>
      </c>
      <c r="Y47" s="36">
        <v>4</v>
      </c>
      <c r="Z47" s="36">
        <v>3</v>
      </c>
      <c r="AA47" s="35">
        <f t="shared" si="7"/>
        <v>75</v>
      </c>
      <c r="AB47" s="34">
        <v>3</v>
      </c>
      <c r="AC47" s="34">
        <v>2</v>
      </c>
      <c r="AD47" s="35">
        <f t="shared" si="8"/>
        <v>66.666666666666657</v>
      </c>
      <c r="AE47" s="36">
        <v>2</v>
      </c>
      <c r="AF47" s="36">
        <v>2</v>
      </c>
      <c r="AG47" s="35">
        <f t="shared" si="9"/>
        <v>100</v>
      </c>
      <c r="AH47" s="34">
        <v>8</v>
      </c>
      <c r="AI47" s="34">
        <v>6</v>
      </c>
      <c r="AJ47" s="35">
        <f t="shared" si="10"/>
        <v>75</v>
      </c>
      <c r="AK47" s="36">
        <v>3</v>
      </c>
      <c r="AL47" s="36">
        <v>2</v>
      </c>
      <c r="AM47" s="35">
        <f t="shared" si="11"/>
        <v>66.666666666666657</v>
      </c>
      <c r="AN47" s="34">
        <v>4</v>
      </c>
      <c r="AO47" s="34">
        <v>4</v>
      </c>
      <c r="AP47" s="35">
        <f t="shared" si="12"/>
        <v>100</v>
      </c>
      <c r="AQ47" s="36">
        <v>2</v>
      </c>
      <c r="AR47" s="36">
        <v>2</v>
      </c>
      <c r="AS47" s="35">
        <f t="shared" si="13"/>
        <v>100</v>
      </c>
      <c r="AT47" s="10">
        <f t="shared" si="14"/>
        <v>40</v>
      </c>
      <c r="AU47" s="10">
        <f t="shared" si="14"/>
        <v>31</v>
      </c>
      <c r="AV47" s="26">
        <f t="shared" si="15"/>
        <v>77.5</v>
      </c>
      <c r="AW47" s="10">
        <f t="shared" si="16"/>
        <v>27</v>
      </c>
      <c r="AX47" s="10">
        <f t="shared" si="16"/>
        <v>17</v>
      </c>
      <c r="AY47" s="26">
        <f t="shared" si="17"/>
        <v>62.962962962962962</v>
      </c>
      <c r="AZ47" s="10">
        <f t="shared" si="18"/>
        <v>67</v>
      </c>
      <c r="BA47" s="10">
        <f t="shared" si="18"/>
        <v>48</v>
      </c>
      <c r="BB47" s="27">
        <f t="shared" si="19"/>
        <v>71.641791044776113</v>
      </c>
    </row>
    <row r="48" spans="1:54" ht="14.25" customHeight="1">
      <c r="A48" s="31">
        <v>42</v>
      </c>
      <c r="B48" s="32">
        <v>1230321039</v>
      </c>
      <c r="C48" s="33" t="s">
        <v>64</v>
      </c>
      <c r="D48" s="34">
        <v>4</v>
      </c>
      <c r="E48" s="34">
        <v>2</v>
      </c>
      <c r="F48" s="35">
        <f t="shared" si="0"/>
        <v>50</v>
      </c>
      <c r="G48" s="34">
        <v>4</v>
      </c>
      <c r="H48" s="36">
        <v>2</v>
      </c>
      <c r="I48" s="35">
        <f t="shared" si="1"/>
        <v>50</v>
      </c>
      <c r="J48" s="34">
        <v>10</v>
      </c>
      <c r="K48" s="36">
        <v>7</v>
      </c>
      <c r="L48" s="35">
        <f t="shared" si="2"/>
        <v>70</v>
      </c>
      <c r="M48" s="36">
        <v>9</v>
      </c>
      <c r="N48" s="36">
        <v>4</v>
      </c>
      <c r="O48" s="35">
        <f t="shared" si="3"/>
        <v>44.444444444444443</v>
      </c>
      <c r="P48" s="34">
        <v>9</v>
      </c>
      <c r="Q48" s="34">
        <v>8</v>
      </c>
      <c r="R48" s="35">
        <f t="shared" si="4"/>
        <v>88.888888888888886</v>
      </c>
      <c r="S48" s="36">
        <v>3</v>
      </c>
      <c r="T48" s="36">
        <v>2</v>
      </c>
      <c r="U48" s="35">
        <f t="shared" si="5"/>
        <v>66.666666666666657</v>
      </c>
      <c r="V48" s="34">
        <v>2</v>
      </c>
      <c r="W48" s="34">
        <v>2</v>
      </c>
      <c r="X48" s="35">
        <f t="shared" si="6"/>
        <v>100</v>
      </c>
      <c r="Y48" s="36">
        <v>4</v>
      </c>
      <c r="Z48" s="36">
        <v>3</v>
      </c>
      <c r="AA48" s="35">
        <f t="shared" si="7"/>
        <v>75</v>
      </c>
      <c r="AB48" s="34">
        <v>3</v>
      </c>
      <c r="AC48" s="34">
        <v>2</v>
      </c>
      <c r="AD48" s="35">
        <f t="shared" si="8"/>
        <v>66.666666666666657</v>
      </c>
      <c r="AE48" s="36">
        <v>2</v>
      </c>
      <c r="AF48" s="36">
        <v>2</v>
      </c>
      <c r="AG48" s="35">
        <f t="shared" si="9"/>
        <v>100</v>
      </c>
      <c r="AH48" s="34">
        <v>8</v>
      </c>
      <c r="AI48" s="34">
        <v>6</v>
      </c>
      <c r="AJ48" s="35">
        <f t="shared" si="10"/>
        <v>75</v>
      </c>
      <c r="AK48" s="36">
        <v>3</v>
      </c>
      <c r="AL48" s="36">
        <v>2</v>
      </c>
      <c r="AM48" s="35">
        <f t="shared" si="11"/>
        <v>66.666666666666657</v>
      </c>
      <c r="AN48" s="34">
        <v>4</v>
      </c>
      <c r="AO48" s="34">
        <v>4</v>
      </c>
      <c r="AP48" s="35">
        <f t="shared" si="12"/>
        <v>100</v>
      </c>
      <c r="AQ48" s="36">
        <v>2</v>
      </c>
      <c r="AR48" s="36">
        <v>2</v>
      </c>
      <c r="AS48" s="35">
        <f t="shared" si="13"/>
        <v>100</v>
      </c>
      <c r="AT48" s="10">
        <f t="shared" si="14"/>
        <v>40</v>
      </c>
      <c r="AU48" s="10">
        <f t="shared" si="14"/>
        <v>31</v>
      </c>
      <c r="AV48" s="26">
        <f t="shared" si="15"/>
        <v>77.5</v>
      </c>
      <c r="AW48" s="10">
        <f t="shared" si="16"/>
        <v>27</v>
      </c>
      <c r="AX48" s="10">
        <f t="shared" si="16"/>
        <v>17</v>
      </c>
      <c r="AY48" s="26">
        <f t="shared" si="17"/>
        <v>62.962962962962962</v>
      </c>
      <c r="AZ48" s="10">
        <f t="shared" si="18"/>
        <v>67</v>
      </c>
      <c r="BA48" s="10">
        <f t="shared" si="18"/>
        <v>48</v>
      </c>
      <c r="BB48" s="27">
        <f t="shared" si="19"/>
        <v>71.641791044776113</v>
      </c>
    </row>
    <row r="49" spans="1:54" ht="14.25" customHeight="1">
      <c r="A49" s="31">
        <v>43</v>
      </c>
      <c r="B49" s="32">
        <v>1230321040</v>
      </c>
      <c r="C49" s="33" t="s">
        <v>65</v>
      </c>
      <c r="D49" s="34">
        <v>4</v>
      </c>
      <c r="E49" s="34">
        <v>2</v>
      </c>
      <c r="F49" s="35">
        <f t="shared" si="0"/>
        <v>50</v>
      </c>
      <c r="G49" s="34">
        <v>4</v>
      </c>
      <c r="H49" s="36">
        <v>2</v>
      </c>
      <c r="I49" s="35">
        <f t="shared" si="1"/>
        <v>50</v>
      </c>
      <c r="J49" s="34">
        <v>10</v>
      </c>
      <c r="K49" s="36">
        <v>8</v>
      </c>
      <c r="L49" s="35">
        <f t="shared" si="2"/>
        <v>80</v>
      </c>
      <c r="M49" s="36">
        <v>9</v>
      </c>
      <c r="N49" s="36">
        <v>4</v>
      </c>
      <c r="O49" s="35">
        <f t="shared" si="3"/>
        <v>44.444444444444443</v>
      </c>
      <c r="P49" s="34">
        <v>9</v>
      </c>
      <c r="Q49" s="34">
        <v>8</v>
      </c>
      <c r="R49" s="35">
        <f t="shared" si="4"/>
        <v>88.888888888888886</v>
      </c>
      <c r="S49" s="36">
        <v>3</v>
      </c>
      <c r="T49" s="36">
        <v>2</v>
      </c>
      <c r="U49" s="35">
        <f t="shared" si="5"/>
        <v>66.666666666666657</v>
      </c>
      <c r="V49" s="34">
        <v>2</v>
      </c>
      <c r="W49" s="34">
        <v>2</v>
      </c>
      <c r="X49" s="35">
        <f t="shared" si="6"/>
        <v>100</v>
      </c>
      <c r="Y49" s="36">
        <v>4</v>
      </c>
      <c r="Z49" s="36">
        <v>3</v>
      </c>
      <c r="AA49" s="35">
        <f t="shared" si="7"/>
        <v>75</v>
      </c>
      <c r="AB49" s="34">
        <v>3</v>
      </c>
      <c r="AC49" s="34">
        <v>2</v>
      </c>
      <c r="AD49" s="35">
        <f t="shared" si="8"/>
        <v>66.666666666666657</v>
      </c>
      <c r="AE49" s="36">
        <v>2</v>
      </c>
      <c r="AF49" s="36">
        <v>2</v>
      </c>
      <c r="AG49" s="35">
        <f t="shared" si="9"/>
        <v>100</v>
      </c>
      <c r="AH49" s="34">
        <v>8</v>
      </c>
      <c r="AI49" s="34">
        <v>6</v>
      </c>
      <c r="AJ49" s="35">
        <f t="shared" si="10"/>
        <v>75</v>
      </c>
      <c r="AK49" s="36">
        <v>3</v>
      </c>
      <c r="AL49" s="36">
        <v>2</v>
      </c>
      <c r="AM49" s="35">
        <f t="shared" si="11"/>
        <v>66.666666666666657</v>
      </c>
      <c r="AN49" s="34">
        <v>4</v>
      </c>
      <c r="AO49" s="34">
        <v>4</v>
      </c>
      <c r="AP49" s="35">
        <f t="shared" si="12"/>
        <v>100</v>
      </c>
      <c r="AQ49" s="36">
        <v>2</v>
      </c>
      <c r="AR49" s="36">
        <v>2</v>
      </c>
      <c r="AS49" s="35">
        <f t="shared" si="13"/>
        <v>100</v>
      </c>
      <c r="AT49" s="10">
        <f t="shared" si="14"/>
        <v>40</v>
      </c>
      <c r="AU49" s="10">
        <f t="shared" si="14"/>
        <v>32</v>
      </c>
      <c r="AV49" s="26">
        <f t="shared" si="15"/>
        <v>80</v>
      </c>
      <c r="AW49" s="10">
        <f t="shared" si="16"/>
        <v>27</v>
      </c>
      <c r="AX49" s="10">
        <f t="shared" si="16"/>
        <v>17</v>
      </c>
      <c r="AY49" s="26">
        <f t="shared" si="17"/>
        <v>62.962962962962962</v>
      </c>
      <c r="AZ49" s="10">
        <f t="shared" si="18"/>
        <v>67</v>
      </c>
      <c r="BA49" s="10">
        <f t="shared" si="18"/>
        <v>49</v>
      </c>
      <c r="BB49" s="27">
        <f t="shared" si="19"/>
        <v>73.134328358208961</v>
      </c>
    </row>
    <row r="50" spans="1:54" ht="14.25" customHeight="1">
      <c r="A50" s="31">
        <v>44</v>
      </c>
      <c r="B50" s="32">
        <v>1230321041</v>
      </c>
      <c r="C50" s="33" t="s">
        <v>66</v>
      </c>
      <c r="D50" s="34">
        <v>4</v>
      </c>
      <c r="E50" s="36">
        <v>2</v>
      </c>
      <c r="F50" s="35">
        <f t="shared" si="0"/>
        <v>50</v>
      </c>
      <c r="G50" s="34">
        <v>4</v>
      </c>
      <c r="H50" s="36">
        <v>2</v>
      </c>
      <c r="I50" s="35">
        <f t="shared" si="1"/>
        <v>50</v>
      </c>
      <c r="J50" s="34">
        <v>10</v>
      </c>
      <c r="K50" s="36">
        <v>9</v>
      </c>
      <c r="L50" s="35">
        <f t="shared" si="2"/>
        <v>90</v>
      </c>
      <c r="M50" s="36">
        <v>9</v>
      </c>
      <c r="N50" s="36">
        <v>4</v>
      </c>
      <c r="O50" s="35">
        <f t="shared" si="3"/>
        <v>44.444444444444443</v>
      </c>
      <c r="P50" s="34">
        <v>9</v>
      </c>
      <c r="Q50" s="34">
        <v>8</v>
      </c>
      <c r="R50" s="35">
        <f t="shared" si="4"/>
        <v>88.888888888888886</v>
      </c>
      <c r="S50" s="36">
        <v>3</v>
      </c>
      <c r="T50" s="36">
        <v>2</v>
      </c>
      <c r="U50" s="35">
        <f t="shared" si="5"/>
        <v>66.666666666666657</v>
      </c>
      <c r="V50" s="34">
        <v>2</v>
      </c>
      <c r="W50" s="34">
        <v>2</v>
      </c>
      <c r="X50" s="35">
        <f t="shared" si="6"/>
        <v>100</v>
      </c>
      <c r="Y50" s="36">
        <v>4</v>
      </c>
      <c r="Z50" s="36">
        <v>3</v>
      </c>
      <c r="AA50" s="35">
        <f t="shared" si="7"/>
        <v>75</v>
      </c>
      <c r="AB50" s="34">
        <v>3</v>
      </c>
      <c r="AC50" s="34">
        <v>2</v>
      </c>
      <c r="AD50" s="35">
        <f t="shared" si="8"/>
        <v>66.666666666666657</v>
      </c>
      <c r="AE50" s="36">
        <v>2</v>
      </c>
      <c r="AF50" s="36">
        <v>2</v>
      </c>
      <c r="AG50" s="35">
        <f t="shared" si="9"/>
        <v>100</v>
      </c>
      <c r="AH50" s="34">
        <v>8</v>
      </c>
      <c r="AI50" s="34">
        <v>6</v>
      </c>
      <c r="AJ50" s="35">
        <f t="shared" si="10"/>
        <v>75</v>
      </c>
      <c r="AK50" s="36">
        <v>3</v>
      </c>
      <c r="AL50" s="36">
        <v>2</v>
      </c>
      <c r="AM50" s="35">
        <f t="shared" si="11"/>
        <v>66.666666666666657</v>
      </c>
      <c r="AN50" s="34">
        <v>4</v>
      </c>
      <c r="AO50" s="34">
        <v>4</v>
      </c>
      <c r="AP50" s="35">
        <f t="shared" si="12"/>
        <v>100</v>
      </c>
      <c r="AQ50" s="36">
        <v>2</v>
      </c>
      <c r="AR50" s="36">
        <v>2</v>
      </c>
      <c r="AS50" s="35">
        <f t="shared" si="13"/>
        <v>100</v>
      </c>
      <c r="AT50" s="10">
        <f t="shared" si="14"/>
        <v>40</v>
      </c>
      <c r="AU50" s="10">
        <f t="shared" si="14"/>
        <v>33</v>
      </c>
      <c r="AV50" s="26">
        <f t="shared" si="15"/>
        <v>82.5</v>
      </c>
      <c r="AW50" s="10">
        <f t="shared" si="16"/>
        <v>27</v>
      </c>
      <c r="AX50" s="10">
        <f t="shared" si="16"/>
        <v>17</v>
      </c>
      <c r="AY50" s="26">
        <f t="shared" si="17"/>
        <v>62.962962962962962</v>
      </c>
      <c r="AZ50" s="10">
        <f t="shared" si="18"/>
        <v>67</v>
      </c>
      <c r="BA50" s="10">
        <f t="shared" si="18"/>
        <v>50</v>
      </c>
      <c r="BB50" s="27">
        <f t="shared" si="19"/>
        <v>74.626865671641795</v>
      </c>
    </row>
    <row r="51" spans="1:54" ht="14.25" customHeight="1">
      <c r="A51" s="31">
        <v>45</v>
      </c>
      <c r="B51" s="32">
        <v>1230321042</v>
      </c>
      <c r="C51" s="33" t="s">
        <v>67</v>
      </c>
      <c r="D51" s="34">
        <v>4</v>
      </c>
      <c r="E51" s="36">
        <v>2</v>
      </c>
      <c r="F51" s="35">
        <f t="shared" si="0"/>
        <v>50</v>
      </c>
      <c r="G51" s="34">
        <v>4</v>
      </c>
      <c r="H51" s="36">
        <v>2</v>
      </c>
      <c r="I51" s="35">
        <f t="shared" si="1"/>
        <v>50</v>
      </c>
      <c r="J51" s="34">
        <v>10</v>
      </c>
      <c r="K51" s="36">
        <v>6</v>
      </c>
      <c r="L51" s="35">
        <f t="shared" si="2"/>
        <v>60</v>
      </c>
      <c r="M51" s="36">
        <v>9</v>
      </c>
      <c r="N51" s="36">
        <v>4</v>
      </c>
      <c r="O51" s="35">
        <f t="shared" si="3"/>
        <v>44.444444444444443</v>
      </c>
      <c r="P51" s="34">
        <v>9</v>
      </c>
      <c r="Q51" s="34">
        <v>8</v>
      </c>
      <c r="R51" s="35">
        <f t="shared" si="4"/>
        <v>88.888888888888886</v>
      </c>
      <c r="S51" s="36">
        <v>3</v>
      </c>
      <c r="T51" s="36">
        <v>2</v>
      </c>
      <c r="U51" s="35">
        <f t="shared" si="5"/>
        <v>66.666666666666657</v>
      </c>
      <c r="V51" s="34">
        <v>2</v>
      </c>
      <c r="W51" s="34">
        <v>2</v>
      </c>
      <c r="X51" s="35">
        <f t="shared" si="6"/>
        <v>100</v>
      </c>
      <c r="Y51" s="36">
        <v>4</v>
      </c>
      <c r="Z51" s="36">
        <v>3</v>
      </c>
      <c r="AA51" s="35">
        <f t="shared" si="7"/>
        <v>75</v>
      </c>
      <c r="AB51" s="34">
        <v>3</v>
      </c>
      <c r="AC51" s="34">
        <v>2</v>
      </c>
      <c r="AD51" s="35">
        <f t="shared" si="8"/>
        <v>66.666666666666657</v>
      </c>
      <c r="AE51" s="36">
        <v>2</v>
      </c>
      <c r="AF51" s="36">
        <v>2</v>
      </c>
      <c r="AG51" s="35">
        <f t="shared" si="9"/>
        <v>100</v>
      </c>
      <c r="AH51" s="34">
        <v>8</v>
      </c>
      <c r="AI51" s="34">
        <v>6</v>
      </c>
      <c r="AJ51" s="35">
        <f t="shared" si="10"/>
        <v>75</v>
      </c>
      <c r="AK51" s="36">
        <v>3</v>
      </c>
      <c r="AL51" s="36">
        <v>2</v>
      </c>
      <c r="AM51" s="35">
        <f t="shared" si="11"/>
        <v>66.666666666666657</v>
      </c>
      <c r="AN51" s="34">
        <v>4</v>
      </c>
      <c r="AO51" s="34">
        <v>4</v>
      </c>
      <c r="AP51" s="35">
        <f t="shared" si="12"/>
        <v>100</v>
      </c>
      <c r="AQ51" s="36">
        <v>2</v>
      </c>
      <c r="AR51" s="36">
        <v>2</v>
      </c>
      <c r="AS51" s="35">
        <f t="shared" si="13"/>
        <v>100</v>
      </c>
      <c r="AT51" s="10">
        <f t="shared" si="14"/>
        <v>40</v>
      </c>
      <c r="AU51" s="10">
        <f t="shared" si="14"/>
        <v>30</v>
      </c>
      <c r="AV51" s="26">
        <f t="shared" si="15"/>
        <v>75</v>
      </c>
      <c r="AW51" s="10">
        <f t="shared" si="16"/>
        <v>27</v>
      </c>
      <c r="AX51" s="10">
        <f t="shared" si="16"/>
        <v>17</v>
      </c>
      <c r="AY51" s="26">
        <f t="shared" si="17"/>
        <v>62.962962962962962</v>
      </c>
      <c r="AZ51" s="10">
        <f t="shared" si="18"/>
        <v>67</v>
      </c>
      <c r="BA51" s="10">
        <f t="shared" si="18"/>
        <v>47</v>
      </c>
      <c r="BB51" s="27">
        <f t="shared" si="19"/>
        <v>70.149253731343293</v>
      </c>
    </row>
    <row r="52" spans="1:54" ht="14.25" customHeight="1">
      <c r="A52" s="31">
        <v>46</v>
      </c>
      <c r="B52" s="32">
        <v>1230321043</v>
      </c>
      <c r="C52" s="33" t="s">
        <v>68</v>
      </c>
      <c r="D52" s="34">
        <v>4</v>
      </c>
      <c r="E52" s="36">
        <v>2</v>
      </c>
      <c r="F52" s="35">
        <f t="shared" si="0"/>
        <v>50</v>
      </c>
      <c r="G52" s="34">
        <v>4</v>
      </c>
      <c r="H52" s="36">
        <v>2</v>
      </c>
      <c r="I52" s="35">
        <f t="shared" si="1"/>
        <v>50</v>
      </c>
      <c r="J52" s="34">
        <v>10</v>
      </c>
      <c r="K52" s="36">
        <v>7</v>
      </c>
      <c r="L52" s="35">
        <f t="shared" si="2"/>
        <v>70</v>
      </c>
      <c r="M52" s="36">
        <v>9</v>
      </c>
      <c r="N52" s="36">
        <v>4</v>
      </c>
      <c r="O52" s="35">
        <f t="shared" si="3"/>
        <v>44.444444444444443</v>
      </c>
      <c r="P52" s="34">
        <v>9</v>
      </c>
      <c r="Q52" s="34">
        <v>8</v>
      </c>
      <c r="R52" s="35">
        <f t="shared" si="4"/>
        <v>88.888888888888886</v>
      </c>
      <c r="S52" s="36">
        <v>3</v>
      </c>
      <c r="T52" s="36">
        <v>2</v>
      </c>
      <c r="U52" s="35">
        <f t="shared" si="5"/>
        <v>66.666666666666657</v>
      </c>
      <c r="V52" s="34">
        <v>2</v>
      </c>
      <c r="W52" s="34">
        <v>2</v>
      </c>
      <c r="X52" s="35">
        <f t="shared" si="6"/>
        <v>100</v>
      </c>
      <c r="Y52" s="36">
        <v>4</v>
      </c>
      <c r="Z52" s="36">
        <v>3</v>
      </c>
      <c r="AA52" s="35">
        <f t="shared" si="7"/>
        <v>75</v>
      </c>
      <c r="AB52" s="34">
        <v>3</v>
      </c>
      <c r="AC52" s="34">
        <v>2</v>
      </c>
      <c r="AD52" s="35">
        <f t="shared" si="8"/>
        <v>66.666666666666657</v>
      </c>
      <c r="AE52" s="36">
        <v>2</v>
      </c>
      <c r="AF52" s="36">
        <v>2</v>
      </c>
      <c r="AG52" s="35">
        <f t="shared" si="9"/>
        <v>100</v>
      </c>
      <c r="AH52" s="34">
        <v>8</v>
      </c>
      <c r="AI52" s="34">
        <v>6</v>
      </c>
      <c r="AJ52" s="35">
        <f t="shared" si="10"/>
        <v>75</v>
      </c>
      <c r="AK52" s="36">
        <v>3</v>
      </c>
      <c r="AL52" s="36">
        <v>2</v>
      </c>
      <c r="AM52" s="35">
        <f t="shared" si="11"/>
        <v>66.666666666666657</v>
      </c>
      <c r="AN52" s="34">
        <v>4</v>
      </c>
      <c r="AO52" s="34">
        <v>4</v>
      </c>
      <c r="AP52" s="35">
        <f t="shared" si="12"/>
        <v>100</v>
      </c>
      <c r="AQ52" s="36">
        <v>2</v>
      </c>
      <c r="AR52" s="36">
        <v>2</v>
      </c>
      <c r="AS52" s="35">
        <f t="shared" si="13"/>
        <v>100</v>
      </c>
      <c r="AT52" s="10">
        <f t="shared" si="14"/>
        <v>40</v>
      </c>
      <c r="AU52" s="10">
        <f t="shared" si="14"/>
        <v>31</v>
      </c>
      <c r="AV52" s="26">
        <f t="shared" si="15"/>
        <v>77.5</v>
      </c>
      <c r="AW52" s="10">
        <f t="shared" si="16"/>
        <v>27</v>
      </c>
      <c r="AX52" s="10">
        <f t="shared" si="16"/>
        <v>17</v>
      </c>
      <c r="AY52" s="26">
        <f t="shared" si="17"/>
        <v>62.962962962962962</v>
      </c>
      <c r="AZ52" s="10">
        <f t="shared" si="18"/>
        <v>67</v>
      </c>
      <c r="BA52" s="10">
        <f t="shared" si="18"/>
        <v>48</v>
      </c>
      <c r="BB52" s="27">
        <f t="shared" si="19"/>
        <v>71.641791044776113</v>
      </c>
    </row>
    <row r="53" spans="1:54" ht="14.25" customHeight="1">
      <c r="A53" s="31">
        <v>47</v>
      </c>
      <c r="B53" s="32">
        <v>1230321044</v>
      </c>
      <c r="C53" s="33" t="s">
        <v>69</v>
      </c>
      <c r="D53" s="34">
        <v>4</v>
      </c>
      <c r="E53" s="36">
        <v>2</v>
      </c>
      <c r="F53" s="35">
        <f t="shared" si="0"/>
        <v>50</v>
      </c>
      <c r="G53" s="34">
        <v>4</v>
      </c>
      <c r="H53" s="36">
        <v>2</v>
      </c>
      <c r="I53" s="35">
        <f t="shared" si="1"/>
        <v>50</v>
      </c>
      <c r="J53" s="34">
        <v>10</v>
      </c>
      <c r="K53" s="36">
        <v>8</v>
      </c>
      <c r="L53" s="35">
        <f t="shared" si="2"/>
        <v>80</v>
      </c>
      <c r="M53" s="36">
        <v>9</v>
      </c>
      <c r="N53" s="36">
        <v>4</v>
      </c>
      <c r="O53" s="35">
        <f t="shared" si="3"/>
        <v>44.444444444444443</v>
      </c>
      <c r="P53" s="34">
        <v>9</v>
      </c>
      <c r="Q53" s="34">
        <v>8</v>
      </c>
      <c r="R53" s="35">
        <f t="shared" si="4"/>
        <v>88.888888888888886</v>
      </c>
      <c r="S53" s="36">
        <v>3</v>
      </c>
      <c r="T53" s="36">
        <v>2</v>
      </c>
      <c r="U53" s="35">
        <f t="shared" si="5"/>
        <v>66.666666666666657</v>
      </c>
      <c r="V53" s="34">
        <v>2</v>
      </c>
      <c r="W53" s="34">
        <v>2</v>
      </c>
      <c r="X53" s="35">
        <f t="shared" si="6"/>
        <v>100</v>
      </c>
      <c r="Y53" s="36">
        <v>4</v>
      </c>
      <c r="Z53" s="36">
        <v>3</v>
      </c>
      <c r="AA53" s="35">
        <f t="shared" si="7"/>
        <v>75</v>
      </c>
      <c r="AB53" s="34">
        <v>3</v>
      </c>
      <c r="AC53" s="34">
        <v>2</v>
      </c>
      <c r="AD53" s="35">
        <f t="shared" si="8"/>
        <v>66.666666666666657</v>
      </c>
      <c r="AE53" s="36">
        <v>2</v>
      </c>
      <c r="AF53" s="36">
        <v>2</v>
      </c>
      <c r="AG53" s="35">
        <f t="shared" si="9"/>
        <v>100</v>
      </c>
      <c r="AH53" s="34">
        <v>8</v>
      </c>
      <c r="AI53" s="34">
        <v>6</v>
      </c>
      <c r="AJ53" s="35">
        <f t="shared" si="10"/>
        <v>75</v>
      </c>
      <c r="AK53" s="36">
        <v>3</v>
      </c>
      <c r="AL53" s="36">
        <v>2</v>
      </c>
      <c r="AM53" s="35">
        <f t="shared" si="11"/>
        <v>66.666666666666657</v>
      </c>
      <c r="AN53" s="34">
        <v>4</v>
      </c>
      <c r="AO53" s="34">
        <v>4</v>
      </c>
      <c r="AP53" s="35">
        <f t="shared" si="12"/>
        <v>100</v>
      </c>
      <c r="AQ53" s="36">
        <v>2</v>
      </c>
      <c r="AR53" s="36">
        <v>2</v>
      </c>
      <c r="AS53" s="35">
        <f t="shared" si="13"/>
        <v>100</v>
      </c>
      <c r="AT53" s="10">
        <f t="shared" si="14"/>
        <v>40</v>
      </c>
      <c r="AU53" s="10">
        <f t="shared" si="14"/>
        <v>32</v>
      </c>
      <c r="AV53" s="26">
        <f t="shared" si="15"/>
        <v>80</v>
      </c>
      <c r="AW53" s="10">
        <f t="shared" si="16"/>
        <v>27</v>
      </c>
      <c r="AX53" s="10">
        <f t="shared" si="16"/>
        <v>17</v>
      </c>
      <c r="AY53" s="26">
        <f t="shared" si="17"/>
        <v>62.962962962962962</v>
      </c>
      <c r="AZ53" s="10">
        <f t="shared" si="18"/>
        <v>67</v>
      </c>
      <c r="BA53" s="10">
        <f t="shared" si="18"/>
        <v>49</v>
      </c>
      <c r="BB53" s="27">
        <f t="shared" si="19"/>
        <v>73.134328358208961</v>
      </c>
    </row>
    <row r="54" spans="1:54" ht="14.25" customHeight="1">
      <c r="A54" s="31">
        <v>48</v>
      </c>
      <c r="B54" s="32">
        <v>1230321045</v>
      </c>
      <c r="C54" s="33" t="s">
        <v>70</v>
      </c>
      <c r="D54" s="34">
        <v>4</v>
      </c>
      <c r="E54" s="36">
        <v>2</v>
      </c>
      <c r="F54" s="35">
        <f t="shared" si="0"/>
        <v>50</v>
      </c>
      <c r="G54" s="34">
        <v>4</v>
      </c>
      <c r="H54" s="36">
        <v>2</v>
      </c>
      <c r="I54" s="35">
        <f t="shared" si="1"/>
        <v>50</v>
      </c>
      <c r="J54" s="34">
        <v>10</v>
      </c>
      <c r="K54" s="36">
        <v>8</v>
      </c>
      <c r="L54" s="35">
        <f t="shared" si="2"/>
        <v>80</v>
      </c>
      <c r="M54" s="36">
        <v>9</v>
      </c>
      <c r="N54" s="36">
        <v>4</v>
      </c>
      <c r="O54" s="35">
        <f t="shared" si="3"/>
        <v>44.444444444444443</v>
      </c>
      <c r="P54" s="34">
        <v>9</v>
      </c>
      <c r="Q54" s="34">
        <v>8</v>
      </c>
      <c r="R54" s="35">
        <f t="shared" si="4"/>
        <v>88.888888888888886</v>
      </c>
      <c r="S54" s="36">
        <v>3</v>
      </c>
      <c r="T54" s="36">
        <v>2</v>
      </c>
      <c r="U54" s="35">
        <f t="shared" si="5"/>
        <v>66.666666666666657</v>
      </c>
      <c r="V54" s="34">
        <v>2</v>
      </c>
      <c r="W54" s="34">
        <v>2</v>
      </c>
      <c r="X54" s="35">
        <f t="shared" si="6"/>
        <v>100</v>
      </c>
      <c r="Y54" s="36">
        <v>4</v>
      </c>
      <c r="Z54" s="36">
        <v>3</v>
      </c>
      <c r="AA54" s="35">
        <f t="shared" si="7"/>
        <v>75</v>
      </c>
      <c r="AB54" s="34">
        <v>3</v>
      </c>
      <c r="AC54" s="34">
        <v>2</v>
      </c>
      <c r="AD54" s="35">
        <f t="shared" si="8"/>
        <v>66.666666666666657</v>
      </c>
      <c r="AE54" s="36">
        <v>2</v>
      </c>
      <c r="AF54" s="36">
        <v>2</v>
      </c>
      <c r="AG54" s="35">
        <f t="shared" si="9"/>
        <v>100</v>
      </c>
      <c r="AH54" s="34">
        <v>8</v>
      </c>
      <c r="AI54" s="34">
        <v>6</v>
      </c>
      <c r="AJ54" s="35">
        <f t="shared" si="10"/>
        <v>75</v>
      </c>
      <c r="AK54" s="36">
        <v>3</v>
      </c>
      <c r="AL54" s="36">
        <v>2</v>
      </c>
      <c r="AM54" s="35">
        <f t="shared" si="11"/>
        <v>66.666666666666657</v>
      </c>
      <c r="AN54" s="34">
        <v>4</v>
      </c>
      <c r="AO54" s="34">
        <v>4</v>
      </c>
      <c r="AP54" s="35">
        <f t="shared" si="12"/>
        <v>100</v>
      </c>
      <c r="AQ54" s="36">
        <v>2</v>
      </c>
      <c r="AR54" s="36">
        <v>2</v>
      </c>
      <c r="AS54" s="35">
        <f t="shared" si="13"/>
        <v>100</v>
      </c>
      <c r="AT54" s="10">
        <f t="shared" si="14"/>
        <v>40</v>
      </c>
      <c r="AU54" s="10">
        <f t="shared" si="14"/>
        <v>32</v>
      </c>
      <c r="AV54" s="26">
        <f t="shared" si="15"/>
        <v>80</v>
      </c>
      <c r="AW54" s="10">
        <f t="shared" si="16"/>
        <v>27</v>
      </c>
      <c r="AX54" s="10">
        <f t="shared" si="16"/>
        <v>17</v>
      </c>
      <c r="AY54" s="26">
        <f t="shared" si="17"/>
        <v>62.962962962962962</v>
      </c>
      <c r="AZ54" s="10">
        <f t="shared" si="18"/>
        <v>67</v>
      </c>
      <c r="BA54" s="10">
        <f t="shared" si="18"/>
        <v>49</v>
      </c>
      <c r="BB54" s="27">
        <f t="shared" si="19"/>
        <v>73.134328358208961</v>
      </c>
    </row>
    <row r="55" spans="1:54" ht="14.25" customHeight="1">
      <c r="A55" s="31">
        <v>49</v>
      </c>
      <c r="B55" s="32">
        <v>1230321046</v>
      </c>
      <c r="C55" s="33" t="s">
        <v>71</v>
      </c>
      <c r="D55" s="34">
        <v>4</v>
      </c>
      <c r="E55" s="36">
        <v>2</v>
      </c>
      <c r="F55" s="35">
        <f t="shared" si="0"/>
        <v>50</v>
      </c>
      <c r="G55" s="34">
        <v>4</v>
      </c>
      <c r="H55" s="36">
        <v>2</v>
      </c>
      <c r="I55" s="35">
        <f t="shared" si="1"/>
        <v>50</v>
      </c>
      <c r="J55" s="34">
        <v>10</v>
      </c>
      <c r="K55" s="36">
        <v>7</v>
      </c>
      <c r="L55" s="35">
        <f t="shared" si="2"/>
        <v>70</v>
      </c>
      <c r="M55" s="36">
        <v>9</v>
      </c>
      <c r="N55" s="36">
        <v>4</v>
      </c>
      <c r="O55" s="35">
        <f t="shared" si="3"/>
        <v>44.444444444444443</v>
      </c>
      <c r="P55" s="34">
        <v>9</v>
      </c>
      <c r="Q55" s="34">
        <v>8</v>
      </c>
      <c r="R55" s="35">
        <f t="shared" si="4"/>
        <v>88.888888888888886</v>
      </c>
      <c r="S55" s="36">
        <v>3</v>
      </c>
      <c r="T55" s="36">
        <v>2</v>
      </c>
      <c r="U55" s="35">
        <f t="shared" si="5"/>
        <v>66.666666666666657</v>
      </c>
      <c r="V55" s="34">
        <v>2</v>
      </c>
      <c r="W55" s="34">
        <v>2</v>
      </c>
      <c r="X55" s="35">
        <f t="shared" si="6"/>
        <v>100</v>
      </c>
      <c r="Y55" s="36">
        <v>4</v>
      </c>
      <c r="Z55" s="36">
        <v>3</v>
      </c>
      <c r="AA55" s="35">
        <f t="shared" si="7"/>
        <v>75</v>
      </c>
      <c r="AB55" s="34">
        <v>3</v>
      </c>
      <c r="AC55" s="34">
        <v>2</v>
      </c>
      <c r="AD55" s="35">
        <f t="shared" si="8"/>
        <v>66.666666666666657</v>
      </c>
      <c r="AE55" s="36">
        <v>2</v>
      </c>
      <c r="AF55" s="36">
        <v>2</v>
      </c>
      <c r="AG55" s="35">
        <f t="shared" si="9"/>
        <v>100</v>
      </c>
      <c r="AH55" s="34">
        <v>8</v>
      </c>
      <c r="AI55" s="34">
        <v>7</v>
      </c>
      <c r="AJ55" s="35">
        <f t="shared" si="10"/>
        <v>87.5</v>
      </c>
      <c r="AK55" s="36">
        <v>3</v>
      </c>
      <c r="AL55" s="36">
        <v>2</v>
      </c>
      <c r="AM55" s="35">
        <f t="shared" si="11"/>
        <v>66.666666666666657</v>
      </c>
      <c r="AN55" s="34">
        <v>4</v>
      </c>
      <c r="AO55" s="34">
        <v>4</v>
      </c>
      <c r="AP55" s="35">
        <f t="shared" si="12"/>
        <v>100</v>
      </c>
      <c r="AQ55" s="36">
        <v>2</v>
      </c>
      <c r="AR55" s="36">
        <v>2</v>
      </c>
      <c r="AS55" s="35">
        <f t="shared" si="13"/>
        <v>100</v>
      </c>
      <c r="AT55" s="10">
        <f t="shared" si="14"/>
        <v>40</v>
      </c>
      <c r="AU55" s="10">
        <f t="shared" si="14"/>
        <v>32</v>
      </c>
      <c r="AV55" s="26">
        <f t="shared" si="15"/>
        <v>80</v>
      </c>
      <c r="AW55" s="10">
        <f t="shared" si="16"/>
        <v>27</v>
      </c>
      <c r="AX55" s="10">
        <f t="shared" si="16"/>
        <v>17</v>
      </c>
      <c r="AY55" s="26">
        <f t="shared" si="17"/>
        <v>62.962962962962962</v>
      </c>
      <c r="AZ55" s="10">
        <f t="shared" si="18"/>
        <v>67</v>
      </c>
      <c r="BA55" s="10">
        <f t="shared" si="18"/>
        <v>49</v>
      </c>
      <c r="BB55" s="27">
        <f t="shared" si="19"/>
        <v>73.134328358208961</v>
      </c>
    </row>
    <row r="56" spans="1:54" ht="14.25" customHeight="1">
      <c r="A56" s="31">
        <v>50</v>
      </c>
      <c r="B56" s="32">
        <v>1230321047</v>
      </c>
      <c r="C56" s="33" t="s">
        <v>72</v>
      </c>
      <c r="D56" s="34">
        <v>4</v>
      </c>
      <c r="E56" s="36">
        <v>2</v>
      </c>
      <c r="F56" s="35">
        <f t="shared" si="0"/>
        <v>50</v>
      </c>
      <c r="G56" s="34">
        <v>4</v>
      </c>
      <c r="H56" s="36">
        <v>2</v>
      </c>
      <c r="I56" s="35">
        <f t="shared" si="1"/>
        <v>50</v>
      </c>
      <c r="J56" s="34">
        <v>10</v>
      </c>
      <c r="K56" s="36">
        <v>9</v>
      </c>
      <c r="L56" s="35">
        <f t="shared" si="2"/>
        <v>90</v>
      </c>
      <c r="M56" s="36">
        <v>9</v>
      </c>
      <c r="N56" s="36">
        <v>4</v>
      </c>
      <c r="O56" s="35">
        <f t="shared" si="3"/>
        <v>44.444444444444443</v>
      </c>
      <c r="P56" s="34">
        <v>9</v>
      </c>
      <c r="Q56" s="34">
        <v>8</v>
      </c>
      <c r="R56" s="35">
        <f t="shared" si="4"/>
        <v>88.888888888888886</v>
      </c>
      <c r="S56" s="36">
        <v>3</v>
      </c>
      <c r="T56" s="36">
        <v>2</v>
      </c>
      <c r="U56" s="35">
        <f t="shared" si="5"/>
        <v>66.666666666666657</v>
      </c>
      <c r="V56" s="34">
        <v>2</v>
      </c>
      <c r="W56" s="34">
        <v>2</v>
      </c>
      <c r="X56" s="35">
        <f t="shared" si="6"/>
        <v>100</v>
      </c>
      <c r="Y56" s="36">
        <v>4</v>
      </c>
      <c r="Z56" s="36">
        <v>3</v>
      </c>
      <c r="AA56" s="35">
        <f t="shared" si="7"/>
        <v>75</v>
      </c>
      <c r="AB56" s="34">
        <v>3</v>
      </c>
      <c r="AC56" s="34">
        <v>2</v>
      </c>
      <c r="AD56" s="35">
        <f t="shared" si="8"/>
        <v>66.666666666666657</v>
      </c>
      <c r="AE56" s="36">
        <v>2</v>
      </c>
      <c r="AF56" s="36">
        <v>2</v>
      </c>
      <c r="AG56" s="35">
        <f t="shared" si="9"/>
        <v>100</v>
      </c>
      <c r="AH56" s="34">
        <v>8</v>
      </c>
      <c r="AI56" s="34">
        <v>6</v>
      </c>
      <c r="AJ56" s="35">
        <f t="shared" si="10"/>
        <v>75</v>
      </c>
      <c r="AK56" s="36">
        <v>3</v>
      </c>
      <c r="AL56" s="36">
        <v>2</v>
      </c>
      <c r="AM56" s="35">
        <f t="shared" si="11"/>
        <v>66.666666666666657</v>
      </c>
      <c r="AN56" s="34">
        <v>4</v>
      </c>
      <c r="AO56" s="34">
        <v>4</v>
      </c>
      <c r="AP56" s="35">
        <f t="shared" si="12"/>
        <v>100</v>
      </c>
      <c r="AQ56" s="36">
        <v>2</v>
      </c>
      <c r="AR56" s="36">
        <v>2</v>
      </c>
      <c r="AS56" s="35">
        <f t="shared" si="13"/>
        <v>100</v>
      </c>
      <c r="AT56" s="10">
        <f t="shared" si="14"/>
        <v>40</v>
      </c>
      <c r="AU56" s="10">
        <f t="shared" si="14"/>
        <v>33</v>
      </c>
      <c r="AV56" s="26">
        <f t="shared" si="15"/>
        <v>82.5</v>
      </c>
      <c r="AW56" s="10">
        <f t="shared" si="16"/>
        <v>27</v>
      </c>
      <c r="AX56" s="10">
        <f t="shared" si="16"/>
        <v>17</v>
      </c>
      <c r="AY56" s="26">
        <f t="shared" si="17"/>
        <v>62.962962962962962</v>
      </c>
      <c r="AZ56" s="10">
        <f t="shared" si="18"/>
        <v>67</v>
      </c>
      <c r="BA56" s="10">
        <f t="shared" si="18"/>
        <v>50</v>
      </c>
      <c r="BB56" s="27">
        <f t="shared" si="19"/>
        <v>74.626865671641795</v>
      </c>
    </row>
    <row r="57" spans="1:54" ht="14.25" customHeight="1">
      <c r="A57" s="31">
        <v>51</v>
      </c>
      <c r="B57" s="32">
        <v>1230321048</v>
      </c>
      <c r="C57" s="33" t="s">
        <v>73</v>
      </c>
      <c r="D57" s="34">
        <v>4</v>
      </c>
      <c r="E57" s="36">
        <v>2</v>
      </c>
      <c r="F57" s="35">
        <f t="shared" si="0"/>
        <v>50</v>
      </c>
      <c r="G57" s="34">
        <v>4</v>
      </c>
      <c r="H57" s="36">
        <v>2</v>
      </c>
      <c r="I57" s="35">
        <f t="shared" si="1"/>
        <v>50</v>
      </c>
      <c r="J57" s="34">
        <v>10</v>
      </c>
      <c r="K57" s="36">
        <v>8</v>
      </c>
      <c r="L57" s="35">
        <f t="shared" si="2"/>
        <v>80</v>
      </c>
      <c r="M57" s="36">
        <v>9</v>
      </c>
      <c r="N57" s="36">
        <v>4</v>
      </c>
      <c r="O57" s="35">
        <f t="shared" si="3"/>
        <v>44.444444444444443</v>
      </c>
      <c r="P57" s="34">
        <v>9</v>
      </c>
      <c r="Q57" s="34">
        <v>8</v>
      </c>
      <c r="R57" s="35">
        <f t="shared" si="4"/>
        <v>88.888888888888886</v>
      </c>
      <c r="S57" s="36">
        <v>3</v>
      </c>
      <c r="T57" s="36">
        <v>2</v>
      </c>
      <c r="U57" s="35">
        <f t="shared" si="5"/>
        <v>66.666666666666657</v>
      </c>
      <c r="V57" s="34">
        <v>2</v>
      </c>
      <c r="W57" s="34">
        <v>2</v>
      </c>
      <c r="X57" s="35">
        <f t="shared" si="6"/>
        <v>100</v>
      </c>
      <c r="Y57" s="36">
        <v>4</v>
      </c>
      <c r="Z57" s="36">
        <v>3</v>
      </c>
      <c r="AA57" s="35">
        <f t="shared" si="7"/>
        <v>75</v>
      </c>
      <c r="AB57" s="34">
        <v>3</v>
      </c>
      <c r="AC57" s="34">
        <v>2</v>
      </c>
      <c r="AD57" s="35">
        <f t="shared" si="8"/>
        <v>66.666666666666657</v>
      </c>
      <c r="AE57" s="36">
        <v>2</v>
      </c>
      <c r="AF57" s="36">
        <v>1</v>
      </c>
      <c r="AG57" s="35">
        <f t="shared" si="9"/>
        <v>50</v>
      </c>
      <c r="AH57" s="34">
        <v>8</v>
      </c>
      <c r="AI57" s="34">
        <v>6</v>
      </c>
      <c r="AJ57" s="35">
        <f t="shared" si="10"/>
        <v>75</v>
      </c>
      <c r="AK57" s="36">
        <v>3</v>
      </c>
      <c r="AL57" s="36">
        <v>2</v>
      </c>
      <c r="AM57" s="35">
        <f t="shared" si="11"/>
        <v>66.666666666666657</v>
      </c>
      <c r="AN57" s="34">
        <v>4</v>
      </c>
      <c r="AO57" s="34">
        <v>4</v>
      </c>
      <c r="AP57" s="35">
        <f t="shared" si="12"/>
        <v>100</v>
      </c>
      <c r="AQ57" s="36">
        <v>2</v>
      </c>
      <c r="AR57" s="36">
        <v>2</v>
      </c>
      <c r="AS57" s="35">
        <f t="shared" si="13"/>
        <v>100</v>
      </c>
      <c r="AT57" s="10">
        <f t="shared" si="14"/>
        <v>40</v>
      </c>
      <c r="AU57" s="10">
        <f t="shared" si="14"/>
        <v>32</v>
      </c>
      <c r="AV57" s="26">
        <f t="shared" si="15"/>
        <v>80</v>
      </c>
      <c r="AW57" s="10">
        <f t="shared" si="16"/>
        <v>27</v>
      </c>
      <c r="AX57" s="10">
        <f t="shared" si="16"/>
        <v>16</v>
      </c>
      <c r="AY57" s="26">
        <f t="shared" si="17"/>
        <v>59.259259259259252</v>
      </c>
      <c r="AZ57" s="10">
        <f t="shared" si="18"/>
        <v>67</v>
      </c>
      <c r="BA57" s="10">
        <f t="shared" si="18"/>
        <v>48</v>
      </c>
      <c r="BB57" s="27">
        <f t="shared" si="19"/>
        <v>71.641791044776113</v>
      </c>
    </row>
    <row r="58" spans="1:54" ht="14.25" customHeight="1">
      <c r="A58" s="31">
        <v>52</v>
      </c>
      <c r="B58" s="32">
        <v>1230321049</v>
      </c>
      <c r="C58" s="33" t="s">
        <v>74</v>
      </c>
      <c r="D58" s="34">
        <v>4</v>
      </c>
      <c r="E58" s="36">
        <v>2</v>
      </c>
      <c r="F58" s="35">
        <f t="shared" si="0"/>
        <v>50</v>
      </c>
      <c r="G58" s="34">
        <v>4</v>
      </c>
      <c r="H58" s="36">
        <v>2</v>
      </c>
      <c r="I58" s="35">
        <f t="shared" si="1"/>
        <v>50</v>
      </c>
      <c r="J58" s="34">
        <v>10</v>
      </c>
      <c r="K58" s="36">
        <v>8</v>
      </c>
      <c r="L58" s="35">
        <f t="shared" si="2"/>
        <v>80</v>
      </c>
      <c r="M58" s="36">
        <v>9</v>
      </c>
      <c r="N58" s="36">
        <v>4</v>
      </c>
      <c r="O58" s="35">
        <f t="shared" si="3"/>
        <v>44.444444444444443</v>
      </c>
      <c r="P58" s="34">
        <v>9</v>
      </c>
      <c r="Q58" s="34">
        <v>8</v>
      </c>
      <c r="R58" s="35">
        <f t="shared" si="4"/>
        <v>88.888888888888886</v>
      </c>
      <c r="S58" s="36">
        <v>3</v>
      </c>
      <c r="T58" s="36">
        <v>2</v>
      </c>
      <c r="U58" s="35">
        <f t="shared" si="5"/>
        <v>66.666666666666657</v>
      </c>
      <c r="V58" s="34">
        <v>2</v>
      </c>
      <c r="W58" s="34">
        <v>2</v>
      </c>
      <c r="X58" s="35">
        <f t="shared" si="6"/>
        <v>100</v>
      </c>
      <c r="Y58" s="36">
        <v>4</v>
      </c>
      <c r="Z58" s="36">
        <v>3</v>
      </c>
      <c r="AA58" s="35">
        <f t="shared" si="7"/>
        <v>75</v>
      </c>
      <c r="AB58" s="34">
        <v>3</v>
      </c>
      <c r="AC58" s="34">
        <v>2</v>
      </c>
      <c r="AD58" s="35">
        <f t="shared" si="8"/>
        <v>66.666666666666657</v>
      </c>
      <c r="AE58" s="36">
        <v>2</v>
      </c>
      <c r="AF58" s="36">
        <v>1</v>
      </c>
      <c r="AG58" s="35">
        <f t="shared" si="9"/>
        <v>50</v>
      </c>
      <c r="AH58" s="34">
        <v>8</v>
      </c>
      <c r="AI58" s="34">
        <v>6</v>
      </c>
      <c r="AJ58" s="35">
        <f t="shared" si="10"/>
        <v>75</v>
      </c>
      <c r="AK58" s="36">
        <v>3</v>
      </c>
      <c r="AL58" s="36">
        <v>2</v>
      </c>
      <c r="AM58" s="35">
        <f t="shared" si="11"/>
        <v>66.666666666666657</v>
      </c>
      <c r="AN58" s="34">
        <v>4</v>
      </c>
      <c r="AO58" s="34">
        <v>4</v>
      </c>
      <c r="AP58" s="35">
        <f t="shared" si="12"/>
        <v>100</v>
      </c>
      <c r="AQ58" s="36">
        <v>2</v>
      </c>
      <c r="AR58" s="36">
        <v>2</v>
      </c>
      <c r="AS58" s="35">
        <f t="shared" si="13"/>
        <v>100</v>
      </c>
      <c r="AT58" s="10">
        <f t="shared" si="14"/>
        <v>40</v>
      </c>
      <c r="AU58" s="10">
        <f t="shared" si="14"/>
        <v>32</v>
      </c>
      <c r="AV58" s="26">
        <f t="shared" si="15"/>
        <v>80</v>
      </c>
      <c r="AW58" s="10">
        <f t="shared" si="16"/>
        <v>27</v>
      </c>
      <c r="AX58" s="10">
        <f t="shared" si="16"/>
        <v>16</v>
      </c>
      <c r="AY58" s="26">
        <f t="shared" si="17"/>
        <v>59.259259259259252</v>
      </c>
      <c r="AZ58" s="10">
        <f t="shared" si="18"/>
        <v>67</v>
      </c>
      <c r="BA58" s="10">
        <f t="shared" si="18"/>
        <v>48</v>
      </c>
      <c r="BB58" s="27">
        <f t="shared" si="19"/>
        <v>71.641791044776113</v>
      </c>
    </row>
    <row r="59" spans="1:54" ht="14.25" customHeight="1">
      <c r="A59" s="31">
        <v>53</v>
      </c>
      <c r="B59" s="32">
        <v>1230321050</v>
      </c>
      <c r="C59" s="33" t="s">
        <v>75</v>
      </c>
      <c r="D59" s="34">
        <v>4</v>
      </c>
      <c r="E59" s="36">
        <v>2</v>
      </c>
      <c r="F59" s="35">
        <f t="shared" si="0"/>
        <v>50</v>
      </c>
      <c r="G59" s="34">
        <v>4</v>
      </c>
      <c r="H59" s="36">
        <v>2</v>
      </c>
      <c r="I59" s="35">
        <f t="shared" si="1"/>
        <v>50</v>
      </c>
      <c r="J59" s="34">
        <v>10</v>
      </c>
      <c r="K59" s="36">
        <v>9</v>
      </c>
      <c r="L59" s="35">
        <f t="shared" si="2"/>
        <v>90</v>
      </c>
      <c r="M59" s="36">
        <v>9</v>
      </c>
      <c r="N59" s="36">
        <v>4</v>
      </c>
      <c r="O59" s="35">
        <f t="shared" si="3"/>
        <v>44.444444444444443</v>
      </c>
      <c r="P59" s="34">
        <v>9</v>
      </c>
      <c r="Q59" s="34">
        <v>8</v>
      </c>
      <c r="R59" s="35">
        <f t="shared" si="4"/>
        <v>88.888888888888886</v>
      </c>
      <c r="S59" s="36">
        <v>3</v>
      </c>
      <c r="T59" s="36">
        <v>2</v>
      </c>
      <c r="U59" s="35">
        <f t="shared" si="5"/>
        <v>66.666666666666657</v>
      </c>
      <c r="V59" s="34">
        <v>2</v>
      </c>
      <c r="W59" s="34">
        <v>2</v>
      </c>
      <c r="X59" s="35">
        <f t="shared" si="6"/>
        <v>100</v>
      </c>
      <c r="Y59" s="36">
        <v>4</v>
      </c>
      <c r="Z59" s="36">
        <v>3</v>
      </c>
      <c r="AA59" s="35">
        <f t="shared" si="7"/>
        <v>75</v>
      </c>
      <c r="AB59" s="34">
        <v>3</v>
      </c>
      <c r="AC59" s="34">
        <v>2</v>
      </c>
      <c r="AD59" s="35">
        <f t="shared" si="8"/>
        <v>66.666666666666657</v>
      </c>
      <c r="AE59" s="36">
        <v>2</v>
      </c>
      <c r="AF59" s="36">
        <v>1</v>
      </c>
      <c r="AG59" s="35">
        <f t="shared" si="9"/>
        <v>50</v>
      </c>
      <c r="AH59" s="34">
        <v>8</v>
      </c>
      <c r="AI59" s="34">
        <v>6</v>
      </c>
      <c r="AJ59" s="35">
        <f t="shared" si="10"/>
        <v>75</v>
      </c>
      <c r="AK59" s="36">
        <v>3</v>
      </c>
      <c r="AL59" s="36">
        <v>2</v>
      </c>
      <c r="AM59" s="35">
        <f t="shared" si="11"/>
        <v>66.666666666666657</v>
      </c>
      <c r="AN59" s="34">
        <v>4</v>
      </c>
      <c r="AO59" s="34">
        <v>4</v>
      </c>
      <c r="AP59" s="35">
        <f t="shared" si="12"/>
        <v>100</v>
      </c>
      <c r="AQ59" s="36">
        <v>2</v>
      </c>
      <c r="AR59" s="36">
        <v>2</v>
      </c>
      <c r="AS59" s="35">
        <f t="shared" si="13"/>
        <v>100</v>
      </c>
      <c r="AT59" s="10">
        <f t="shared" si="14"/>
        <v>40</v>
      </c>
      <c r="AU59" s="10">
        <f t="shared" si="14"/>
        <v>33</v>
      </c>
      <c r="AV59" s="26">
        <f t="shared" si="15"/>
        <v>82.5</v>
      </c>
      <c r="AW59" s="10">
        <f t="shared" si="16"/>
        <v>27</v>
      </c>
      <c r="AX59" s="10">
        <f t="shared" si="16"/>
        <v>16</v>
      </c>
      <c r="AY59" s="26">
        <f t="shared" si="17"/>
        <v>59.259259259259252</v>
      </c>
      <c r="AZ59" s="10">
        <f t="shared" si="18"/>
        <v>67</v>
      </c>
      <c r="BA59" s="10">
        <f t="shared" si="18"/>
        <v>49</v>
      </c>
      <c r="BB59" s="27">
        <f t="shared" si="19"/>
        <v>73.134328358208961</v>
      </c>
    </row>
    <row r="60" spans="1:54" ht="14.25" customHeight="1">
      <c r="A60" s="31">
        <v>54</v>
      </c>
      <c r="B60" s="32">
        <v>1230321052</v>
      </c>
      <c r="C60" s="33" t="s">
        <v>76</v>
      </c>
      <c r="D60" s="34">
        <v>4</v>
      </c>
      <c r="E60" s="36">
        <v>2</v>
      </c>
      <c r="F60" s="35">
        <f t="shared" si="0"/>
        <v>50</v>
      </c>
      <c r="G60" s="34">
        <v>4</v>
      </c>
      <c r="H60" s="36">
        <v>2</v>
      </c>
      <c r="I60" s="35">
        <f t="shared" si="1"/>
        <v>50</v>
      </c>
      <c r="J60" s="34">
        <v>10</v>
      </c>
      <c r="K60" s="36">
        <v>5</v>
      </c>
      <c r="L60" s="35">
        <f t="shared" si="2"/>
        <v>50</v>
      </c>
      <c r="M60" s="36">
        <v>9</v>
      </c>
      <c r="N60" s="36">
        <v>4</v>
      </c>
      <c r="O60" s="35">
        <f t="shared" si="3"/>
        <v>44.444444444444443</v>
      </c>
      <c r="P60" s="34">
        <v>9</v>
      </c>
      <c r="Q60" s="34">
        <v>8</v>
      </c>
      <c r="R60" s="35">
        <f t="shared" si="4"/>
        <v>88.888888888888886</v>
      </c>
      <c r="S60" s="36">
        <v>3</v>
      </c>
      <c r="T60" s="36">
        <v>2</v>
      </c>
      <c r="U60" s="35">
        <f t="shared" si="5"/>
        <v>66.666666666666657</v>
      </c>
      <c r="V60" s="34">
        <v>2</v>
      </c>
      <c r="W60" s="34">
        <v>2</v>
      </c>
      <c r="X60" s="35">
        <f t="shared" si="6"/>
        <v>100</v>
      </c>
      <c r="Y60" s="36">
        <v>4</v>
      </c>
      <c r="Z60" s="36">
        <v>3</v>
      </c>
      <c r="AA60" s="35">
        <f t="shared" si="7"/>
        <v>75</v>
      </c>
      <c r="AB60" s="34">
        <v>3</v>
      </c>
      <c r="AC60" s="34">
        <v>2</v>
      </c>
      <c r="AD60" s="35">
        <f t="shared" si="8"/>
        <v>66.666666666666657</v>
      </c>
      <c r="AE60" s="36">
        <v>2</v>
      </c>
      <c r="AF60" s="36">
        <v>1</v>
      </c>
      <c r="AG60" s="35">
        <f t="shared" si="9"/>
        <v>50</v>
      </c>
      <c r="AH60" s="34">
        <v>8</v>
      </c>
      <c r="AI60" s="34">
        <v>7</v>
      </c>
      <c r="AJ60" s="35">
        <f t="shared" si="10"/>
        <v>87.5</v>
      </c>
      <c r="AK60" s="36">
        <v>3</v>
      </c>
      <c r="AL60" s="36">
        <v>2</v>
      </c>
      <c r="AM60" s="35">
        <f t="shared" si="11"/>
        <v>66.666666666666657</v>
      </c>
      <c r="AN60" s="34">
        <v>4</v>
      </c>
      <c r="AO60" s="34">
        <v>4</v>
      </c>
      <c r="AP60" s="35">
        <f t="shared" si="12"/>
        <v>100</v>
      </c>
      <c r="AQ60" s="36">
        <v>2</v>
      </c>
      <c r="AR60" s="36">
        <v>2</v>
      </c>
      <c r="AS60" s="35">
        <f t="shared" si="13"/>
        <v>100</v>
      </c>
      <c r="AT60" s="10">
        <f t="shared" si="14"/>
        <v>40</v>
      </c>
      <c r="AU60" s="10">
        <f t="shared" si="14"/>
        <v>30</v>
      </c>
      <c r="AV60" s="26">
        <f t="shared" si="15"/>
        <v>75</v>
      </c>
      <c r="AW60" s="10">
        <f t="shared" si="16"/>
        <v>27</v>
      </c>
      <c r="AX60" s="10">
        <f t="shared" si="16"/>
        <v>16</v>
      </c>
      <c r="AY60" s="26">
        <f t="shared" si="17"/>
        <v>59.259259259259252</v>
      </c>
      <c r="AZ60" s="10">
        <f t="shared" si="18"/>
        <v>67</v>
      </c>
      <c r="BA60" s="10">
        <f t="shared" si="18"/>
        <v>46</v>
      </c>
      <c r="BB60" s="27">
        <f t="shared" si="19"/>
        <v>68.656716417910445</v>
      </c>
    </row>
    <row r="61" spans="1:54" ht="14.25" customHeight="1">
      <c r="A61" s="31">
        <v>55</v>
      </c>
      <c r="B61" s="32">
        <v>1230321053</v>
      </c>
      <c r="C61" s="33" t="s">
        <v>77</v>
      </c>
      <c r="D61" s="34">
        <v>4</v>
      </c>
      <c r="E61" s="36">
        <v>2</v>
      </c>
      <c r="F61" s="35">
        <f t="shared" si="0"/>
        <v>50</v>
      </c>
      <c r="G61" s="34">
        <v>4</v>
      </c>
      <c r="H61" s="36">
        <v>2</v>
      </c>
      <c r="I61" s="35">
        <f t="shared" si="1"/>
        <v>50</v>
      </c>
      <c r="J61" s="34">
        <v>10</v>
      </c>
      <c r="K61" s="36">
        <v>5</v>
      </c>
      <c r="L61" s="35">
        <f t="shared" si="2"/>
        <v>50</v>
      </c>
      <c r="M61" s="36">
        <v>9</v>
      </c>
      <c r="N61" s="36">
        <v>4</v>
      </c>
      <c r="O61" s="35">
        <f t="shared" si="3"/>
        <v>44.444444444444443</v>
      </c>
      <c r="P61" s="34">
        <v>9</v>
      </c>
      <c r="Q61" s="34">
        <v>8</v>
      </c>
      <c r="R61" s="35">
        <f t="shared" si="4"/>
        <v>88.888888888888886</v>
      </c>
      <c r="S61" s="36">
        <v>3</v>
      </c>
      <c r="T61" s="36">
        <v>2</v>
      </c>
      <c r="U61" s="35">
        <f t="shared" si="5"/>
        <v>66.666666666666657</v>
      </c>
      <c r="V61" s="34">
        <v>2</v>
      </c>
      <c r="W61" s="34">
        <v>2</v>
      </c>
      <c r="X61" s="35">
        <f t="shared" si="6"/>
        <v>100</v>
      </c>
      <c r="Y61" s="36">
        <v>4</v>
      </c>
      <c r="Z61" s="36">
        <v>3</v>
      </c>
      <c r="AA61" s="35">
        <f t="shared" si="7"/>
        <v>75</v>
      </c>
      <c r="AB61" s="34">
        <v>3</v>
      </c>
      <c r="AC61" s="34">
        <v>2</v>
      </c>
      <c r="AD61" s="35">
        <f t="shared" si="8"/>
        <v>66.666666666666657</v>
      </c>
      <c r="AE61" s="36">
        <v>2</v>
      </c>
      <c r="AF61" s="36">
        <v>1</v>
      </c>
      <c r="AG61" s="35">
        <f t="shared" si="9"/>
        <v>50</v>
      </c>
      <c r="AH61" s="34">
        <v>8</v>
      </c>
      <c r="AI61" s="34">
        <v>7</v>
      </c>
      <c r="AJ61" s="35">
        <f t="shared" si="10"/>
        <v>87.5</v>
      </c>
      <c r="AK61" s="36">
        <v>3</v>
      </c>
      <c r="AL61" s="36">
        <v>2</v>
      </c>
      <c r="AM61" s="35">
        <f t="shared" si="11"/>
        <v>66.666666666666657</v>
      </c>
      <c r="AN61" s="34">
        <v>4</v>
      </c>
      <c r="AO61" s="34">
        <v>4</v>
      </c>
      <c r="AP61" s="35">
        <f t="shared" si="12"/>
        <v>100</v>
      </c>
      <c r="AQ61" s="36">
        <v>2</v>
      </c>
      <c r="AR61" s="36">
        <v>2</v>
      </c>
      <c r="AS61" s="35">
        <f t="shared" si="13"/>
        <v>100</v>
      </c>
      <c r="AT61" s="10">
        <f t="shared" si="14"/>
        <v>40</v>
      </c>
      <c r="AU61" s="10">
        <f t="shared" si="14"/>
        <v>30</v>
      </c>
      <c r="AV61" s="26">
        <f t="shared" si="15"/>
        <v>75</v>
      </c>
      <c r="AW61" s="10">
        <f t="shared" si="16"/>
        <v>27</v>
      </c>
      <c r="AX61" s="10">
        <f t="shared" si="16"/>
        <v>16</v>
      </c>
      <c r="AY61" s="26">
        <f t="shared" si="17"/>
        <v>59.259259259259252</v>
      </c>
      <c r="AZ61" s="10">
        <f t="shared" si="18"/>
        <v>67</v>
      </c>
      <c r="BA61" s="10">
        <f t="shared" si="18"/>
        <v>46</v>
      </c>
      <c r="BB61" s="27">
        <f t="shared" si="19"/>
        <v>68.656716417910445</v>
      </c>
    </row>
    <row r="62" spans="1:54" ht="14.25" customHeight="1">
      <c r="A62" s="31">
        <v>56</v>
      </c>
      <c r="B62" s="32">
        <v>1230321054</v>
      </c>
      <c r="C62" s="33" t="s">
        <v>129</v>
      </c>
      <c r="D62" s="34">
        <v>4</v>
      </c>
      <c r="E62" s="36">
        <v>2</v>
      </c>
      <c r="F62" s="35">
        <f t="shared" si="0"/>
        <v>50</v>
      </c>
      <c r="G62" s="34">
        <v>4</v>
      </c>
      <c r="H62" s="36">
        <v>2</v>
      </c>
      <c r="I62" s="35">
        <f t="shared" si="1"/>
        <v>50</v>
      </c>
      <c r="J62" s="34">
        <v>10</v>
      </c>
      <c r="K62" s="36">
        <v>5</v>
      </c>
      <c r="L62" s="35">
        <f t="shared" si="2"/>
        <v>50</v>
      </c>
      <c r="M62" s="36">
        <v>9</v>
      </c>
      <c r="N62" s="36">
        <v>4</v>
      </c>
      <c r="O62" s="35">
        <f t="shared" si="3"/>
        <v>44.444444444444443</v>
      </c>
      <c r="P62" s="34">
        <v>9</v>
      </c>
      <c r="Q62" s="34">
        <v>8</v>
      </c>
      <c r="R62" s="35">
        <f t="shared" si="4"/>
        <v>88.888888888888886</v>
      </c>
      <c r="S62" s="36">
        <v>3</v>
      </c>
      <c r="T62" s="36">
        <v>2</v>
      </c>
      <c r="U62" s="35">
        <f t="shared" si="5"/>
        <v>66.666666666666657</v>
      </c>
      <c r="V62" s="34">
        <v>2</v>
      </c>
      <c r="W62" s="34">
        <v>2</v>
      </c>
      <c r="X62" s="35">
        <f t="shared" si="6"/>
        <v>100</v>
      </c>
      <c r="Y62" s="36">
        <v>4</v>
      </c>
      <c r="Z62" s="36">
        <v>3</v>
      </c>
      <c r="AA62" s="35">
        <f t="shared" si="7"/>
        <v>75</v>
      </c>
      <c r="AB62" s="34">
        <v>3</v>
      </c>
      <c r="AC62" s="34">
        <v>2</v>
      </c>
      <c r="AD62" s="35">
        <f t="shared" si="8"/>
        <v>66.666666666666657</v>
      </c>
      <c r="AE62" s="36">
        <v>2</v>
      </c>
      <c r="AF62" s="36">
        <v>1</v>
      </c>
      <c r="AG62" s="35">
        <f t="shared" si="9"/>
        <v>50</v>
      </c>
      <c r="AH62" s="34">
        <v>8</v>
      </c>
      <c r="AI62" s="34">
        <v>7</v>
      </c>
      <c r="AJ62" s="35">
        <f t="shared" si="10"/>
        <v>87.5</v>
      </c>
      <c r="AK62" s="36">
        <v>3</v>
      </c>
      <c r="AL62" s="36">
        <v>2</v>
      </c>
      <c r="AM62" s="35">
        <f t="shared" si="11"/>
        <v>66.666666666666657</v>
      </c>
      <c r="AN62" s="34">
        <v>4</v>
      </c>
      <c r="AO62" s="34">
        <v>4</v>
      </c>
      <c r="AP62" s="35">
        <f t="shared" si="12"/>
        <v>100</v>
      </c>
      <c r="AQ62" s="36">
        <v>2</v>
      </c>
      <c r="AR62" s="36">
        <v>2</v>
      </c>
      <c r="AS62" s="35">
        <f t="shared" si="13"/>
        <v>100</v>
      </c>
      <c r="AT62" s="10">
        <f t="shared" si="14"/>
        <v>40</v>
      </c>
      <c r="AU62" s="10">
        <f t="shared" si="14"/>
        <v>30</v>
      </c>
      <c r="AV62" s="26">
        <f t="shared" si="15"/>
        <v>75</v>
      </c>
      <c r="AW62" s="10">
        <f t="shared" si="16"/>
        <v>27</v>
      </c>
      <c r="AX62" s="10">
        <f t="shared" si="16"/>
        <v>16</v>
      </c>
      <c r="AY62" s="26">
        <f t="shared" si="17"/>
        <v>59.259259259259252</v>
      </c>
      <c r="AZ62" s="10">
        <f t="shared" si="18"/>
        <v>67</v>
      </c>
      <c r="BA62" s="10">
        <f t="shared" si="18"/>
        <v>46</v>
      </c>
      <c r="BB62" s="27">
        <f t="shared" si="19"/>
        <v>68.656716417910445</v>
      </c>
    </row>
    <row r="63" spans="1:54" ht="14.25" customHeight="1">
      <c r="A63" s="31">
        <v>57</v>
      </c>
      <c r="B63" s="32">
        <v>1230321055</v>
      </c>
      <c r="C63" s="33" t="s">
        <v>78</v>
      </c>
      <c r="D63" s="34">
        <v>4</v>
      </c>
      <c r="E63" s="34">
        <v>2</v>
      </c>
      <c r="F63" s="35">
        <f t="shared" si="0"/>
        <v>50</v>
      </c>
      <c r="G63" s="34">
        <v>4</v>
      </c>
      <c r="H63" s="36">
        <v>2</v>
      </c>
      <c r="I63" s="35">
        <f t="shared" si="1"/>
        <v>50</v>
      </c>
      <c r="J63" s="34">
        <v>10</v>
      </c>
      <c r="K63" s="34">
        <v>5</v>
      </c>
      <c r="L63" s="35">
        <f t="shared" si="2"/>
        <v>50</v>
      </c>
      <c r="M63" s="36">
        <v>9</v>
      </c>
      <c r="N63" s="36">
        <v>4</v>
      </c>
      <c r="O63" s="35">
        <f t="shared" si="3"/>
        <v>44.444444444444443</v>
      </c>
      <c r="P63" s="34">
        <v>9</v>
      </c>
      <c r="Q63" s="34">
        <v>8</v>
      </c>
      <c r="R63" s="35">
        <f t="shared" si="4"/>
        <v>88.888888888888886</v>
      </c>
      <c r="S63" s="36">
        <v>3</v>
      </c>
      <c r="T63" s="36">
        <v>2</v>
      </c>
      <c r="U63" s="35">
        <f t="shared" si="5"/>
        <v>66.666666666666657</v>
      </c>
      <c r="V63" s="34">
        <v>2</v>
      </c>
      <c r="W63" s="34">
        <v>2</v>
      </c>
      <c r="X63" s="35">
        <f t="shared" si="6"/>
        <v>100</v>
      </c>
      <c r="Y63" s="36">
        <v>4</v>
      </c>
      <c r="Z63" s="36">
        <v>3</v>
      </c>
      <c r="AA63" s="35">
        <f t="shared" si="7"/>
        <v>75</v>
      </c>
      <c r="AB63" s="34">
        <v>3</v>
      </c>
      <c r="AC63" s="34">
        <v>2</v>
      </c>
      <c r="AD63" s="35">
        <f t="shared" si="8"/>
        <v>66.666666666666657</v>
      </c>
      <c r="AE63" s="36">
        <v>2</v>
      </c>
      <c r="AF63" s="36">
        <v>1</v>
      </c>
      <c r="AG63" s="35">
        <f t="shared" si="9"/>
        <v>50</v>
      </c>
      <c r="AH63" s="34">
        <v>8</v>
      </c>
      <c r="AI63" s="34">
        <v>7</v>
      </c>
      <c r="AJ63" s="35">
        <f t="shared" si="10"/>
        <v>87.5</v>
      </c>
      <c r="AK63" s="36">
        <v>3</v>
      </c>
      <c r="AL63" s="36">
        <v>2</v>
      </c>
      <c r="AM63" s="35">
        <f t="shared" si="11"/>
        <v>66.666666666666657</v>
      </c>
      <c r="AN63" s="34">
        <v>4</v>
      </c>
      <c r="AO63" s="34">
        <v>4</v>
      </c>
      <c r="AP63" s="35">
        <f t="shared" si="12"/>
        <v>100</v>
      </c>
      <c r="AQ63" s="36">
        <v>2</v>
      </c>
      <c r="AR63" s="36">
        <v>2</v>
      </c>
      <c r="AS63" s="35">
        <f t="shared" si="13"/>
        <v>100</v>
      </c>
      <c r="AT63" s="10">
        <f t="shared" si="14"/>
        <v>40</v>
      </c>
      <c r="AU63" s="10">
        <f t="shared" si="14"/>
        <v>30</v>
      </c>
      <c r="AV63" s="26">
        <f t="shared" si="15"/>
        <v>75</v>
      </c>
      <c r="AW63" s="10">
        <f t="shared" si="16"/>
        <v>27</v>
      </c>
      <c r="AX63" s="10">
        <f t="shared" si="16"/>
        <v>16</v>
      </c>
      <c r="AY63" s="26">
        <f t="shared" si="17"/>
        <v>59.259259259259252</v>
      </c>
      <c r="AZ63" s="10">
        <f t="shared" si="18"/>
        <v>67</v>
      </c>
      <c r="BA63" s="10">
        <f t="shared" si="18"/>
        <v>46</v>
      </c>
      <c r="BB63" s="27">
        <f t="shared" si="19"/>
        <v>68.656716417910445</v>
      </c>
    </row>
    <row r="64" spans="1:54" ht="14.25" customHeight="1">
      <c r="A64" s="31">
        <v>58</v>
      </c>
      <c r="B64" s="32">
        <v>1230321056</v>
      </c>
      <c r="C64" s="33" t="s">
        <v>79</v>
      </c>
      <c r="D64" s="34">
        <v>4</v>
      </c>
      <c r="E64" s="34">
        <v>2</v>
      </c>
      <c r="F64" s="35">
        <f t="shared" si="0"/>
        <v>50</v>
      </c>
      <c r="G64" s="34">
        <v>4</v>
      </c>
      <c r="H64" s="36">
        <v>2</v>
      </c>
      <c r="I64" s="35">
        <f t="shared" si="1"/>
        <v>50</v>
      </c>
      <c r="J64" s="34">
        <v>10</v>
      </c>
      <c r="K64" s="34">
        <v>5</v>
      </c>
      <c r="L64" s="35">
        <f t="shared" si="2"/>
        <v>50</v>
      </c>
      <c r="M64" s="36">
        <v>9</v>
      </c>
      <c r="N64" s="36">
        <v>4</v>
      </c>
      <c r="O64" s="35">
        <f t="shared" si="3"/>
        <v>44.444444444444443</v>
      </c>
      <c r="P64" s="34">
        <v>9</v>
      </c>
      <c r="Q64" s="34">
        <v>8</v>
      </c>
      <c r="R64" s="35">
        <f t="shared" si="4"/>
        <v>88.888888888888886</v>
      </c>
      <c r="S64" s="36">
        <v>3</v>
      </c>
      <c r="T64" s="36">
        <v>2</v>
      </c>
      <c r="U64" s="35">
        <f t="shared" si="5"/>
        <v>66.666666666666657</v>
      </c>
      <c r="V64" s="34">
        <v>2</v>
      </c>
      <c r="W64" s="34">
        <v>2</v>
      </c>
      <c r="X64" s="35">
        <f t="shared" si="6"/>
        <v>100</v>
      </c>
      <c r="Y64" s="36">
        <v>4</v>
      </c>
      <c r="Z64" s="36">
        <v>3</v>
      </c>
      <c r="AA64" s="35">
        <f t="shared" si="7"/>
        <v>75</v>
      </c>
      <c r="AB64" s="34">
        <v>3</v>
      </c>
      <c r="AC64" s="34">
        <v>2</v>
      </c>
      <c r="AD64" s="35">
        <f t="shared" si="8"/>
        <v>66.666666666666657</v>
      </c>
      <c r="AE64" s="36">
        <v>2</v>
      </c>
      <c r="AF64" s="36">
        <v>1</v>
      </c>
      <c r="AG64" s="35">
        <f t="shared" si="9"/>
        <v>50</v>
      </c>
      <c r="AH64" s="34">
        <v>8</v>
      </c>
      <c r="AI64" s="34">
        <v>7</v>
      </c>
      <c r="AJ64" s="35">
        <f t="shared" si="10"/>
        <v>87.5</v>
      </c>
      <c r="AK64" s="36">
        <v>3</v>
      </c>
      <c r="AL64" s="36">
        <v>2</v>
      </c>
      <c r="AM64" s="35">
        <f t="shared" si="11"/>
        <v>66.666666666666657</v>
      </c>
      <c r="AN64" s="34">
        <v>4</v>
      </c>
      <c r="AO64" s="34">
        <v>4</v>
      </c>
      <c r="AP64" s="35">
        <f t="shared" si="12"/>
        <v>100</v>
      </c>
      <c r="AQ64" s="36">
        <v>2</v>
      </c>
      <c r="AR64" s="36">
        <v>2</v>
      </c>
      <c r="AS64" s="35">
        <f t="shared" si="13"/>
        <v>100</v>
      </c>
      <c r="AT64" s="10">
        <f t="shared" si="14"/>
        <v>40</v>
      </c>
      <c r="AU64" s="10">
        <f t="shared" si="14"/>
        <v>30</v>
      </c>
      <c r="AV64" s="26">
        <f t="shared" si="15"/>
        <v>75</v>
      </c>
      <c r="AW64" s="10">
        <f t="shared" si="16"/>
        <v>27</v>
      </c>
      <c r="AX64" s="10">
        <f t="shared" si="16"/>
        <v>16</v>
      </c>
      <c r="AY64" s="26">
        <f t="shared" si="17"/>
        <v>59.259259259259252</v>
      </c>
      <c r="AZ64" s="10">
        <f t="shared" si="18"/>
        <v>67</v>
      </c>
      <c r="BA64" s="10">
        <f t="shared" si="18"/>
        <v>46</v>
      </c>
      <c r="BB64" s="27">
        <f t="shared" si="19"/>
        <v>68.656716417910445</v>
      </c>
    </row>
    <row r="65" spans="1:54" ht="14.25" customHeight="1">
      <c r="A65" s="31">
        <v>59</v>
      </c>
      <c r="B65" s="32">
        <v>1230321057</v>
      </c>
      <c r="C65" s="33" t="s">
        <v>80</v>
      </c>
      <c r="D65" s="34">
        <v>4</v>
      </c>
      <c r="E65" s="34">
        <v>2</v>
      </c>
      <c r="F65" s="35">
        <f t="shared" si="0"/>
        <v>50</v>
      </c>
      <c r="G65" s="34">
        <v>4</v>
      </c>
      <c r="H65" s="36">
        <v>2</v>
      </c>
      <c r="I65" s="35">
        <f t="shared" si="1"/>
        <v>50</v>
      </c>
      <c r="J65" s="34">
        <v>10</v>
      </c>
      <c r="K65" s="34">
        <v>5</v>
      </c>
      <c r="L65" s="35">
        <f t="shared" si="2"/>
        <v>50</v>
      </c>
      <c r="M65" s="36">
        <v>9</v>
      </c>
      <c r="N65" s="36">
        <v>4</v>
      </c>
      <c r="O65" s="35">
        <f t="shared" si="3"/>
        <v>44.444444444444443</v>
      </c>
      <c r="P65" s="34">
        <v>9</v>
      </c>
      <c r="Q65" s="34">
        <v>8</v>
      </c>
      <c r="R65" s="35">
        <f t="shared" si="4"/>
        <v>88.888888888888886</v>
      </c>
      <c r="S65" s="36">
        <v>3</v>
      </c>
      <c r="T65" s="36">
        <v>2</v>
      </c>
      <c r="U65" s="35">
        <f t="shared" si="5"/>
        <v>66.666666666666657</v>
      </c>
      <c r="V65" s="34">
        <v>2</v>
      </c>
      <c r="W65" s="34">
        <v>2</v>
      </c>
      <c r="X65" s="35">
        <f t="shared" si="6"/>
        <v>100</v>
      </c>
      <c r="Y65" s="36">
        <v>4</v>
      </c>
      <c r="Z65" s="36">
        <v>3</v>
      </c>
      <c r="AA65" s="35">
        <f t="shared" si="7"/>
        <v>75</v>
      </c>
      <c r="AB65" s="34">
        <v>3</v>
      </c>
      <c r="AC65" s="34">
        <v>3</v>
      </c>
      <c r="AD65" s="35">
        <f t="shared" si="8"/>
        <v>100</v>
      </c>
      <c r="AE65" s="36">
        <v>2</v>
      </c>
      <c r="AF65" s="36">
        <v>1</v>
      </c>
      <c r="AG65" s="35">
        <f t="shared" si="9"/>
        <v>50</v>
      </c>
      <c r="AH65" s="34">
        <v>8</v>
      </c>
      <c r="AI65" s="34">
        <v>7</v>
      </c>
      <c r="AJ65" s="35">
        <f t="shared" si="10"/>
        <v>87.5</v>
      </c>
      <c r="AK65" s="36">
        <v>3</v>
      </c>
      <c r="AL65" s="36">
        <v>2</v>
      </c>
      <c r="AM65" s="35">
        <f t="shared" si="11"/>
        <v>66.666666666666657</v>
      </c>
      <c r="AN65" s="34">
        <v>4</v>
      </c>
      <c r="AO65" s="34">
        <v>4</v>
      </c>
      <c r="AP65" s="35">
        <f t="shared" si="12"/>
        <v>100</v>
      </c>
      <c r="AQ65" s="36">
        <v>2</v>
      </c>
      <c r="AR65" s="36">
        <v>2</v>
      </c>
      <c r="AS65" s="35">
        <f t="shared" si="13"/>
        <v>100</v>
      </c>
      <c r="AT65" s="10">
        <f t="shared" si="14"/>
        <v>40</v>
      </c>
      <c r="AU65" s="10">
        <f t="shared" si="14"/>
        <v>31</v>
      </c>
      <c r="AV65" s="26">
        <f t="shared" si="15"/>
        <v>77.5</v>
      </c>
      <c r="AW65" s="10">
        <f t="shared" si="16"/>
        <v>27</v>
      </c>
      <c r="AX65" s="10">
        <f t="shared" si="16"/>
        <v>16</v>
      </c>
      <c r="AY65" s="26">
        <f t="shared" si="17"/>
        <v>59.259259259259252</v>
      </c>
      <c r="AZ65" s="10">
        <f t="shared" si="18"/>
        <v>67</v>
      </c>
      <c r="BA65" s="10">
        <f t="shared" si="18"/>
        <v>47</v>
      </c>
      <c r="BB65" s="27">
        <f t="shared" si="19"/>
        <v>70.149253731343293</v>
      </c>
    </row>
    <row r="66" spans="1:54" ht="14.25" customHeight="1">
      <c r="A66" s="31">
        <v>60</v>
      </c>
      <c r="B66" s="32">
        <v>1230321058</v>
      </c>
      <c r="C66" s="33" t="s">
        <v>81</v>
      </c>
      <c r="D66" s="34">
        <v>4</v>
      </c>
      <c r="E66" s="34">
        <v>2</v>
      </c>
      <c r="F66" s="35">
        <f t="shared" si="0"/>
        <v>50</v>
      </c>
      <c r="G66" s="34">
        <v>4</v>
      </c>
      <c r="H66" s="36">
        <v>2</v>
      </c>
      <c r="I66" s="35">
        <f t="shared" si="1"/>
        <v>50</v>
      </c>
      <c r="J66" s="34">
        <v>10</v>
      </c>
      <c r="K66" s="34">
        <v>5</v>
      </c>
      <c r="L66" s="35">
        <f t="shared" si="2"/>
        <v>50</v>
      </c>
      <c r="M66" s="36">
        <v>9</v>
      </c>
      <c r="N66" s="36">
        <v>4</v>
      </c>
      <c r="O66" s="35">
        <f t="shared" si="3"/>
        <v>44.444444444444443</v>
      </c>
      <c r="P66" s="34">
        <v>9</v>
      </c>
      <c r="Q66" s="34">
        <v>8</v>
      </c>
      <c r="R66" s="35">
        <f t="shared" si="4"/>
        <v>88.888888888888886</v>
      </c>
      <c r="S66" s="36">
        <v>3</v>
      </c>
      <c r="T66" s="36">
        <v>2</v>
      </c>
      <c r="U66" s="35">
        <f t="shared" si="5"/>
        <v>66.666666666666657</v>
      </c>
      <c r="V66" s="34">
        <v>2</v>
      </c>
      <c r="W66" s="34">
        <v>2</v>
      </c>
      <c r="X66" s="35">
        <f t="shared" si="6"/>
        <v>100</v>
      </c>
      <c r="Y66" s="36">
        <v>4</v>
      </c>
      <c r="Z66" s="36">
        <v>3</v>
      </c>
      <c r="AA66" s="35">
        <f t="shared" si="7"/>
        <v>75</v>
      </c>
      <c r="AB66" s="34">
        <v>3</v>
      </c>
      <c r="AC66" s="34">
        <v>3</v>
      </c>
      <c r="AD66" s="35">
        <f t="shared" si="8"/>
        <v>100</v>
      </c>
      <c r="AE66" s="36">
        <v>2</v>
      </c>
      <c r="AF66" s="36">
        <v>1</v>
      </c>
      <c r="AG66" s="35">
        <f t="shared" si="9"/>
        <v>50</v>
      </c>
      <c r="AH66" s="34">
        <v>8</v>
      </c>
      <c r="AI66" s="34">
        <v>7</v>
      </c>
      <c r="AJ66" s="35">
        <f t="shared" si="10"/>
        <v>87.5</v>
      </c>
      <c r="AK66" s="36">
        <v>3</v>
      </c>
      <c r="AL66" s="36">
        <v>2</v>
      </c>
      <c r="AM66" s="35">
        <f t="shared" si="11"/>
        <v>66.666666666666657</v>
      </c>
      <c r="AN66" s="34">
        <v>4</v>
      </c>
      <c r="AO66" s="34">
        <v>4</v>
      </c>
      <c r="AP66" s="35">
        <f t="shared" si="12"/>
        <v>100</v>
      </c>
      <c r="AQ66" s="36">
        <v>2</v>
      </c>
      <c r="AR66" s="36">
        <v>2</v>
      </c>
      <c r="AS66" s="35">
        <f t="shared" si="13"/>
        <v>100</v>
      </c>
      <c r="AT66" s="10">
        <f t="shared" si="14"/>
        <v>40</v>
      </c>
      <c r="AU66" s="10">
        <f t="shared" si="14"/>
        <v>31</v>
      </c>
      <c r="AV66" s="26">
        <f t="shared" si="15"/>
        <v>77.5</v>
      </c>
      <c r="AW66" s="10">
        <f t="shared" si="16"/>
        <v>27</v>
      </c>
      <c r="AX66" s="10">
        <f t="shared" si="16"/>
        <v>16</v>
      </c>
      <c r="AY66" s="26">
        <f t="shared" si="17"/>
        <v>59.259259259259252</v>
      </c>
      <c r="AZ66" s="10">
        <f t="shared" si="18"/>
        <v>67</v>
      </c>
      <c r="BA66" s="10">
        <f t="shared" si="18"/>
        <v>47</v>
      </c>
      <c r="BB66" s="27">
        <f t="shared" si="19"/>
        <v>70.149253731343293</v>
      </c>
    </row>
    <row r="67" spans="1:54" ht="14.25" customHeight="1">
      <c r="A67" s="31">
        <v>61</v>
      </c>
      <c r="B67" s="32">
        <v>1230321060</v>
      </c>
      <c r="C67" s="33" t="s">
        <v>82</v>
      </c>
      <c r="D67" s="34">
        <v>4</v>
      </c>
      <c r="E67" s="34">
        <v>2</v>
      </c>
      <c r="F67" s="35">
        <f t="shared" si="0"/>
        <v>50</v>
      </c>
      <c r="G67" s="34">
        <v>4</v>
      </c>
      <c r="H67" s="36">
        <v>2</v>
      </c>
      <c r="I67" s="35">
        <f t="shared" si="1"/>
        <v>50</v>
      </c>
      <c r="J67" s="34">
        <v>10</v>
      </c>
      <c r="K67" s="34">
        <v>5</v>
      </c>
      <c r="L67" s="35">
        <f t="shared" si="2"/>
        <v>50</v>
      </c>
      <c r="M67" s="36">
        <v>9</v>
      </c>
      <c r="N67" s="36">
        <v>4</v>
      </c>
      <c r="O67" s="35">
        <f t="shared" si="3"/>
        <v>44.444444444444443</v>
      </c>
      <c r="P67" s="34">
        <v>9</v>
      </c>
      <c r="Q67" s="34">
        <v>8</v>
      </c>
      <c r="R67" s="35">
        <f t="shared" si="4"/>
        <v>88.888888888888886</v>
      </c>
      <c r="S67" s="36">
        <v>3</v>
      </c>
      <c r="T67" s="36">
        <v>2</v>
      </c>
      <c r="U67" s="35">
        <f t="shared" si="5"/>
        <v>66.666666666666657</v>
      </c>
      <c r="V67" s="34">
        <v>2</v>
      </c>
      <c r="W67" s="34">
        <v>2</v>
      </c>
      <c r="X67" s="35">
        <f t="shared" si="6"/>
        <v>100</v>
      </c>
      <c r="Y67" s="36">
        <v>4</v>
      </c>
      <c r="Z67" s="36">
        <v>3</v>
      </c>
      <c r="AA67" s="35">
        <f t="shared" si="7"/>
        <v>75</v>
      </c>
      <c r="AB67" s="34">
        <v>3</v>
      </c>
      <c r="AC67" s="34">
        <v>3</v>
      </c>
      <c r="AD67" s="35">
        <f t="shared" si="8"/>
        <v>100</v>
      </c>
      <c r="AE67" s="36">
        <v>2</v>
      </c>
      <c r="AF67" s="36">
        <v>1</v>
      </c>
      <c r="AG67" s="35">
        <f t="shared" si="9"/>
        <v>50</v>
      </c>
      <c r="AH67" s="34">
        <v>8</v>
      </c>
      <c r="AI67" s="34">
        <v>7</v>
      </c>
      <c r="AJ67" s="35">
        <f t="shared" si="10"/>
        <v>87.5</v>
      </c>
      <c r="AK67" s="36">
        <v>3</v>
      </c>
      <c r="AL67" s="36">
        <v>2</v>
      </c>
      <c r="AM67" s="35">
        <f t="shared" si="11"/>
        <v>66.666666666666657</v>
      </c>
      <c r="AN67" s="34">
        <v>4</v>
      </c>
      <c r="AO67" s="34">
        <v>4</v>
      </c>
      <c r="AP67" s="35">
        <f t="shared" si="12"/>
        <v>100</v>
      </c>
      <c r="AQ67" s="36">
        <v>2</v>
      </c>
      <c r="AR67" s="36">
        <v>2</v>
      </c>
      <c r="AS67" s="35">
        <f t="shared" si="13"/>
        <v>100</v>
      </c>
      <c r="AT67" s="10">
        <f t="shared" si="14"/>
        <v>40</v>
      </c>
      <c r="AU67" s="10">
        <f t="shared" si="14"/>
        <v>31</v>
      </c>
      <c r="AV67" s="26">
        <f t="shared" si="15"/>
        <v>77.5</v>
      </c>
      <c r="AW67" s="10">
        <f t="shared" si="16"/>
        <v>27</v>
      </c>
      <c r="AX67" s="10">
        <f t="shared" si="16"/>
        <v>16</v>
      </c>
      <c r="AY67" s="26">
        <f t="shared" si="17"/>
        <v>59.259259259259252</v>
      </c>
      <c r="AZ67" s="10">
        <f t="shared" si="18"/>
        <v>67</v>
      </c>
      <c r="BA67" s="10">
        <f t="shared" si="18"/>
        <v>47</v>
      </c>
      <c r="BB67" s="27">
        <f t="shared" si="19"/>
        <v>70.149253731343293</v>
      </c>
    </row>
    <row r="68" spans="1:54" ht="14.25" customHeight="1">
      <c r="A68" s="31">
        <v>62</v>
      </c>
      <c r="B68" s="32">
        <v>1230321061</v>
      </c>
      <c r="C68" s="33" t="s">
        <v>130</v>
      </c>
      <c r="D68" s="34">
        <v>4</v>
      </c>
      <c r="E68" s="34">
        <v>2</v>
      </c>
      <c r="F68" s="35">
        <f t="shared" si="0"/>
        <v>50</v>
      </c>
      <c r="G68" s="34">
        <v>4</v>
      </c>
      <c r="H68" s="36">
        <v>2</v>
      </c>
      <c r="I68" s="35">
        <f t="shared" si="1"/>
        <v>50</v>
      </c>
      <c r="J68" s="34">
        <v>10</v>
      </c>
      <c r="K68" s="34">
        <v>5</v>
      </c>
      <c r="L68" s="35">
        <f t="shared" si="2"/>
        <v>50</v>
      </c>
      <c r="M68" s="36">
        <v>9</v>
      </c>
      <c r="N68" s="36">
        <v>4</v>
      </c>
      <c r="O68" s="35">
        <f t="shared" si="3"/>
        <v>44.444444444444443</v>
      </c>
      <c r="P68" s="34">
        <v>9</v>
      </c>
      <c r="Q68" s="34">
        <v>8</v>
      </c>
      <c r="R68" s="35">
        <f t="shared" si="4"/>
        <v>88.888888888888886</v>
      </c>
      <c r="S68" s="36">
        <v>3</v>
      </c>
      <c r="T68" s="36">
        <v>2</v>
      </c>
      <c r="U68" s="35">
        <f t="shared" si="5"/>
        <v>66.666666666666657</v>
      </c>
      <c r="V68" s="34">
        <v>2</v>
      </c>
      <c r="W68" s="34">
        <v>2</v>
      </c>
      <c r="X68" s="35">
        <f t="shared" si="6"/>
        <v>100</v>
      </c>
      <c r="Y68" s="36">
        <v>4</v>
      </c>
      <c r="Z68" s="36">
        <v>3</v>
      </c>
      <c r="AA68" s="35">
        <f t="shared" si="7"/>
        <v>75</v>
      </c>
      <c r="AB68" s="34">
        <v>3</v>
      </c>
      <c r="AC68" s="34">
        <v>3</v>
      </c>
      <c r="AD68" s="35">
        <f t="shared" si="8"/>
        <v>100</v>
      </c>
      <c r="AE68" s="36">
        <v>2</v>
      </c>
      <c r="AF68" s="36">
        <v>1</v>
      </c>
      <c r="AG68" s="35">
        <f t="shared" si="9"/>
        <v>50</v>
      </c>
      <c r="AH68" s="34">
        <v>8</v>
      </c>
      <c r="AI68" s="34">
        <v>7</v>
      </c>
      <c r="AJ68" s="35">
        <f t="shared" si="10"/>
        <v>87.5</v>
      </c>
      <c r="AK68" s="36">
        <v>3</v>
      </c>
      <c r="AL68" s="36">
        <v>2</v>
      </c>
      <c r="AM68" s="35">
        <f t="shared" si="11"/>
        <v>66.666666666666657</v>
      </c>
      <c r="AN68" s="34">
        <v>4</v>
      </c>
      <c r="AO68" s="34">
        <v>4</v>
      </c>
      <c r="AP68" s="35">
        <f t="shared" si="12"/>
        <v>100</v>
      </c>
      <c r="AQ68" s="36">
        <v>2</v>
      </c>
      <c r="AR68" s="36">
        <v>2</v>
      </c>
      <c r="AS68" s="35">
        <f t="shared" si="13"/>
        <v>100</v>
      </c>
      <c r="AT68" s="10">
        <f t="shared" si="14"/>
        <v>40</v>
      </c>
      <c r="AU68" s="10">
        <f t="shared" si="14"/>
        <v>31</v>
      </c>
      <c r="AV68" s="26">
        <f t="shared" si="15"/>
        <v>77.5</v>
      </c>
      <c r="AW68" s="10">
        <f t="shared" si="16"/>
        <v>27</v>
      </c>
      <c r="AX68" s="10">
        <f t="shared" si="16"/>
        <v>16</v>
      </c>
      <c r="AY68" s="26">
        <f t="shared" si="17"/>
        <v>59.259259259259252</v>
      </c>
      <c r="AZ68" s="10">
        <f t="shared" si="18"/>
        <v>67</v>
      </c>
      <c r="BA68" s="10">
        <f t="shared" si="18"/>
        <v>47</v>
      </c>
      <c r="BB68" s="27">
        <f t="shared" si="19"/>
        <v>70.149253731343293</v>
      </c>
    </row>
    <row r="69" spans="1:54" ht="14.25" customHeight="1">
      <c r="A69" s="31">
        <v>63</v>
      </c>
      <c r="B69" s="32">
        <v>1230321062</v>
      </c>
      <c r="C69" s="33" t="s">
        <v>83</v>
      </c>
      <c r="D69" s="34">
        <v>4</v>
      </c>
      <c r="E69" s="34">
        <v>2</v>
      </c>
      <c r="F69" s="35">
        <f t="shared" si="0"/>
        <v>50</v>
      </c>
      <c r="G69" s="34">
        <v>4</v>
      </c>
      <c r="H69" s="36">
        <v>2</v>
      </c>
      <c r="I69" s="35">
        <f t="shared" si="1"/>
        <v>50</v>
      </c>
      <c r="J69" s="34">
        <v>10</v>
      </c>
      <c r="K69" s="34">
        <v>5</v>
      </c>
      <c r="L69" s="35">
        <f t="shared" si="2"/>
        <v>50</v>
      </c>
      <c r="M69" s="36">
        <v>9</v>
      </c>
      <c r="N69" s="36">
        <v>4</v>
      </c>
      <c r="O69" s="35">
        <f t="shared" si="3"/>
        <v>44.444444444444443</v>
      </c>
      <c r="P69" s="34">
        <v>9</v>
      </c>
      <c r="Q69" s="34">
        <v>8</v>
      </c>
      <c r="R69" s="35">
        <f t="shared" si="4"/>
        <v>88.888888888888886</v>
      </c>
      <c r="S69" s="36">
        <v>3</v>
      </c>
      <c r="T69" s="36">
        <v>2</v>
      </c>
      <c r="U69" s="35">
        <f t="shared" si="5"/>
        <v>66.666666666666657</v>
      </c>
      <c r="V69" s="34">
        <v>2</v>
      </c>
      <c r="W69" s="34">
        <v>2</v>
      </c>
      <c r="X69" s="35">
        <f t="shared" si="6"/>
        <v>100</v>
      </c>
      <c r="Y69" s="36">
        <v>4</v>
      </c>
      <c r="Z69" s="36">
        <v>3</v>
      </c>
      <c r="AA69" s="35">
        <f t="shared" si="7"/>
        <v>75</v>
      </c>
      <c r="AB69" s="34">
        <v>3</v>
      </c>
      <c r="AC69" s="34">
        <v>3</v>
      </c>
      <c r="AD69" s="35">
        <f t="shared" si="8"/>
        <v>100</v>
      </c>
      <c r="AE69" s="36">
        <v>2</v>
      </c>
      <c r="AF69" s="36">
        <v>1</v>
      </c>
      <c r="AG69" s="35">
        <f t="shared" si="9"/>
        <v>50</v>
      </c>
      <c r="AH69" s="34">
        <v>8</v>
      </c>
      <c r="AI69" s="34">
        <v>7</v>
      </c>
      <c r="AJ69" s="35">
        <f t="shared" si="10"/>
        <v>87.5</v>
      </c>
      <c r="AK69" s="36">
        <v>3</v>
      </c>
      <c r="AL69" s="36">
        <v>2</v>
      </c>
      <c r="AM69" s="35">
        <f t="shared" si="11"/>
        <v>66.666666666666657</v>
      </c>
      <c r="AN69" s="34">
        <v>4</v>
      </c>
      <c r="AO69" s="34">
        <v>4</v>
      </c>
      <c r="AP69" s="35">
        <f t="shared" si="12"/>
        <v>100</v>
      </c>
      <c r="AQ69" s="36">
        <v>2</v>
      </c>
      <c r="AR69" s="36">
        <v>2</v>
      </c>
      <c r="AS69" s="35">
        <f t="shared" si="13"/>
        <v>100</v>
      </c>
      <c r="AT69" s="10">
        <f t="shared" si="14"/>
        <v>40</v>
      </c>
      <c r="AU69" s="10">
        <f t="shared" si="14"/>
        <v>31</v>
      </c>
      <c r="AV69" s="26">
        <f t="shared" si="15"/>
        <v>77.5</v>
      </c>
      <c r="AW69" s="10">
        <f t="shared" si="16"/>
        <v>27</v>
      </c>
      <c r="AX69" s="10">
        <f t="shared" si="16"/>
        <v>16</v>
      </c>
      <c r="AY69" s="26">
        <f t="shared" si="17"/>
        <v>59.259259259259252</v>
      </c>
      <c r="AZ69" s="10">
        <f t="shared" si="18"/>
        <v>67</v>
      </c>
      <c r="BA69" s="10">
        <f t="shared" si="18"/>
        <v>47</v>
      </c>
      <c r="BB69" s="27">
        <f t="shared" si="19"/>
        <v>70.149253731343293</v>
      </c>
    </row>
    <row r="70" spans="1:54" ht="14.25" customHeight="1">
      <c r="A70" s="31">
        <v>64</v>
      </c>
      <c r="B70" s="32">
        <v>1230321063</v>
      </c>
      <c r="C70" s="33" t="s">
        <v>84</v>
      </c>
      <c r="D70" s="34">
        <v>4</v>
      </c>
      <c r="E70" s="34">
        <v>2</v>
      </c>
      <c r="F70" s="35">
        <f t="shared" si="0"/>
        <v>50</v>
      </c>
      <c r="G70" s="34">
        <v>4</v>
      </c>
      <c r="H70" s="36">
        <v>2</v>
      </c>
      <c r="I70" s="35">
        <f t="shared" si="1"/>
        <v>50</v>
      </c>
      <c r="J70" s="34">
        <v>10</v>
      </c>
      <c r="K70" s="34">
        <v>5</v>
      </c>
      <c r="L70" s="35">
        <f t="shared" si="2"/>
        <v>50</v>
      </c>
      <c r="M70" s="36">
        <v>9</v>
      </c>
      <c r="N70" s="36">
        <v>4</v>
      </c>
      <c r="O70" s="35">
        <f t="shared" si="3"/>
        <v>44.444444444444443</v>
      </c>
      <c r="P70" s="34">
        <v>9</v>
      </c>
      <c r="Q70" s="34">
        <v>8</v>
      </c>
      <c r="R70" s="35">
        <f t="shared" si="4"/>
        <v>88.888888888888886</v>
      </c>
      <c r="S70" s="36">
        <v>3</v>
      </c>
      <c r="T70" s="36">
        <v>2</v>
      </c>
      <c r="U70" s="35">
        <f t="shared" si="5"/>
        <v>66.666666666666657</v>
      </c>
      <c r="V70" s="34">
        <v>2</v>
      </c>
      <c r="W70" s="34">
        <v>2</v>
      </c>
      <c r="X70" s="35">
        <f t="shared" si="6"/>
        <v>100</v>
      </c>
      <c r="Y70" s="36">
        <v>4</v>
      </c>
      <c r="Z70" s="36">
        <v>3</v>
      </c>
      <c r="AA70" s="35">
        <f t="shared" si="7"/>
        <v>75</v>
      </c>
      <c r="AB70" s="34">
        <v>3</v>
      </c>
      <c r="AC70" s="34">
        <v>3</v>
      </c>
      <c r="AD70" s="35">
        <f t="shared" si="8"/>
        <v>100</v>
      </c>
      <c r="AE70" s="36">
        <v>2</v>
      </c>
      <c r="AF70" s="36">
        <v>1</v>
      </c>
      <c r="AG70" s="35">
        <f t="shared" si="9"/>
        <v>50</v>
      </c>
      <c r="AH70" s="34">
        <v>8</v>
      </c>
      <c r="AI70" s="34">
        <v>7</v>
      </c>
      <c r="AJ70" s="35">
        <f t="shared" si="10"/>
        <v>87.5</v>
      </c>
      <c r="AK70" s="36">
        <v>3</v>
      </c>
      <c r="AL70" s="36">
        <v>2</v>
      </c>
      <c r="AM70" s="35">
        <f t="shared" si="11"/>
        <v>66.666666666666657</v>
      </c>
      <c r="AN70" s="34">
        <v>4</v>
      </c>
      <c r="AO70" s="34">
        <v>4</v>
      </c>
      <c r="AP70" s="35">
        <f t="shared" si="12"/>
        <v>100</v>
      </c>
      <c r="AQ70" s="36">
        <v>2</v>
      </c>
      <c r="AR70" s="36">
        <v>2</v>
      </c>
      <c r="AS70" s="35">
        <f t="shared" si="13"/>
        <v>100</v>
      </c>
      <c r="AT70" s="10">
        <f t="shared" si="14"/>
        <v>40</v>
      </c>
      <c r="AU70" s="10">
        <f t="shared" si="14"/>
        <v>31</v>
      </c>
      <c r="AV70" s="26">
        <f t="shared" si="15"/>
        <v>77.5</v>
      </c>
      <c r="AW70" s="10">
        <f t="shared" si="16"/>
        <v>27</v>
      </c>
      <c r="AX70" s="10">
        <f t="shared" si="16"/>
        <v>16</v>
      </c>
      <c r="AY70" s="26">
        <f t="shared" si="17"/>
        <v>59.259259259259252</v>
      </c>
      <c r="AZ70" s="10">
        <f t="shared" si="18"/>
        <v>67</v>
      </c>
      <c r="BA70" s="10">
        <f t="shared" si="18"/>
        <v>47</v>
      </c>
      <c r="BB70" s="27">
        <f t="shared" si="19"/>
        <v>70.149253731343293</v>
      </c>
    </row>
    <row r="71" spans="1:54" ht="14.25" customHeight="1">
      <c r="A71" s="31">
        <v>65</v>
      </c>
      <c r="B71" s="32">
        <v>1230321064</v>
      </c>
      <c r="C71" s="33" t="s">
        <v>131</v>
      </c>
      <c r="D71" s="34">
        <v>4</v>
      </c>
      <c r="E71" s="34">
        <v>2</v>
      </c>
      <c r="F71" s="35">
        <f t="shared" si="0"/>
        <v>50</v>
      </c>
      <c r="G71" s="34">
        <v>4</v>
      </c>
      <c r="H71" s="36">
        <v>2</v>
      </c>
      <c r="I71" s="35">
        <f t="shared" si="1"/>
        <v>50</v>
      </c>
      <c r="J71" s="34">
        <v>10</v>
      </c>
      <c r="K71" s="34">
        <v>5</v>
      </c>
      <c r="L71" s="35">
        <f t="shared" si="2"/>
        <v>50</v>
      </c>
      <c r="M71" s="36">
        <v>9</v>
      </c>
      <c r="N71" s="36">
        <v>4</v>
      </c>
      <c r="O71" s="35">
        <f t="shared" si="3"/>
        <v>44.444444444444443</v>
      </c>
      <c r="P71" s="34">
        <v>9</v>
      </c>
      <c r="Q71" s="34">
        <v>8</v>
      </c>
      <c r="R71" s="35">
        <f t="shared" si="4"/>
        <v>88.888888888888886</v>
      </c>
      <c r="S71" s="36">
        <v>3</v>
      </c>
      <c r="T71" s="36">
        <v>2</v>
      </c>
      <c r="U71" s="35">
        <f t="shared" si="5"/>
        <v>66.666666666666657</v>
      </c>
      <c r="V71" s="34">
        <v>2</v>
      </c>
      <c r="W71" s="34">
        <v>2</v>
      </c>
      <c r="X71" s="35">
        <f t="shared" si="6"/>
        <v>100</v>
      </c>
      <c r="Y71" s="36">
        <v>4</v>
      </c>
      <c r="Z71" s="36">
        <v>3</v>
      </c>
      <c r="AA71" s="35">
        <f t="shared" si="7"/>
        <v>75</v>
      </c>
      <c r="AB71" s="34">
        <v>3</v>
      </c>
      <c r="AC71" s="34">
        <v>3</v>
      </c>
      <c r="AD71" s="35">
        <f t="shared" si="8"/>
        <v>100</v>
      </c>
      <c r="AE71" s="36">
        <v>2</v>
      </c>
      <c r="AF71" s="36">
        <v>1</v>
      </c>
      <c r="AG71" s="35">
        <f t="shared" si="9"/>
        <v>50</v>
      </c>
      <c r="AH71" s="34">
        <v>8</v>
      </c>
      <c r="AI71" s="34">
        <v>7</v>
      </c>
      <c r="AJ71" s="35">
        <f t="shared" si="10"/>
        <v>87.5</v>
      </c>
      <c r="AK71" s="36">
        <v>3</v>
      </c>
      <c r="AL71" s="36">
        <v>2</v>
      </c>
      <c r="AM71" s="35">
        <f t="shared" si="11"/>
        <v>66.666666666666657</v>
      </c>
      <c r="AN71" s="34">
        <v>4</v>
      </c>
      <c r="AO71" s="34">
        <v>4</v>
      </c>
      <c r="AP71" s="35">
        <f t="shared" si="12"/>
        <v>100</v>
      </c>
      <c r="AQ71" s="36">
        <v>2</v>
      </c>
      <c r="AR71" s="36">
        <v>2</v>
      </c>
      <c r="AS71" s="35">
        <f t="shared" si="13"/>
        <v>100</v>
      </c>
      <c r="AT71" s="10">
        <f t="shared" si="14"/>
        <v>40</v>
      </c>
      <c r="AU71" s="10">
        <f t="shared" si="14"/>
        <v>31</v>
      </c>
      <c r="AV71" s="26">
        <f t="shared" si="15"/>
        <v>77.5</v>
      </c>
      <c r="AW71" s="10">
        <f t="shared" si="16"/>
        <v>27</v>
      </c>
      <c r="AX71" s="10">
        <f t="shared" si="16"/>
        <v>16</v>
      </c>
      <c r="AY71" s="26">
        <f t="shared" si="17"/>
        <v>59.259259259259252</v>
      </c>
      <c r="AZ71" s="10">
        <f t="shared" si="18"/>
        <v>67</v>
      </c>
      <c r="BA71" s="10">
        <f t="shared" si="18"/>
        <v>47</v>
      </c>
      <c r="BB71" s="27">
        <f t="shared" si="19"/>
        <v>70.149253731343293</v>
      </c>
    </row>
    <row r="72" spans="1:54" ht="14.25" customHeight="1">
      <c r="A72" s="31">
        <v>66</v>
      </c>
      <c r="B72" s="32">
        <v>1230321065</v>
      </c>
      <c r="C72" s="33" t="s">
        <v>85</v>
      </c>
      <c r="D72" s="34">
        <v>4</v>
      </c>
      <c r="E72" s="34">
        <v>2</v>
      </c>
      <c r="F72" s="35">
        <f t="shared" ref="F72:F83" si="20">E72/D72*100</f>
        <v>50</v>
      </c>
      <c r="G72" s="34">
        <v>4</v>
      </c>
      <c r="H72" s="36">
        <v>2</v>
      </c>
      <c r="I72" s="35">
        <f t="shared" ref="I72:I83" si="21">H72/G72*100</f>
        <v>50</v>
      </c>
      <c r="J72" s="34">
        <v>10</v>
      </c>
      <c r="K72" s="34">
        <v>5</v>
      </c>
      <c r="L72" s="35">
        <f t="shared" ref="L72:L83" si="22">K72/J72*100</f>
        <v>50</v>
      </c>
      <c r="M72" s="36">
        <v>9</v>
      </c>
      <c r="N72" s="36">
        <v>4</v>
      </c>
      <c r="O72" s="35">
        <f t="shared" ref="O72:O83" si="23">N72/M72*100</f>
        <v>44.444444444444443</v>
      </c>
      <c r="P72" s="34">
        <v>9</v>
      </c>
      <c r="Q72" s="34">
        <v>8</v>
      </c>
      <c r="R72" s="35">
        <f t="shared" ref="R72:R83" si="24">Q72/P72*100</f>
        <v>88.888888888888886</v>
      </c>
      <c r="S72" s="36">
        <v>3</v>
      </c>
      <c r="T72" s="36">
        <v>2</v>
      </c>
      <c r="U72" s="35">
        <f t="shared" ref="U72:U83" si="25">T72/S72*100</f>
        <v>66.666666666666657</v>
      </c>
      <c r="V72" s="34">
        <v>2</v>
      </c>
      <c r="W72" s="34">
        <v>2</v>
      </c>
      <c r="X72" s="35">
        <f t="shared" ref="X72:X83" si="26">W72/V72*100</f>
        <v>100</v>
      </c>
      <c r="Y72" s="36">
        <v>4</v>
      </c>
      <c r="Z72" s="36">
        <v>3</v>
      </c>
      <c r="AA72" s="35">
        <f t="shared" ref="AA72:AA83" si="27">Z72/Y72*100</f>
        <v>75</v>
      </c>
      <c r="AB72" s="34">
        <v>3</v>
      </c>
      <c r="AC72" s="34">
        <v>3</v>
      </c>
      <c r="AD72" s="35">
        <f t="shared" ref="AD72:AD83" si="28">AC72/AB72*100</f>
        <v>100</v>
      </c>
      <c r="AE72" s="36">
        <v>2</v>
      </c>
      <c r="AF72" s="36">
        <v>1</v>
      </c>
      <c r="AG72" s="35">
        <f t="shared" ref="AG72:AG83" si="29">AF72/AE72*100</f>
        <v>50</v>
      </c>
      <c r="AH72" s="34">
        <v>8</v>
      </c>
      <c r="AI72" s="34">
        <v>7</v>
      </c>
      <c r="AJ72" s="35">
        <f t="shared" ref="AJ72:AJ83" si="30">AI72/AH72*100</f>
        <v>87.5</v>
      </c>
      <c r="AK72" s="36">
        <v>3</v>
      </c>
      <c r="AL72" s="36">
        <v>2</v>
      </c>
      <c r="AM72" s="35">
        <f t="shared" ref="AM72:AM83" si="31">AL72/AK72*100</f>
        <v>66.666666666666657</v>
      </c>
      <c r="AN72" s="34">
        <v>4</v>
      </c>
      <c r="AO72" s="34">
        <v>4</v>
      </c>
      <c r="AP72" s="35">
        <f t="shared" ref="AP72:AP83" si="32">AO72/AN72*100</f>
        <v>100</v>
      </c>
      <c r="AQ72" s="36">
        <v>2</v>
      </c>
      <c r="AR72" s="36">
        <v>2</v>
      </c>
      <c r="AS72" s="35">
        <f t="shared" ref="AS72:AS88" si="33">AR72/AQ72*100</f>
        <v>100</v>
      </c>
      <c r="AT72" s="10">
        <f t="shared" ref="AT72:AU83" si="34">SUM(D72,J72,P72,V72,AB72,AH72,AN72)</f>
        <v>40</v>
      </c>
      <c r="AU72" s="10">
        <f t="shared" si="34"/>
        <v>31</v>
      </c>
      <c r="AV72" s="26">
        <f t="shared" ref="AV72:AV83" si="35">AU72/AT72*100</f>
        <v>77.5</v>
      </c>
      <c r="AW72" s="10">
        <f t="shared" ref="AW72:AX83" si="36">SUM(G72,M72,S72,Y72,AE72,AK72,AQ72)</f>
        <v>27</v>
      </c>
      <c r="AX72" s="10">
        <f t="shared" si="36"/>
        <v>16</v>
      </c>
      <c r="AY72" s="26">
        <f t="shared" ref="AY72:AY83" si="37">AX72/AW72*100</f>
        <v>59.259259259259252</v>
      </c>
      <c r="AZ72" s="10">
        <f t="shared" ref="AZ72:BA83" si="38">SUM(AT72,AW72)</f>
        <v>67</v>
      </c>
      <c r="BA72" s="10">
        <f t="shared" si="38"/>
        <v>47</v>
      </c>
      <c r="BB72" s="27">
        <f t="shared" ref="BB72:BB83" si="39">BA72/AZ72*100</f>
        <v>70.149253731343293</v>
      </c>
    </row>
    <row r="73" spans="1:54" ht="14.25" customHeight="1">
      <c r="A73" s="31">
        <v>67</v>
      </c>
      <c r="B73" s="32">
        <v>1230321066</v>
      </c>
      <c r="C73" s="33" t="s">
        <v>86</v>
      </c>
      <c r="D73" s="34">
        <v>4</v>
      </c>
      <c r="E73" s="34">
        <v>2</v>
      </c>
      <c r="F73" s="35">
        <f t="shared" si="20"/>
        <v>50</v>
      </c>
      <c r="G73" s="34">
        <v>4</v>
      </c>
      <c r="H73" s="36">
        <v>2</v>
      </c>
      <c r="I73" s="35">
        <f t="shared" si="21"/>
        <v>50</v>
      </c>
      <c r="J73" s="34">
        <v>10</v>
      </c>
      <c r="K73" s="34">
        <v>5</v>
      </c>
      <c r="L73" s="35">
        <f t="shared" si="22"/>
        <v>50</v>
      </c>
      <c r="M73" s="36">
        <v>9</v>
      </c>
      <c r="N73" s="36">
        <v>4</v>
      </c>
      <c r="O73" s="35">
        <f t="shared" si="23"/>
        <v>44.444444444444443</v>
      </c>
      <c r="P73" s="34">
        <v>9</v>
      </c>
      <c r="Q73" s="34">
        <v>8</v>
      </c>
      <c r="R73" s="35">
        <f t="shared" si="24"/>
        <v>88.888888888888886</v>
      </c>
      <c r="S73" s="36">
        <v>3</v>
      </c>
      <c r="T73" s="36">
        <v>2</v>
      </c>
      <c r="U73" s="35">
        <f t="shared" si="25"/>
        <v>66.666666666666657</v>
      </c>
      <c r="V73" s="34">
        <v>2</v>
      </c>
      <c r="W73" s="34">
        <v>2</v>
      </c>
      <c r="X73" s="35">
        <f t="shared" si="26"/>
        <v>100</v>
      </c>
      <c r="Y73" s="36">
        <v>4</v>
      </c>
      <c r="Z73" s="36">
        <v>3</v>
      </c>
      <c r="AA73" s="35">
        <f t="shared" si="27"/>
        <v>75</v>
      </c>
      <c r="AB73" s="34">
        <v>3</v>
      </c>
      <c r="AC73" s="34">
        <v>3</v>
      </c>
      <c r="AD73" s="35">
        <f t="shared" si="28"/>
        <v>100</v>
      </c>
      <c r="AE73" s="36">
        <v>2</v>
      </c>
      <c r="AF73" s="36">
        <v>1</v>
      </c>
      <c r="AG73" s="35">
        <f t="shared" si="29"/>
        <v>50</v>
      </c>
      <c r="AH73" s="34">
        <v>8</v>
      </c>
      <c r="AI73" s="34">
        <v>7</v>
      </c>
      <c r="AJ73" s="35">
        <f t="shared" si="30"/>
        <v>87.5</v>
      </c>
      <c r="AK73" s="36">
        <v>3</v>
      </c>
      <c r="AL73" s="36">
        <v>2</v>
      </c>
      <c r="AM73" s="35">
        <f t="shared" si="31"/>
        <v>66.666666666666657</v>
      </c>
      <c r="AN73" s="34">
        <v>4</v>
      </c>
      <c r="AO73" s="34">
        <v>4</v>
      </c>
      <c r="AP73" s="35">
        <f t="shared" si="32"/>
        <v>100</v>
      </c>
      <c r="AQ73" s="36">
        <v>2</v>
      </c>
      <c r="AR73" s="36">
        <v>2</v>
      </c>
      <c r="AS73" s="35">
        <f t="shared" si="33"/>
        <v>100</v>
      </c>
      <c r="AT73" s="10">
        <f t="shared" si="34"/>
        <v>40</v>
      </c>
      <c r="AU73" s="10">
        <f t="shared" si="34"/>
        <v>31</v>
      </c>
      <c r="AV73" s="26">
        <f t="shared" si="35"/>
        <v>77.5</v>
      </c>
      <c r="AW73" s="10">
        <f t="shared" si="36"/>
        <v>27</v>
      </c>
      <c r="AX73" s="10">
        <f t="shared" si="36"/>
        <v>16</v>
      </c>
      <c r="AY73" s="26">
        <f t="shared" si="37"/>
        <v>59.259259259259252</v>
      </c>
      <c r="AZ73" s="10">
        <f t="shared" si="38"/>
        <v>67</v>
      </c>
      <c r="BA73" s="10">
        <f t="shared" si="38"/>
        <v>47</v>
      </c>
      <c r="BB73" s="27">
        <f t="shared" si="39"/>
        <v>70.149253731343293</v>
      </c>
    </row>
    <row r="74" spans="1:54" ht="14.25" customHeight="1">
      <c r="A74" s="31">
        <v>68</v>
      </c>
      <c r="B74" s="32">
        <v>1230321067</v>
      </c>
      <c r="C74" s="33" t="s">
        <v>87</v>
      </c>
      <c r="D74" s="34">
        <v>4</v>
      </c>
      <c r="E74" s="34">
        <v>2</v>
      </c>
      <c r="F74" s="35">
        <f t="shared" si="20"/>
        <v>50</v>
      </c>
      <c r="G74" s="34">
        <v>4</v>
      </c>
      <c r="H74" s="36">
        <v>2</v>
      </c>
      <c r="I74" s="35">
        <f t="shared" si="21"/>
        <v>50</v>
      </c>
      <c r="J74" s="34">
        <v>10</v>
      </c>
      <c r="K74" s="34">
        <v>5</v>
      </c>
      <c r="L74" s="35">
        <f t="shared" si="22"/>
        <v>50</v>
      </c>
      <c r="M74" s="36">
        <v>9</v>
      </c>
      <c r="N74" s="36">
        <v>4</v>
      </c>
      <c r="O74" s="35">
        <f t="shared" si="23"/>
        <v>44.444444444444443</v>
      </c>
      <c r="P74" s="34">
        <v>9</v>
      </c>
      <c r="Q74" s="34">
        <v>8</v>
      </c>
      <c r="R74" s="35">
        <f t="shared" si="24"/>
        <v>88.888888888888886</v>
      </c>
      <c r="S74" s="36">
        <v>3</v>
      </c>
      <c r="T74" s="36">
        <v>2</v>
      </c>
      <c r="U74" s="35">
        <f t="shared" si="25"/>
        <v>66.666666666666657</v>
      </c>
      <c r="V74" s="34">
        <v>2</v>
      </c>
      <c r="W74" s="34">
        <v>2</v>
      </c>
      <c r="X74" s="35">
        <f t="shared" si="26"/>
        <v>100</v>
      </c>
      <c r="Y74" s="36">
        <v>4</v>
      </c>
      <c r="Z74" s="36">
        <v>3</v>
      </c>
      <c r="AA74" s="35">
        <f t="shared" si="27"/>
        <v>75</v>
      </c>
      <c r="AB74" s="34">
        <v>3</v>
      </c>
      <c r="AC74" s="34">
        <v>3</v>
      </c>
      <c r="AD74" s="35">
        <f t="shared" si="28"/>
        <v>100</v>
      </c>
      <c r="AE74" s="36">
        <v>2</v>
      </c>
      <c r="AF74" s="34">
        <v>2</v>
      </c>
      <c r="AG74" s="35">
        <f t="shared" si="29"/>
        <v>100</v>
      </c>
      <c r="AH74" s="34">
        <v>8</v>
      </c>
      <c r="AI74" s="34">
        <v>7</v>
      </c>
      <c r="AJ74" s="35">
        <f t="shared" si="30"/>
        <v>87.5</v>
      </c>
      <c r="AK74" s="36">
        <v>3</v>
      </c>
      <c r="AL74" s="36">
        <v>2</v>
      </c>
      <c r="AM74" s="35">
        <f t="shared" si="31"/>
        <v>66.666666666666657</v>
      </c>
      <c r="AN74" s="34">
        <v>4</v>
      </c>
      <c r="AO74" s="34">
        <v>4</v>
      </c>
      <c r="AP74" s="35">
        <f t="shared" si="32"/>
        <v>100</v>
      </c>
      <c r="AQ74" s="36">
        <v>2</v>
      </c>
      <c r="AR74" s="36">
        <v>2</v>
      </c>
      <c r="AS74" s="35">
        <f t="shared" si="33"/>
        <v>100</v>
      </c>
      <c r="AT74" s="10">
        <f t="shared" si="34"/>
        <v>40</v>
      </c>
      <c r="AU74" s="10">
        <f t="shared" si="34"/>
        <v>31</v>
      </c>
      <c r="AV74" s="26">
        <f t="shared" si="35"/>
        <v>77.5</v>
      </c>
      <c r="AW74" s="10">
        <f t="shared" si="36"/>
        <v>27</v>
      </c>
      <c r="AX74" s="10">
        <f t="shared" si="36"/>
        <v>17</v>
      </c>
      <c r="AY74" s="26">
        <f t="shared" si="37"/>
        <v>62.962962962962962</v>
      </c>
      <c r="AZ74" s="10">
        <f t="shared" si="38"/>
        <v>67</v>
      </c>
      <c r="BA74" s="10">
        <f t="shared" si="38"/>
        <v>48</v>
      </c>
      <c r="BB74" s="27">
        <f t="shared" si="39"/>
        <v>71.641791044776113</v>
      </c>
    </row>
    <row r="75" spans="1:54" ht="14.25" customHeight="1">
      <c r="A75" s="31">
        <v>69</v>
      </c>
      <c r="B75" s="32">
        <v>1230321068</v>
      </c>
      <c r="C75" s="33" t="s">
        <v>88</v>
      </c>
      <c r="D75" s="34">
        <v>4</v>
      </c>
      <c r="E75" s="34">
        <v>2</v>
      </c>
      <c r="F75" s="35">
        <f t="shared" si="20"/>
        <v>50</v>
      </c>
      <c r="G75" s="34">
        <v>4</v>
      </c>
      <c r="H75" s="36">
        <v>2</v>
      </c>
      <c r="I75" s="35">
        <f t="shared" si="21"/>
        <v>50</v>
      </c>
      <c r="J75" s="34">
        <v>10</v>
      </c>
      <c r="K75" s="34">
        <v>5</v>
      </c>
      <c r="L75" s="35">
        <f t="shared" si="22"/>
        <v>50</v>
      </c>
      <c r="M75" s="36">
        <v>9</v>
      </c>
      <c r="N75" s="36">
        <v>4</v>
      </c>
      <c r="O75" s="35">
        <f t="shared" si="23"/>
        <v>44.444444444444443</v>
      </c>
      <c r="P75" s="34">
        <v>9</v>
      </c>
      <c r="Q75" s="34">
        <v>8</v>
      </c>
      <c r="R75" s="35">
        <f t="shared" si="24"/>
        <v>88.888888888888886</v>
      </c>
      <c r="S75" s="36">
        <v>3</v>
      </c>
      <c r="T75" s="36">
        <v>2</v>
      </c>
      <c r="U75" s="35">
        <f t="shared" si="25"/>
        <v>66.666666666666657</v>
      </c>
      <c r="V75" s="34">
        <v>2</v>
      </c>
      <c r="W75" s="34">
        <v>2</v>
      </c>
      <c r="X75" s="35">
        <f t="shared" si="26"/>
        <v>100</v>
      </c>
      <c r="Y75" s="36">
        <v>4</v>
      </c>
      <c r="Z75" s="36">
        <v>3</v>
      </c>
      <c r="AA75" s="35">
        <f t="shared" si="27"/>
        <v>75</v>
      </c>
      <c r="AB75" s="34">
        <v>3</v>
      </c>
      <c r="AC75" s="34">
        <v>3</v>
      </c>
      <c r="AD75" s="35">
        <f t="shared" si="28"/>
        <v>100</v>
      </c>
      <c r="AE75" s="36">
        <v>2</v>
      </c>
      <c r="AF75" s="34">
        <v>2</v>
      </c>
      <c r="AG75" s="35">
        <f t="shared" si="29"/>
        <v>100</v>
      </c>
      <c r="AH75" s="34">
        <v>8</v>
      </c>
      <c r="AI75" s="34">
        <v>7</v>
      </c>
      <c r="AJ75" s="35">
        <f t="shared" si="30"/>
        <v>87.5</v>
      </c>
      <c r="AK75" s="36">
        <v>3</v>
      </c>
      <c r="AL75" s="36">
        <v>2</v>
      </c>
      <c r="AM75" s="35">
        <f t="shared" si="31"/>
        <v>66.666666666666657</v>
      </c>
      <c r="AN75" s="34">
        <v>4</v>
      </c>
      <c r="AO75" s="34">
        <v>4</v>
      </c>
      <c r="AP75" s="35">
        <f t="shared" si="32"/>
        <v>100</v>
      </c>
      <c r="AQ75" s="36">
        <v>2</v>
      </c>
      <c r="AR75" s="36">
        <v>2</v>
      </c>
      <c r="AS75" s="35">
        <f t="shared" si="33"/>
        <v>100</v>
      </c>
      <c r="AT75" s="10">
        <f t="shared" si="34"/>
        <v>40</v>
      </c>
      <c r="AU75" s="10">
        <f t="shared" si="34"/>
        <v>31</v>
      </c>
      <c r="AV75" s="26">
        <f t="shared" si="35"/>
        <v>77.5</v>
      </c>
      <c r="AW75" s="10">
        <f t="shared" si="36"/>
        <v>27</v>
      </c>
      <c r="AX75" s="10">
        <f t="shared" si="36"/>
        <v>17</v>
      </c>
      <c r="AY75" s="26">
        <f t="shared" si="37"/>
        <v>62.962962962962962</v>
      </c>
      <c r="AZ75" s="10">
        <f t="shared" si="38"/>
        <v>67</v>
      </c>
      <c r="BA75" s="10">
        <f t="shared" si="38"/>
        <v>48</v>
      </c>
      <c r="BB75" s="27">
        <f t="shared" si="39"/>
        <v>71.641791044776113</v>
      </c>
    </row>
    <row r="76" spans="1:54" ht="14.25" customHeight="1">
      <c r="A76" s="31">
        <v>70</v>
      </c>
      <c r="B76" s="32">
        <v>1230321069</v>
      </c>
      <c r="C76" s="33" t="s">
        <v>89</v>
      </c>
      <c r="D76" s="34">
        <v>4</v>
      </c>
      <c r="E76" s="34">
        <v>2</v>
      </c>
      <c r="F76" s="35">
        <f t="shared" si="20"/>
        <v>50</v>
      </c>
      <c r="G76" s="34">
        <v>4</v>
      </c>
      <c r="H76" s="36">
        <v>2</v>
      </c>
      <c r="I76" s="35">
        <f t="shared" si="21"/>
        <v>50</v>
      </c>
      <c r="J76" s="34">
        <v>10</v>
      </c>
      <c r="K76" s="34">
        <v>5</v>
      </c>
      <c r="L76" s="35">
        <f t="shared" si="22"/>
        <v>50</v>
      </c>
      <c r="M76" s="36">
        <v>9</v>
      </c>
      <c r="N76" s="36">
        <v>4</v>
      </c>
      <c r="O76" s="35">
        <f t="shared" si="23"/>
        <v>44.444444444444443</v>
      </c>
      <c r="P76" s="34">
        <v>9</v>
      </c>
      <c r="Q76" s="34">
        <v>8</v>
      </c>
      <c r="R76" s="35">
        <f t="shared" si="24"/>
        <v>88.888888888888886</v>
      </c>
      <c r="S76" s="36">
        <v>3</v>
      </c>
      <c r="T76" s="36">
        <v>2</v>
      </c>
      <c r="U76" s="35">
        <f t="shared" si="25"/>
        <v>66.666666666666657</v>
      </c>
      <c r="V76" s="34">
        <v>2</v>
      </c>
      <c r="W76" s="34">
        <v>2</v>
      </c>
      <c r="X76" s="35">
        <f t="shared" si="26"/>
        <v>100</v>
      </c>
      <c r="Y76" s="36">
        <v>4</v>
      </c>
      <c r="Z76" s="36">
        <v>3</v>
      </c>
      <c r="AA76" s="35">
        <f t="shared" si="27"/>
        <v>75</v>
      </c>
      <c r="AB76" s="34">
        <v>3</v>
      </c>
      <c r="AC76" s="34">
        <v>3</v>
      </c>
      <c r="AD76" s="35">
        <f t="shared" si="28"/>
        <v>100</v>
      </c>
      <c r="AE76" s="36">
        <v>2</v>
      </c>
      <c r="AF76" s="34">
        <v>2</v>
      </c>
      <c r="AG76" s="35">
        <f t="shared" si="29"/>
        <v>100</v>
      </c>
      <c r="AH76" s="34">
        <v>8</v>
      </c>
      <c r="AI76" s="34">
        <v>7</v>
      </c>
      <c r="AJ76" s="35">
        <f t="shared" si="30"/>
        <v>87.5</v>
      </c>
      <c r="AK76" s="36">
        <v>3</v>
      </c>
      <c r="AL76" s="36">
        <v>2</v>
      </c>
      <c r="AM76" s="35">
        <f t="shared" si="31"/>
        <v>66.666666666666657</v>
      </c>
      <c r="AN76" s="34">
        <v>4</v>
      </c>
      <c r="AO76" s="34">
        <v>4</v>
      </c>
      <c r="AP76" s="35">
        <f t="shared" si="32"/>
        <v>100</v>
      </c>
      <c r="AQ76" s="36">
        <v>2</v>
      </c>
      <c r="AR76" s="36">
        <v>2</v>
      </c>
      <c r="AS76" s="35">
        <f t="shared" si="33"/>
        <v>100</v>
      </c>
      <c r="AT76" s="10">
        <f t="shared" si="34"/>
        <v>40</v>
      </c>
      <c r="AU76" s="10">
        <f t="shared" si="34"/>
        <v>31</v>
      </c>
      <c r="AV76" s="26">
        <f t="shared" si="35"/>
        <v>77.5</v>
      </c>
      <c r="AW76" s="10">
        <f t="shared" si="36"/>
        <v>27</v>
      </c>
      <c r="AX76" s="10">
        <f t="shared" si="36"/>
        <v>17</v>
      </c>
      <c r="AY76" s="26">
        <f t="shared" si="37"/>
        <v>62.962962962962962</v>
      </c>
      <c r="AZ76" s="10">
        <f t="shared" si="38"/>
        <v>67</v>
      </c>
      <c r="BA76" s="10">
        <f t="shared" si="38"/>
        <v>48</v>
      </c>
      <c r="BB76" s="27">
        <f t="shared" si="39"/>
        <v>71.641791044776113</v>
      </c>
    </row>
    <row r="77" spans="1:54" ht="14.25" customHeight="1">
      <c r="A77" s="31">
        <v>71</v>
      </c>
      <c r="B77" s="32">
        <v>1230321070</v>
      </c>
      <c r="C77" s="33" t="s">
        <v>90</v>
      </c>
      <c r="D77" s="34">
        <v>4</v>
      </c>
      <c r="E77" s="34">
        <v>2</v>
      </c>
      <c r="F77" s="35">
        <f t="shared" si="20"/>
        <v>50</v>
      </c>
      <c r="G77" s="34">
        <v>4</v>
      </c>
      <c r="H77" s="36">
        <v>2</v>
      </c>
      <c r="I77" s="35">
        <f t="shared" si="21"/>
        <v>50</v>
      </c>
      <c r="J77" s="34">
        <v>10</v>
      </c>
      <c r="K77" s="34">
        <v>5</v>
      </c>
      <c r="L77" s="35">
        <f t="shared" si="22"/>
        <v>50</v>
      </c>
      <c r="M77" s="36">
        <v>9</v>
      </c>
      <c r="N77" s="36">
        <v>4</v>
      </c>
      <c r="O77" s="35">
        <f t="shared" si="23"/>
        <v>44.444444444444443</v>
      </c>
      <c r="P77" s="34">
        <v>9</v>
      </c>
      <c r="Q77" s="34">
        <v>8</v>
      </c>
      <c r="R77" s="35">
        <f t="shared" si="24"/>
        <v>88.888888888888886</v>
      </c>
      <c r="S77" s="36">
        <v>3</v>
      </c>
      <c r="T77" s="36">
        <v>2</v>
      </c>
      <c r="U77" s="35">
        <f t="shared" si="25"/>
        <v>66.666666666666657</v>
      </c>
      <c r="V77" s="34">
        <v>2</v>
      </c>
      <c r="W77" s="34">
        <v>2</v>
      </c>
      <c r="X77" s="35">
        <f t="shared" si="26"/>
        <v>100</v>
      </c>
      <c r="Y77" s="36">
        <v>4</v>
      </c>
      <c r="Z77" s="36">
        <v>3</v>
      </c>
      <c r="AA77" s="35">
        <f t="shared" si="27"/>
        <v>75</v>
      </c>
      <c r="AB77" s="34">
        <v>3</v>
      </c>
      <c r="AC77" s="34">
        <v>3</v>
      </c>
      <c r="AD77" s="35">
        <f t="shared" si="28"/>
        <v>100</v>
      </c>
      <c r="AE77" s="36">
        <v>2</v>
      </c>
      <c r="AF77" s="34">
        <v>2</v>
      </c>
      <c r="AG77" s="35">
        <f t="shared" si="29"/>
        <v>100</v>
      </c>
      <c r="AH77" s="34">
        <v>8</v>
      </c>
      <c r="AI77" s="34">
        <v>7</v>
      </c>
      <c r="AJ77" s="35">
        <f t="shared" si="30"/>
        <v>87.5</v>
      </c>
      <c r="AK77" s="36">
        <v>3</v>
      </c>
      <c r="AL77" s="36">
        <v>2</v>
      </c>
      <c r="AM77" s="35">
        <f t="shared" si="31"/>
        <v>66.666666666666657</v>
      </c>
      <c r="AN77" s="34">
        <v>4</v>
      </c>
      <c r="AO77" s="34">
        <v>4</v>
      </c>
      <c r="AP77" s="35">
        <f t="shared" si="32"/>
        <v>100</v>
      </c>
      <c r="AQ77" s="36">
        <v>2</v>
      </c>
      <c r="AR77" s="36">
        <v>2</v>
      </c>
      <c r="AS77" s="35">
        <f t="shared" si="33"/>
        <v>100</v>
      </c>
      <c r="AT77" s="10">
        <f t="shared" si="34"/>
        <v>40</v>
      </c>
      <c r="AU77" s="10">
        <f t="shared" si="34"/>
        <v>31</v>
      </c>
      <c r="AV77" s="26">
        <f t="shared" si="35"/>
        <v>77.5</v>
      </c>
      <c r="AW77" s="10">
        <f t="shared" si="36"/>
        <v>27</v>
      </c>
      <c r="AX77" s="10">
        <f t="shared" si="36"/>
        <v>17</v>
      </c>
      <c r="AY77" s="26">
        <f t="shared" si="37"/>
        <v>62.962962962962962</v>
      </c>
      <c r="AZ77" s="10">
        <f t="shared" si="38"/>
        <v>67</v>
      </c>
      <c r="BA77" s="10">
        <f t="shared" si="38"/>
        <v>48</v>
      </c>
      <c r="BB77" s="27">
        <f t="shared" si="39"/>
        <v>71.641791044776113</v>
      </c>
    </row>
    <row r="78" spans="1:54" ht="14.25" customHeight="1">
      <c r="A78" s="31">
        <v>72</v>
      </c>
      <c r="B78" s="32">
        <v>1230321071</v>
      </c>
      <c r="C78" s="33" t="s">
        <v>91</v>
      </c>
      <c r="D78" s="34">
        <v>4</v>
      </c>
      <c r="E78" s="34">
        <v>2</v>
      </c>
      <c r="F78" s="35">
        <f t="shared" si="20"/>
        <v>50</v>
      </c>
      <c r="G78" s="34">
        <v>4</v>
      </c>
      <c r="H78" s="36">
        <v>2</v>
      </c>
      <c r="I78" s="35">
        <f t="shared" si="21"/>
        <v>50</v>
      </c>
      <c r="J78" s="34">
        <v>10</v>
      </c>
      <c r="K78" s="34">
        <v>5</v>
      </c>
      <c r="L78" s="35">
        <f t="shared" si="22"/>
        <v>50</v>
      </c>
      <c r="M78" s="36">
        <v>9</v>
      </c>
      <c r="N78" s="36">
        <v>4</v>
      </c>
      <c r="O78" s="35">
        <f t="shared" si="23"/>
        <v>44.444444444444443</v>
      </c>
      <c r="P78" s="34">
        <v>9</v>
      </c>
      <c r="Q78" s="34">
        <v>8</v>
      </c>
      <c r="R78" s="35">
        <f t="shared" si="24"/>
        <v>88.888888888888886</v>
      </c>
      <c r="S78" s="36">
        <v>3</v>
      </c>
      <c r="T78" s="36">
        <v>2</v>
      </c>
      <c r="U78" s="35">
        <f t="shared" si="25"/>
        <v>66.666666666666657</v>
      </c>
      <c r="V78" s="34">
        <v>2</v>
      </c>
      <c r="W78" s="34">
        <v>2</v>
      </c>
      <c r="X78" s="35">
        <f t="shared" si="26"/>
        <v>100</v>
      </c>
      <c r="Y78" s="36">
        <v>4</v>
      </c>
      <c r="Z78" s="36">
        <v>3</v>
      </c>
      <c r="AA78" s="35">
        <f t="shared" si="27"/>
        <v>75</v>
      </c>
      <c r="AB78" s="34">
        <v>3</v>
      </c>
      <c r="AC78" s="34">
        <v>3</v>
      </c>
      <c r="AD78" s="35">
        <f t="shared" si="28"/>
        <v>100</v>
      </c>
      <c r="AE78" s="36">
        <v>2</v>
      </c>
      <c r="AF78" s="34">
        <v>2</v>
      </c>
      <c r="AG78" s="35">
        <f t="shared" si="29"/>
        <v>100</v>
      </c>
      <c r="AH78" s="34">
        <v>8</v>
      </c>
      <c r="AI78" s="34">
        <v>7</v>
      </c>
      <c r="AJ78" s="35">
        <f t="shared" si="30"/>
        <v>87.5</v>
      </c>
      <c r="AK78" s="36">
        <v>3</v>
      </c>
      <c r="AL78" s="36">
        <v>2</v>
      </c>
      <c r="AM78" s="35">
        <f t="shared" si="31"/>
        <v>66.666666666666657</v>
      </c>
      <c r="AN78" s="34">
        <v>4</v>
      </c>
      <c r="AO78" s="34">
        <v>4</v>
      </c>
      <c r="AP78" s="35">
        <f t="shared" si="32"/>
        <v>100</v>
      </c>
      <c r="AQ78" s="36">
        <v>2</v>
      </c>
      <c r="AR78" s="36">
        <v>2</v>
      </c>
      <c r="AS78" s="35">
        <f t="shared" si="33"/>
        <v>100</v>
      </c>
      <c r="AT78" s="10">
        <f t="shared" si="34"/>
        <v>40</v>
      </c>
      <c r="AU78" s="10">
        <f t="shared" si="34"/>
        <v>31</v>
      </c>
      <c r="AV78" s="26">
        <f t="shared" si="35"/>
        <v>77.5</v>
      </c>
      <c r="AW78" s="10">
        <f t="shared" si="36"/>
        <v>27</v>
      </c>
      <c r="AX78" s="10">
        <f t="shared" si="36"/>
        <v>17</v>
      </c>
      <c r="AY78" s="26">
        <f t="shared" si="37"/>
        <v>62.962962962962962</v>
      </c>
      <c r="AZ78" s="10">
        <f t="shared" si="38"/>
        <v>67</v>
      </c>
      <c r="BA78" s="10">
        <f t="shared" si="38"/>
        <v>48</v>
      </c>
      <c r="BB78" s="27">
        <f t="shared" si="39"/>
        <v>71.641791044776113</v>
      </c>
    </row>
    <row r="79" spans="1:54" ht="14.25" customHeight="1">
      <c r="A79" s="31">
        <v>73</v>
      </c>
      <c r="B79" s="32">
        <v>1230321072</v>
      </c>
      <c r="C79" s="33" t="s">
        <v>92</v>
      </c>
      <c r="D79" s="34">
        <v>4</v>
      </c>
      <c r="E79" s="34">
        <v>2</v>
      </c>
      <c r="F79" s="35">
        <f t="shared" si="20"/>
        <v>50</v>
      </c>
      <c r="G79" s="34">
        <v>4</v>
      </c>
      <c r="H79" s="36">
        <v>2</v>
      </c>
      <c r="I79" s="35">
        <f t="shared" si="21"/>
        <v>50</v>
      </c>
      <c r="J79" s="34">
        <v>10</v>
      </c>
      <c r="K79" s="34">
        <v>5</v>
      </c>
      <c r="L79" s="35">
        <f t="shared" si="22"/>
        <v>50</v>
      </c>
      <c r="M79" s="36">
        <v>9</v>
      </c>
      <c r="N79" s="36">
        <v>4</v>
      </c>
      <c r="O79" s="35">
        <f t="shared" si="23"/>
        <v>44.444444444444443</v>
      </c>
      <c r="P79" s="34">
        <v>9</v>
      </c>
      <c r="Q79" s="34">
        <v>8</v>
      </c>
      <c r="R79" s="35">
        <f t="shared" si="24"/>
        <v>88.888888888888886</v>
      </c>
      <c r="S79" s="36">
        <v>3</v>
      </c>
      <c r="T79" s="36">
        <v>2</v>
      </c>
      <c r="U79" s="35">
        <f t="shared" si="25"/>
        <v>66.666666666666657</v>
      </c>
      <c r="V79" s="34">
        <v>2</v>
      </c>
      <c r="W79" s="34">
        <v>2</v>
      </c>
      <c r="X79" s="35">
        <f t="shared" si="26"/>
        <v>100</v>
      </c>
      <c r="Y79" s="36">
        <v>4</v>
      </c>
      <c r="Z79" s="36">
        <v>3</v>
      </c>
      <c r="AA79" s="35">
        <f t="shared" si="27"/>
        <v>75</v>
      </c>
      <c r="AB79" s="34">
        <v>3</v>
      </c>
      <c r="AC79" s="34">
        <v>3</v>
      </c>
      <c r="AD79" s="35">
        <f t="shared" si="28"/>
        <v>100</v>
      </c>
      <c r="AE79" s="36">
        <v>2</v>
      </c>
      <c r="AF79" s="34">
        <v>2</v>
      </c>
      <c r="AG79" s="35">
        <f t="shared" si="29"/>
        <v>100</v>
      </c>
      <c r="AH79" s="34">
        <v>8</v>
      </c>
      <c r="AI79" s="34">
        <v>7</v>
      </c>
      <c r="AJ79" s="35">
        <f t="shared" si="30"/>
        <v>87.5</v>
      </c>
      <c r="AK79" s="36">
        <v>3</v>
      </c>
      <c r="AL79" s="36">
        <v>2</v>
      </c>
      <c r="AM79" s="35">
        <f t="shared" si="31"/>
        <v>66.666666666666657</v>
      </c>
      <c r="AN79" s="34">
        <v>4</v>
      </c>
      <c r="AO79" s="34">
        <v>4</v>
      </c>
      <c r="AP79" s="35">
        <f t="shared" si="32"/>
        <v>100</v>
      </c>
      <c r="AQ79" s="36">
        <v>2</v>
      </c>
      <c r="AR79" s="36">
        <v>2</v>
      </c>
      <c r="AS79" s="35">
        <f t="shared" si="33"/>
        <v>100</v>
      </c>
      <c r="AT79" s="10">
        <f t="shared" si="34"/>
        <v>40</v>
      </c>
      <c r="AU79" s="10">
        <f t="shared" si="34"/>
        <v>31</v>
      </c>
      <c r="AV79" s="26">
        <f t="shared" si="35"/>
        <v>77.5</v>
      </c>
      <c r="AW79" s="10">
        <f t="shared" si="36"/>
        <v>27</v>
      </c>
      <c r="AX79" s="10">
        <f t="shared" si="36"/>
        <v>17</v>
      </c>
      <c r="AY79" s="26">
        <f t="shared" si="37"/>
        <v>62.962962962962962</v>
      </c>
      <c r="AZ79" s="10">
        <f t="shared" si="38"/>
        <v>67</v>
      </c>
      <c r="BA79" s="10">
        <f t="shared" si="38"/>
        <v>48</v>
      </c>
      <c r="BB79" s="27">
        <f t="shared" si="39"/>
        <v>71.641791044776113</v>
      </c>
    </row>
    <row r="80" spans="1:54" ht="14.25" customHeight="1">
      <c r="A80" s="31">
        <v>74</v>
      </c>
      <c r="B80" s="32">
        <v>1230321073</v>
      </c>
      <c r="C80" s="33" t="s">
        <v>93</v>
      </c>
      <c r="D80" s="34">
        <v>4</v>
      </c>
      <c r="E80" s="34">
        <v>2</v>
      </c>
      <c r="F80" s="35">
        <f t="shared" si="20"/>
        <v>50</v>
      </c>
      <c r="G80" s="34">
        <v>4</v>
      </c>
      <c r="H80" s="36">
        <v>2</v>
      </c>
      <c r="I80" s="35">
        <f t="shared" si="21"/>
        <v>50</v>
      </c>
      <c r="J80" s="34">
        <v>10</v>
      </c>
      <c r="K80" s="34">
        <v>5</v>
      </c>
      <c r="L80" s="35">
        <f t="shared" si="22"/>
        <v>50</v>
      </c>
      <c r="M80" s="36">
        <v>9</v>
      </c>
      <c r="N80" s="36">
        <v>4</v>
      </c>
      <c r="O80" s="35">
        <f t="shared" si="23"/>
        <v>44.444444444444443</v>
      </c>
      <c r="P80" s="34">
        <v>9</v>
      </c>
      <c r="Q80" s="34">
        <v>8</v>
      </c>
      <c r="R80" s="35">
        <f t="shared" si="24"/>
        <v>88.888888888888886</v>
      </c>
      <c r="S80" s="36">
        <v>3</v>
      </c>
      <c r="T80" s="36">
        <v>2</v>
      </c>
      <c r="U80" s="35">
        <f t="shared" si="25"/>
        <v>66.666666666666657</v>
      </c>
      <c r="V80" s="34">
        <v>2</v>
      </c>
      <c r="W80" s="34">
        <v>2</v>
      </c>
      <c r="X80" s="35">
        <f t="shared" si="26"/>
        <v>100</v>
      </c>
      <c r="Y80" s="36">
        <v>4</v>
      </c>
      <c r="Z80" s="36">
        <v>3</v>
      </c>
      <c r="AA80" s="35">
        <f t="shared" si="27"/>
        <v>75</v>
      </c>
      <c r="AB80" s="34">
        <v>3</v>
      </c>
      <c r="AC80" s="34">
        <v>3</v>
      </c>
      <c r="AD80" s="35">
        <f t="shared" si="28"/>
        <v>100</v>
      </c>
      <c r="AE80" s="36">
        <v>2</v>
      </c>
      <c r="AF80" s="34">
        <v>2</v>
      </c>
      <c r="AG80" s="35">
        <f t="shared" si="29"/>
        <v>100</v>
      </c>
      <c r="AH80" s="34">
        <v>8</v>
      </c>
      <c r="AI80" s="34">
        <v>7</v>
      </c>
      <c r="AJ80" s="35">
        <f t="shared" si="30"/>
        <v>87.5</v>
      </c>
      <c r="AK80" s="36">
        <v>3</v>
      </c>
      <c r="AL80" s="36">
        <v>2</v>
      </c>
      <c r="AM80" s="35">
        <f t="shared" si="31"/>
        <v>66.666666666666657</v>
      </c>
      <c r="AN80" s="34">
        <v>4</v>
      </c>
      <c r="AO80" s="34">
        <v>4</v>
      </c>
      <c r="AP80" s="35">
        <f t="shared" si="32"/>
        <v>100</v>
      </c>
      <c r="AQ80" s="36">
        <v>2</v>
      </c>
      <c r="AR80" s="36">
        <v>2</v>
      </c>
      <c r="AS80" s="35">
        <f t="shared" si="33"/>
        <v>100</v>
      </c>
      <c r="AT80" s="10">
        <f t="shared" si="34"/>
        <v>40</v>
      </c>
      <c r="AU80" s="10">
        <f t="shared" si="34"/>
        <v>31</v>
      </c>
      <c r="AV80" s="26">
        <f t="shared" si="35"/>
        <v>77.5</v>
      </c>
      <c r="AW80" s="10">
        <f t="shared" si="36"/>
        <v>27</v>
      </c>
      <c r="AX80" s="10">
        <f t="shared" si="36"/>
        <v>17</v>
      </c>
      <c r="AY80" s="26">
        <f t="shared" si="37"/>
        <v>62.962962962962962</v>
      </c>
      <c r="AZ80" s="10">
        <f t="shared" si="38"/>
        <v>67</v>
      </c>
      <c r="BA80" s="10">
        <f t="shared" si="38"/>
        <v>48</v>
      </c>
      <c r="BB80" s="27">
        <f t="shared" si="39"/>
        <v>71.641791044776113</v>
      </c>
    </row>
    <row r="81" spans="1:54" ht="14.25" customHeight="1">
      <c r="A81" s="31">
        <v>75</v>
      </c>
      <c r="B81" s="32">
        <v>1230321074</v>
      </c>
      <c r="C81" s="33" t="s">
        <v>94</v>
      </c>
      <c r="D81" s="34">
        <v>4</v>
      </c>
      <c r="E81" s="34">
        <v>2</v>
      </c>
      <c r="F81" s="35">
        <f t="shared" si="20"/>
        <v>50</v>
      </c>
      <c r="G81" s="34">
        <v>4</v>
      </c>
      <c r="H81" s="36">
        <v>2</v>
      </c>
      <c r="I81" s="35">
        <f t="shared" si="21"/>
        <v>50</v>
      </c>
      <c r="J81" s="34">
        <v>10</v>
      </c>
      <c r="K81" s="34">
        <v>5</v>
      </c>
      <c r="L81" s="35">
        <f t="shared" si="22"/>
        <v>50</v>
      </c>
      <c r="M81" s="36">
        <v>9</v>
      </c>
      <c r="N81" s="36">
        <v>4</v>
      </c>
      <c r="O81" s="35">
        <f t="shared" si="23"/>
        <v>44.444444444444443</v>
      </c>
      <c r="P81" s="34">
        <v>9</v>
      </c>
      <c r="Q81" s="34">
        <v>8</v>
      </c>
      <c r="R81" s="35">
        <f t="shared" si="24"/>
        <v>88.888888888888886</v>
      </c>
      <c r="S81" s="36">
        <v>3</v>
      </c>
      <c r="T81" s="36">
        <v>2</v>
      </c>
      <c r="U81" s="35">
        <f t="shared" si="25"/>
        <v>66.666666666666657</v>
      </c>
      <c r="V81" s="34">
        <v>2</v>
      </c>
      <c r="W81" s="34">
        <v>2</v>
      </c>
      <c r="X81" s="35">
        <f t="shared" si="26"/>
        <v>100</v>
      </c>
      <c r="Y81" s="36">
        <v>4</v>
      </c>
      <c r="Z81" s="36">
        <v>3</v>
      </c>
      <c r="AA81" s="35">
        <f t="shared" si="27"/>
        <v>75</v>
      </c>
      <c r="AB81" s="34">
        <v>3</v>
      </c>
      <c r="AC81" s="34">
        <v>3</v>
      </c>
      <c r="AD81" s="35">
        <f t="shared" si="28"/>
        <v>100</v>
      </c>
      <c r="AE81" s="36">
        <v>2</v>
      </c>
      <c r="AF81" s="34">
        <v>2</v>
      </c>
      <c r="AG81" s="35">
        <f t="shared" si="29"/>
        <v>100</v>
      </c>
      <c r="AH81" s="34">
        <v>8</v>
      </c>
      <c r="AI81" s="34">
        <v>6</v>
      </c>
      <c r="AJ81" s="35">
        <f t="shared" si="30"/>
        <v>75</v>
      </c>
      <c r="AK81" s="36">
        <v>3</v>
      </c>
      <c r="AL81" s="34">
        <v>2</v>
      </c>
      <c r="AM81" s="35">
        <f t="shared" si="31"/>
        <v>66.666666666666657</v>
      </c>
      <c r="AN81" s="34">
        <v>4</v>
      </c>
      <c r="AO81" s="34">
        <v>4</v>
      </c>
      <c r="AP81" s="35">
        <f t="shared" si="32"/>
        <v>100</v>
      </c>
      <c r="AQ81" s="36">
        <v>2</v>
      </c>
      <c r="AR81" s="36">
        <v>2</v>
      </c>
      <c r="AS81" s="35">
        <f t="shared" si="33"/>
        <v>100</v>
      </c>
      <c r="AT81" s="10">
        <f t="shared" si="34"/>
        <v>40</v>
      </c>
      <c r="AU81" s="10">
        <f t="shared" si="34"/>
        <v>30</v>
      </c>
      <c r="AV81" s="26">
        <f t="shared" si="35"/>
        <v>75</v>
      </c>
      <c r="AW81" s="10">
        <f t="shared" si="36"/>
        <v>27</v>
      </c>
      <c r="AX81" s="10">
        <f t="shared" si="36"/>
        <v>17</v>
      </c>
      <c r="AY81" s="26">
        <f t="shared" si="37"/>
        <v>62.962962962962962</v>
      </c>
      <c r="AZ81" s="10">
        <f t="shared" si="38"/>
        <v>67</v>
      </c>
      <c r="BA81" s="10">
        <f t="shared" si="38"/>
        <v>47</v>
      </c>
      <c r="BB81" s="27">
        <f t="shared" si="39"/>
        <v>70.149253731343293</v>
      </c>
    </row>
    <row r="82" spans="1:54" ht="14.25" customHeight="1">
      <c r="A82" s="31">
        <v>76</v>
      </c>
      <c r="B82" s="32">
        <v>1230321075</v>
      </c>
      <c r="C82" s="33" t="s">
        <v>95</v>
      </c>
      <c r="D82" s="34">
        <v>4</v>
      </c>
      <c r="E82" s="34">
        <v>2</v>
      </c>
      <c r="F82" s="35">
        <f t="shared" si="20"/>
        <v>50</v>
      </c>
      <c r="G82" s="34">
        <v>4</v>
      </c>
      <c r="H82" s="36">
        <v>2</v>
      </c>
      <c r="I82" s="35">
        <f t="shared" si="21"/>
        <v>50</v>
      </c>
      <c r="J82" s="34">
        <v>10</v>
      </c>
      <c r="K82" s="34">
        <v>5</v>
      </c>
      <c r="L82" s="35">
        <f t="shared" si="22"/>
        <v>50</v>
      </c>
      <c r="M82" s="36">
        <v>9</v>
      </c>
      <c r="N82" s="36">
        <v>4</v>
      </c>
      <c r="O82" s="35">
        <f t="shared" si="23"/>
        <v>44.444444444444443</v>
      </c>
      <c r="P82" s="34">
        <v>9</v>
      </c>
      <c r="Q82" s="34">
        <v>8</v>
      </c>
      <c r="R82" s="35">
        <f t="shared" si="24"/>
        <v>88.888888888888886</v>
      </c>
      <c r="S82" s="36">
        <v>3</v>
      </c>
      <c r="T82" s="36">
        <v>2</v>
      </c>
      <c r="U82" s="35">
        <f t="shared" si="25"/>
        <v>66.666666666666657</v>
      </c>
      <c r="V82" s="34">
        <v>2</v>
      </c>
      <c r="W82" s="34">
        <v>2</v>
      </c>
      <c r="X82" s="35">
        <f t="shared" si="26"/>
        <v>100</v>
      </c>
      <c r="Y82" s="36">
        <v>4</v>
      </c>
      <c r="Z82" s="36">
        <v>3</v>
      </c>
      <c r="AA82" s="35">
        <f t="shared" si="27"/>
        <v>75</v>
      </c>
      <c r="AB82" s="34">
        <v>3</v>
      </c>
      <c r="AC82" s="34">
        <v>3</v>
      </c>
      <c r="AD82" s="35">
        <f t="shared" si="28"/>
        <v>100</v>
      </c>
      <c r="AE82" s="36">
        <v>2</v>
      </c>
      <c r="AF82" s="34">
        <v>2</v>
      </c>
      <c r="AG82" s="35">
        <f t="shared" si="29"/>
        <v>100</v>
      </c>
      <c r="AH82" s="34">
        <v>8</v>
      </c>
      <c r="AI82" s="34">
        <v>6</v>
      </c>
      <c r="AJ82" s="35">
        <f t="shared" si="30"/>
        <v>75</v>
      </c>
      <c r="AK82" s="36">
        <v>3</v>
      </c>
      <c r="AL82" s="34">
        <v>2</v>
      </c>
      <c r="AM82" s="35">
        <f t="shared" si="31"/>
        <v>66.666666666666657</v>
      </c>
      <c r="AN82" s="34">
        <v>4</v>
      </c>
      <c r="AO82" s="34">
        <v>4</v>
      </c>
      <c r="AP82" s="35">
        <f t="shared" si="32"/>
        <v>100</v>
      </c>
      <c r="AQ82" s="36">
        <v>2</v>
      </c>
      <c r="AR82" s="36">
        <v>2</v>
      </c>
      <c r="AS82" s="35">
        <f t="shared" si="33"/>
        <v>100</v>
      </c>
      <c r="AT82" s="10">
        <f t="shared" si="34"/>
        <v>40</v>
      </c>
      <c r="AU82" s="10">
        <f t="shared" si="34"/>
        <v>30</v>
      </c>
      <c r="AV82" s="26">
        <f t="shared" si="35"/>
        <v>75</v>
      </c>
      <c r="AW82" s="10">
        <f t="shared" si="36"/>
        <v>27</v>
      </c>
      <c r="AX82" s="10">
        <f t="shared" si="36"/>
        <v>17</v>
      </c>
      <c r="AY82" s="26">
        <f t="shared" si="37"/>
        <v>62.962962962962962</v>
      </c>
      <c r="AZ82" s="10">
        <f t="shared" si="38"/>
        <v>67</v>
      </c>
      <c r="BA82" s="10">
        <f t="shared" si="38"/>
        <v>47</v>
      </c>
      <c r="BB82" s="27">
        <f t="shared" si="39"/>
        <v>70.149253731343293</v>
      </c>
    </row>
    <row r="83" spans="1:54" ht="14.25" customHeight="1">
      <c r="A83" s="31">
        <v>77</v>
      </c>
      <c r="B83" s="32">
        <v>1230321076</v>
      </c>
      <c r="C83" s="33" t="s">
        <v>96</v>
      </c>
      <c r="D83" s="34">
        <v>4</v>
      </c>
      <c r="E83" s="34">
        <v>2</v>
      </c>
      <c r="F83" s="35">
        <f t="shared" si="20"/>
        <v>50</v>
      </c>
      <c r="G83" s="34">
        <v>4</v>
      </c>
      <c r="H83" s="36">
        <v>2</v>
      </c>
      <c r="I83" s="35">
        <f t="shared" si="21"/>
        <v>50</v>
      </c>
      <c r="J83" s="34">
        <v>10</v>
      </c>
      <c r="K83" s="34">
        <v>5</v>
      </c>
      <c r="L83" s="35">
        <f t="shared" si="22"/>
        <v>50</v>
      </c>
      <c r="M83" s="36">
        <v>9</v>
      </c>
      <c r="N83" s="36">
        <v>4</v>
      </c>
      <c r="O83" s="35">
        <f t="shared" si="23"/>
        <v>44.444444444444443</v>
      </c>
      <c r="P83" s="34">
        <v>9</v>
      </c>
      <c r="Q83" s="34">
        <v>8</v>
      </c>
      <c r="R83" s="35">
        <f t="shared" si="24"/>
        <v>88.888888888888886</v>
      </c>
      <c r="S83" s="36">
        <v>3</v>
      </c>
      <c r="T83" s="36">
        <v>2</v>
      </c>
      <c r="U83" s="35">
        <f t="shared" si="25"/>
        <v>66.666666666666657</v>
      </c>
      <c r="V83" s="34">
        <v>2</v>
      </c>
      <c r="W83" s="34">
        <v>2</v>
      </c>
      <c r="X83" s="35">
        <f t="shared" si="26"/>
        <v>100</v>
      </c>
      <c r="Y83" s="36">
        <v>4</v>
      </c>
      <c r="Z83" s="36">
        <v>3</v>
      </c>
      <c r="AA83" s="35">
        <f t="shared" si="27"/>
        <v>75</v>
      </c>
      <c r="AB83" s="34">
        <v>3</v>
      </c>
      <c r="AC83" s="34">
        <v>3</v>
      </c>
      <c r="AD83" s="35">
        <f t="shared" si="28"/>
        <v>100</v>
      </c>
      <c r="AE83" s="36">
        <v>2</v>
      </c>
      <c r="AF83" s="34">
        <v>2</v>
      </c>
      <c r="AG83" s="35">
        <f t="shared" si="29"/>
        <v>100</v>
      </c>
      <c r="AH83" s="34">
        <v>8</v>
      </c>
      <c r="AI83" s="34">
        <v>6</v>
      </c>
      <c r="AJ83" s="35">
        <f t="shared" si="30"/>
        <v>75</v>
      </c>
      <c r="AK83" s="36">
        <v>3</v>
      </c>
      <c r="AL83" s="34">
        <v>2</v>
      </c>
      <c r="AM83" s="35">
        <f t="shared" si="31"/>
        <v>66.666666666666657</v>
      </c>
      <c r="AN83" s="34">
        <v>4</v>
      </c>
      <c r="AO83" s="34">
        <v>4</v>
      </c>
      <c r="AP83" s="35">
        <f t="shared" si="32"/>
        <v>100</v>
      </c>
      <c r="AQ83" s="34">
        <v>2</v>
      </c>
      <c r="AR83" s="36">
        <v>2</v>
      </c>
      <c r="AS83" s="35">
        <f t="shared" si="33"/>
        <v>100</v>
      </c>
      <c r="AT83" s="10">
        <f t="shared" si="34"/>
        <v>40</v>
      </c>
      <c r="AU83" s="10">
        <f t="shared" si="34"/>
        <v>30</v>
      </c>
      <c r="AV83" s="26">
        <f t="shared" si="35"/>
        <v>75</v>
      </c>
      <c r="AW83" s="10">
        <f t="shared" si="36"/>
        <v>27</v>
      </c>
      <c r="AX83" s="10">
        <f t="shared" si="36"/>
        <v>17</v>
      </c>
      <c r="AY83" s="26">
        <f t="shared" si="37"/>
        <v>62.962962962962962</v>
      </c>
      <c r="AZ83" s="10">
        <f t="shared" si="38"/>
        <v>67</v>
      </c>
      <c r="BA83" s="10">
        <f t="shared" si="38"/>
        <v>47</v>
      </c>
      <c r="BB83" s="27">
        <f t="shared" si="39"/>
        <v>70.149253731343293</v>
      </c>
    </row>
    <row r="84" spans="1:54" ht="16.5" customHeight="1">
      <c r="A84" s="58" t="s">
        <v>97</v>
      </c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  <c r="BA84" s="59"/>
      <c r="BB84" s="60"/>
    </row>
    <row r="85" spans="1:54" ht="14.25" customHeight="1">
      <c r="A85" s="31">
        <v>78</v>
      </c>
      <c r="B85" s="32" t="s">
        <v>0</v>
      </c>
      <c r="C85" s="33" t="s">
        <v>132</v>
      </c>
      <c r="D85" s="34">
        <v>4</v>
      </c>
      <c r="E85" s="34">
        <v>2</v>
      </c>
      <c r="F85" s="35">
        <f t="shared" ref="F85" si="40">E85/D85*100</f>
        <v>50</v>
      </c>
      <c r="G85" s="34">
        <v>4</v>
      </c>
      <c r="H85" s="34">
        <v>2</v>
      </c>
      <c r="I85" s="35">
        <f t="shared" ref="I85" si="41">H85/G85*100</f>
        <v>50</v>
      </c>
      <c r="J85" s="34">
        <v>10</v>
      </c>
      <c r="K85" s="34">
        <v>5</v>
      </c>
      <c r="L85" s="35">
        <f t="shared" ref="L85" si="42">K85/J85*100</f>
        <v>50</v>
      </c>
      <c r="M85" s="34">
        <v>9</v>
      </c>
      <c r="N85" s="34">
        <v>4</v>
      </c>
      <c r="O85" s="35">
        <f t="shared" ref="O85" si="43">N85/M85*100</f>
        <v>44.444444444444443</v>
      </c>
      <c r="P85" s="34">
        <v>9</v>
      </c>
      <c r="Q85" s="34">
        <v>8</v>
      </c>
      <c r="R85" s="35">
        <f t="shared" ref="R85" si="44">Q85/P85*100</f>
        <v>88.888888888888886</v>
      </c>
      <c r="S85" s="34">
        <v>3</v>
      </c>
      <c r="T85" s="34">
        <v>2</v>
      </c>
      <c r="U85" s="35">
        <f t="shared" ref="U85" si="45">T85/S85*100</f>
        <v>66.666666666666657</v>
      </c>
      <c r="V85" s="34">
        <v>2</v>
      </c>
      <c r="W85" s="34">
        <v>2</v>
      </c>
      <c r="X85" s="35">
        <f t="shared" ref="X85" si="46">W85/V85*100</f>
        <v>100</v>
      </c>
      <c r="Y85" s="34">
        <v>4</v>
      </c>
      <c r="Z85" s="34">
        <v>3</v>
      </c>
      <c r="AA85" s="35">
        <f t="shared" ref="AA85" si="47">Z85/Y85*100</f>
        <v>75</v>
      </c>
      <c r="AB85" s="34">
        <v>3</v>
      </c>
      <c r="AC85" s="34">
        <v>3</v>
      </c>
      <c r="AD85" s="35">
        <f t="shared" ref="AD85" si="48">AC85/AB85*100</f>
        <v>100</v>
      </c>
      <c r="AE85" s="34">
        <v>2</v>
      </c>
      <c r="AF85" s="34">
        <v>1</v>
      </c>
      <c r="AG85" s="35">
        <f t="shared" ref="AG85" si="49">AF85/AE85*100</f>
        <v>50</v>
      </c>
      <c r="AH85" s="34">
        <v>8</v>
      </c>
      <c r="AI85" s="34">
        <v>7</v>
      </c>
      <c r="AJ85" s="35">
        <f t="shared" ref="AJ85" si="50">AI85/AH85*100</f>
        <v>87.5</v>
      </c>
      <c r="AK85" s="34">
        <v>3</v>
      </c>
      <c r="AL85" s="34">
        <v>1</v>
      </c>
      <c r="AM85" s="35">
        <f t="shared" ref="AM85" si="51">AL85/AK85*100</f>
        <v>33.333333333333329</v>
      </c>
      <c r="AN85" s="34">
        <v>4</v>
      </c>
      <c r="AO85" s="34">
        <v>4</v>
      </c>
      <c r="AP85" s="35">
        <f t="shared" ref="AP85" si="52">AO85/AN85*100</f>
        <v>100</v>
      </c>
      <c r="AQ85" s="34">
        <v>2</v>
      </c>
      <c r="AR85" s="34">
        <v>2</v>
      </c>
      <c r="AS85" s="35">
        <f t="shared" si="33"/>
        <v>100</v>
      </c>
      <c r="AT85" s="10">
        <f t="shared" ref="AT85:AT88" si="53">SUM(D85,J85,P85,V85,AB85,AH85,AN85)</f>
        <v>40</v>
      </c>
      <c r="AU85" s="10">
        <f t="shared" ref="AU85:AU88" si="54">SUM(E85,K85,Q85,W85,AC85,AI85,AO85)</f>
        <v>31</v>
      </c>
      <c r="AV85" s="26">
        <f t="shared" ref="AV85:AV88" si="55">AU85/AT85*100</f>
        <v>77.5</v>
      </c>
      <c r="AW85" s="10">
        <f t="shared" ref="AW85:AW88" si="56">SUM(G85,M85,S85,Y85,AE85,AK85,AQ85)</f>
        <v>27</v>
      </c>
      <c r="AX85" s="10">
        <f t="shared" ref="AX85:AX88" si="57">SUM(H85,N85,T85,Z85,AF85,AL85,AR85)</f>
        <v>15</v>
      </c>
      <c r="AY85" s="26">
        <f t="shared" ref="AY85:AY88" si="58">AX85/AW85*100</f>
        <v>55.555555555555557</v>
      </c>
      <c r="AZ85" s="10">
        <f t="shared" ref="AZ85:AZ88" si="59">SUM(AT85,AW85)</f>
        <v>67</v>
      </c>
      <c r="BA85" s="10">
        <f t="shared" ref="BA85:BA88" si="60">SUM(AU85,AX85)</f>
        <v>46</v>
      </c>
      <c r="BB85" s="27">
        <f t="shared" ref="BB85:BB88" si="61">BA85/AZ85*100</f>
        <v>68.656716417910445</v>
      </c>
    </row>
    <row r="86" spans="1:54" ht="14.25" customHeight="1">
      <c r="A86" s="58" t="s">
        <v>98</v>
      </c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  <c r="BA86" s="59"/>
      <c r="BB86" s="60"/>
    </row>
    <row r="87" spans="1:54" ht="14.25" customHeight="1">
      <c r="A87" s="31">
        <v>1</v>
      </c>
      <c r="B87" s="37">
        <v>1220321025</v>
      </c>
      <c r="C87" s="37" t="s">
        <v>99</v>
      </c>
      <c r="D87" s="34">
        <v>4</v>
      </c>
      <c r="E87" s="34">
        <v>1</v>
      </c>
      <c r="F87" s="35">
        <f t="shared" ref="F87:F88" si="62">E87/D87*100</f>
        <v>25</v>
      </c>
      <c r="G87" s="34">
        <v>4</v>
      </c>
      <c r="H87" s="34">
        <v>2</v>
      </c>
      <c r="I87" s="35">
        <f t="shared" ref="I87:I88" si="63">H87/G87*100</f>
        <v>50</v>
      </c>
      <c r="J87" s="34">
        <v>10</v>
      </c>
      <c r="K87" s="34">
        <v>2</v>
      </c>
      <c r="L87" s="35">
        <f t="shared" ref="L87:L88" si="64">K87/J87*100</f>
        <v>20</v>
      </c>
      <c r="M87" s="34">
        <v>9</v>
      </c>
      <c r="N87" s="34">
        <v>4</v>
      </c>
      <c r="O87" s="35">
        <f t="shared" ref="O87:O88" si="65">N87/M87*100</f>
        <v>44.444444444444443</v>
      </c>
      <c r="P87" s="34">
        <v>9</v>
      </c>
      <c r="Q87" s="34">
        <v>4</v>
      </c>
      <c r="R87" s="35">
        <f t="shared" ref="R87:R88" si="66">Q87/P87*100</f>
        <v>44.444444444444443</v>
      </c>
      <c r="S87" s="34">
        <v>3</v>
      </c>
      <c r="T87" s="34">
        <v>1</v>
      </c>
      <c r="U87" s="35">
        <f t="shared" ref="U87:U88" si="67">T87/S87*100</f>
        <v>33.333333333333329</v>
      </c>
      <c r="V87" s="34">
        <v>2</v>
      </c>
      <c r="W87" s="34">
        <v>1</v>
      </c>
      <c r="X87" s="35">
        <f t="shared" ref="X87:X88" si="68">W87/V87*100</f>
        <v>50</v>
      </c>
      <c r="Y87" s="34">
        <v>4</v>
      </c>
      <c r="Z87" s="34">
        <v>1</v>
      </c>
      <c r="AA87" s="35">
        <f t="shared" ref="AA87:AA88" si="69">Z87/Y87*100</f>
        <v>25</v>
      </c>
      <c r="AB87" s="34">
        <v>3</v>
      </c>
      <c r="AC87" s="34">
        <v>2</v>
      </c>
      <c r="AD87" s="35">
        <f t="shared" ref="AD87:AD88" si="70">AC87/AB87*100</f>
        <v>66.666666666666657</v>
      </c>
      <c r="AE87" s="34">
        <v>2</v>
      </c>
      <c r="AF87" s="34">
        <v>1</v>
      </c>
      <c r="AG87" s="35">
        <f t="shared" ref="AG87:AG88" si="71">AF87/AE87*100</f>
        <v>50</v>
      </c>
      <c r="AH87" s="34">
        <v>8</v>
      </c>
      <c r="AI87" s="34">
        <v>4</v>
      </c>
      <c r="AJ87" s="35">
        <f t="shared" ref="AJ87:AJ88" si="72">AI87/AH87*100</f>
        <v>50</v>
      </c>
      <c r="AK87" s="34">
        <v>3</v>
      </c>
      <c r="AL87" s="34">
        <v>1</v>
      </c>
      <c r="AM87" s="35">
        <f t="shared" ref="AM87:AM88" si="73">AL87/AK87*100</f>
        <v>33.333333333333329</v>
      </c>
      <c r="AN87" s="34">
        <v>4</v>
      </c>
      <c r="AO87" s="34">
        <v>3</v>
      </c>
      <c r="AP87" s="35">
        <f t="shared" ref="AP87:AP88" si="74">AO87/AN87*100</f>
        <v>75</v>
      </c>
      <c r="AQ87" s="34">
        <v>2</v>
      </c>
      <c r="AR87" s="34">
        <v>2</v>
      </c>
      <c r="AS87" s="35">
        <f t="shared" si="33"/>
        <v>100</v>
      </c>
      <c r="AT87" s="10">
        <f t="shared" si="53"/>
        <v>40</v>
      </c>
      <c r="AU87" s="10">
        <f t="shared" si="54"/>
        <v>17</v>
      </c>
      <c r="AV87" s="26">
        <f t="shared" si="55"/>
        <v>42.5</v>
      </c>
      <c r="AW87" s="10">
        <f t="shared" si="56"/>
        <v>27</v>
      </c>
      <c r="AX87" s="10">
        <f t="shared" si="57"/>
        <v>12</v>
      </c>
      <c r="AY87" s="26">
        <f t="shared" si="58"/>
        <v>44.444444444444443</v>
      </c>
      <c r="AZ87" s="10">
        <f t="shared" si="59"/>
        <v>67</v>
      </c>
      <c r="BA87" s="10">
        <f t="shared" si="60"/>
        <v>29</v>
      </c>
      <c r="BB87" s="27">
        <f t="shared" si="61"/>
        <v>43.283582089552233</v>
      </c>
    </row>
    <row r="88" spans="1:54" ht="14.25" customHeight="1">
      <c r="A88" s="31">
        <v>2</v>
      </c>
      <c r="B88" s="37">
        <v>1230321051</v>
      </c>
      <c r="C88" s="37" t="s">
        <v>133</v>
      </c>
      <c r="D88" s="34">
        <v>4</v>
      </c>
      <c r="E88" s="34">
        <v>2</v>
      </c>
      <c r="F88" s="35">
        <f t="shared" si="62"/>
        <v>50</v>
      </c>
      <c r="G88" s="34">
        <v>4</v>
      </c>
      <c r="H88" s="34">
        <v>2</v>
      </c>
      <c r="I88" s="35">
        <f t="shared" si="63"/>
        <v>50</v>
      </c>
      <c r="J88" s="34">
        <v>10</v>
      </c>
      <c r="K88" s="34">
        <v>5</v>
      </c>
      <c r="L88" s="35">
        <f t="shared" si="64"/>
        <v>50</v>
      </c>
      <c r="M88" s="34">
        <v>9</v>
      </c>
      <c r="N88" s="34">
        <v>4</v>
      </c>
      <c r="O88" s="35">
        <f t="shared" si="65"/>
        <v>44.444444444444443</v>
      </c>
      <c r="P88" s="34">
        <v>9</v>
      </c>
      <c r="Q88" s="34">
        <v>8</v>
      </c>
      <c r="R88" s="35">
        <f t="shared" si="66"/>
        <v>88.888888888888886</v>
      </c>
      <c r="S88" s="34">
        <v>3</v>
      </c>
      <c r="T88" s="34">
        <v>2</v>
      </c>
      <c r="U88" s="35">
        <f t="shared" si="67"/>
        <v>66.666666666666657</v>
      </c>
      <c r="V88" s="34">
        <v>2</v>
      </c>
      <c r="W88" s="34">
        <v>2</v>
      </c>
      <c r="X88" s="35">
        <f t="shared" si="68"/>
        <v>100</v>
      </c>
      <c r="Y88" s="34">
        <v>4</v>
      </c>
      <c r="Z88" s="34">
        <v>3</v>
      </c>
      <c r="AA88" s="35">
        <f t="shared" si="69"/>
        <v>75</v>
      </c>
      <c r="AB88" s="34">
        <v>3</v>
      </c>
      <c r="AC88" s="34">
        <v>3</v>
      </c>
      <c r="AD88" s="35">
        <f t="shared" si="70"/>
        <v>100</v>
      </c>
      <c r="AE88" s="34">
        <v>2</v>
      </c>
      <c r="AF88" s="34">
        <v>1</v>
      </c>
      <c r="AG88" s="35">
        <f t="shared" si="71"/>
        <v>50</v>
      </c>
      <c r="AH88" s="34">
        <v>8</v>
      </c>
      <c r="AI88" s="34">
        <v>6</v>
      </c>
      <c r="AJ88" s="35">
        <f t="shared" si="72"/>
        <v>75</v>
      </c>
      <c r="AK88" s="34">
        <v>3</v>
      </c>
      <c r="AL88" s="34">
        <v>2</v>
      </c>
      <c r="AM88" s="35">
        <f t="shared" si="73"/>
        <v>66.666666666666657</v>
      </c>
      <c r="AN88" s="34">
        <v>4</v>
      </c>
      <c r="AO88" s="34">
        <v>4</v>
      </c>
      <c r="AP88" s="35">
        <f t="shared" si="74"/>
        <v>100</v>
      </c>
      <c r="AQ88" s="34">
        <v>2</v>
      </c>
      <c r="AR88" s="34">
        <v>2</v>
      </c>
      <c r="AS88" s="35">
        <f t="shared" si="33"/>
        <v>100</v>
      </c>
      <c r="AT88" s="10">
        <f t="shared" si="53"/>
        <v>40</v>
      </c>
      <c r="AU88" s="10">
        <f t="shared" si="54"/>
        <v>30</v>
      </c>
      <c r="AV88" s="26">
        <f t="shared" si="55"/>
        <v>75</v>
      </c>
      <c r="AW88" s="10">
        <f t="shared" si="56"/>
        <v>27</v>
      </c>
      <c r="AX88" s="10">
        <f t="shared" si="57"/>
        <v>16</v>
      </c>
      <c r="AY88" s="26">
        <f t="shared" si="58"/>
        <v>59.259259259259252</v>
      </c>
      <c r="AZ88" s="10">
        <f t="shared" si="59"/>
        <v>67</v>
      </c>
      <c r="BA88" s="10">
        <f t="shared" si="60"/>
        <v>46</v>
      </c>
      <c r="BB88" s="27">
        <f t="shared" si="61"/>
        <v>68.656716417910445</v>
      </c>
    </row>
    <row r="89" spans="1:54" ht="14.2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 spans="1:54" ht="14.2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 spans="1:54" ht="14.2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 spans="1:54" ht="14.2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 spans="1:54" ht="14.2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 spans="1:54" ht="14.2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 spans="1:54" ht="14.2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 spans="1:54" ht="14.2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 spans="1:45" ht="14.2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 spans="1:45" ht="14.2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 spans="1:45" ht="14.2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 spans="1:45" ht="14.2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</sheetData>
  <mergeCells count="17">
    <mergeCell ref="A86:BB86"/>
    <mergeCell ref="V5:AA5"/>
    <mergeCell ref="AB5:AG5"/>
    <mergeCell ref="AH5:AM5"/>
    <mergeCell ref="AN5:AS5"/>
    <mergeCell ref="D5:I5"/>
    <mergeCell ref="A5:A6"/>
    <mergeCell ref="B5:B6"/>
    <mergeCell ref="C5:C6"/>
    <mergeCell ref="J5:O5"/>
    <mergeCell ref="P5:U5"/>
    <mergeCell ref="AT5:BB5"/>
    <mergeCell ref="A1:BB1"/>
    <mergeCell ref="A2:BB2"/>
    <mergeCell ref="A3:BB3"/>
    <mergeCell ref="A4:BB4"/>
    <mergeCell ref="A84:BB8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50"/>
  </sheetPr>
  <dimension ref="A1:BB88"/>
  <sheetViews>
    <sheetView topLeftCell="AH52" workbookViewId="0">
      <selection activeCell="BB71" sqref="BB71"/>
    </sheetView>
  </sheetViews>
  <sheetFormatPr defaultRowHeight="16.5"/>
  <cols>
    <col min="1" max="1" width="6.42578125" style="6" bestFit="1" customWidth="1"/>
    <col min="2" max="2" width="12.42578125" style="6" bestFit="1" customWidth="1"/>
    <col min="3" max="3" width="51.140625" style="6" bestFit="1" customWidth="1"/>
    <col min="4" max="4" width="8.42578125" style="6" customWidth="1"/>
    <col min="5" max="5" width="10.28515625" style="6" customWidth="1"/>
    <col min="6" max="6" width="5.5703125" style="6" customWidth="1"/>
    <col min="7" max="7" width="8.85546875" style="6" customWidth="1"/>
    <col min="8" max="8" width="10.28515625" style="6" customWidth="1"/>
    <col min="9" max="9" width="5.5703125" style="6" customWidth="1"/>
    <col min="10" max="10" width="8.42578125" style="6" customWidth="1"/>
    <col min="11" max="11" width="10.28515625" style="6" customWidth="1"/>
    <col min="12" max="12" width="6.140625" style="6" customWidth="1"/>
    <col min="13" max="13" width="8.85546875" style="6" customWidth="1"/>
    <col min="14" max="14" width="10.28515625" style="6" customWidth="1"/>
    <col min="15" max="15" width="5.5703125" style="6" customWidth="1"/>
    <col min="16" max="16" width="8.42578125" style="6" customWidth="1"/>
    <col min="17" max="17" width="10.28515625" style="6" customWidth="1"/>
    <col min="18" max="18" width="6.140625" style="6" bestFit="1" customWidth="1"/>
    <col min="19" max="19" width="8.85546875" style="6" customWidth="1"/>
    <col min="20" max="20" width="10.28515625" style="6" customWidth="1"/>
    <col min="21" max="21" width="6.140625" style="6" bestFit="1" customWidth="1"/>
    <col min="22" max="22" width="8.42578125" style="6" customWidth="1"/>
    <col min="23" max="23" width="10.28515625" style="6" customWidth="1"/>
    <col min="24" max="24" width="6" style="6" bestFit="1" customWidth="1"/>
    <col min="25" max="25" width="8.85546875" style="6" customWidth="1"/>
    <col min="26" max="26" width="10.28515625" style="6" customWidth="1"/>
    <col min="27" max="27" width="7.85546875" style="6" bestFit="1" customWidth="1"/>
    <col min="28" max="28" width="8.42578125" style="6" customWidth="1"/>
    <col min="29" max="29" width="10.28515625" style="6" customWidth="1"/>
    <col min="30" max="30" width="6" style="6" customWidth="1"/>
    <col min="31" max="31" width="8.85546875" style="6" customWidth="1"/>
    <col min="32" max="32" width="10.28515625" style="6" customWidth="1"/>
    <col min="33" max="33" width="6" style="6" customWidth="1"/>
    <col min="34" max="34" width="8.42578125" style="6" customWidth="1"/>
    <col min="35" max="35" width="10.28515625" style="6" customWidth="1"/>
    <col min="36" max="36" width="6" style="6" customWidth="1"/>
    <col min="37" max="37" width="8.85546875" style="6" customWidth="1"/>
    <col min="38" max="38" width="10.28515625" style="6" customWidth="1"/>
    <col min="39" max="39" width="6" style="6" bestFit="1" customWidth="1"/>
    <col min="40" max="40" width="8.42578125" style="6" bestFit="1" customWidth="1"/>
    <col min="41" max="41" width="10.28515625" style="20" bestFit="1" customWidth="1"/>
    <col min="42" max="42" width="6" style="6" bestFit="1" customWidth="1"/>
    <col min="43" max="43" width="8.85546875" style="6" bestFit="1" customWidth="1"/>
    <col min="44" max="44" width="10.28515625" style="6" bestFit="1" customWidth="1"/>
    <col min="45" max="45" width="6" style="6" bestFit="1" customWidth="1"/>
    <col min="46" max="47" width="8.7109375" style="6" bestFit="1" customWidth="1"/>
    <col min="48" max="48" width="9.28515625" style="6" bestFit="1" customWidth="1"/>
    <col min="49" max="50" width="8.7109375" style="6" bestFit="1" customWidth="1"/>
    <col min="51" max="51" width="9.28515625" style="6" bestFit="1" customWidth="1"/>
    <col min="52" max="52" width="7.7109375" style="6" bestFit="1" customWidth="1"/>
    <col min="53" max="53" width="8.28515625" style="6" bestFit="1" customWidth="1"/>
    <col min="54" max="54" width="9.28515625" style="6" bestFit="1" customWidth="1"/>
    <col min="55" max="16384" width="9.140625" style="6"/>
  </cols>
  <sheetData>
    <row r="1" spans="1:54" ht="18.75">
      <c r="A1" s="68" t="s">
        <v>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</row>
    <row r="2" spans="1:54" ht="18.75">
      <c r="A2" s="68" t="s">
        <v>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</row>
    <row r="3" spans="1:54" ht="18.75">
      <c r="A3" s="68" t="s">
        <v>22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</row>
    <row r="4" spans="1:54">
      <c r="A4" s="69" t="s">
        <v>106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</row>
    <row r="5" spans="1:54" ht="46.5" customHeight="1">
      <c r="A5" s="71" t="s">
        <v>3</v>
      </c>
      <c r="B5" s="71" t="s">
        <v>4</v>
      </c>
      <c r="C5" s="71" t="s">
        <v>5</v>
      </c>
      <c r="D5" s="70" t="s">
        <v>112</v>
      </c>
      <c r="E5" s="70"/>
      <c r="F5" s="70"/>
      <c r="G5" s="70"/>
      <c r="H5" s="70"/>
      <c r="I5" s="70"/>
      <c r="J5" s="70" t="s">
        <v>113</v>
      </c>
      <c r="K5" s="70"/>
      <c r="L5" s="70"/>
      <c r="M5" s="70"/>
      <c r="N5" s="70"/>
      <c r="O5" s="70"/>
      <c r="P5" s="70" t="s">
        <v>114</v>
      </c>
      <c r="Q5" s="70"/>
      <c r="R5" s="70"/>
      <c r="S5" s="70"/>
      <c r="T5" s="70"/>
      <c r="U5" s="70"/>
      <c r="V5" s="70" t="s">
        <v>115</v>
      </c>
      <c r="W5" s="70"/>
      <c r="X5" s="70"/>
      <c r="Y5" s="70"/>
      <c r="Z5" s="70"/>
      <c r="AA5" s="70"/>
      <c r="AB5" s="70" t="s">
        <v>116</v>
      </c>
      <c r="AC5" s="70"/>
      <c r="AD5" s="70"/>
      <c r="AE5" s="70"/>
      <c r="AF5" s="70"/>
      <c r="AG5" s="70"/>
      <c r="AH5" s="70" t="s">
        <v>117</v>
      </c>
      <c r="AI5" s="70"/>
      <c r="AJ5" s="70"/>
      <c r="AK5" s="70"/>
      <c r="AL5" s="70"/>
      <c r="AM5" s="70"/>
      <c r="AN5" s="70" t="s">
        <v>118</v>
      </c>
      <c r="AO5" s="70"/>
      <c r="AP5" s="70"/>
      <c r="AQ5" s="70"/>
      <c r="AR5" s="70"/>
      <c r="AS5" s="70"/>
      <c r="AT5" s="64" t="s">
        <v>127</v>
      </c>
      <c r="AU5" s="64"/>
      <c r="AV5" s="64"/>
      <c r="AW5" s="64"/>
      <c r="AX5" s="64"/>
      <c r="AY5" s="64"/>
      <c r="AZ5" s="64"/>
      <c r="BA5" s="64"/>
      <c r="BB5" s="64"/>
    </row>
    <row r="6" spans="1:54" ht="30">
      <c r="A6" s="71"/>
      <c r="B6" s="71"/>
      <c r="C6" s="71"/>
      <c r="D6" s="17" t="s">
        <v>6</v>
      </c>
      <c r="E6" s="17" t="s">
        <v>7</v>
      </c>
      <c r="F6" s="17" t="s">
        <v>8</v>
      </c>
      <c r="G6" s="17" t="s">
        <v>9</v>
      </c>
      <c r="H6" s="17" t="s">
        <v>10</v>
      </c>
      <c r="I6" s="17" t="s">
        <v>8</v>
      </c>
      <c r="J6" s="17" t="s">
        <v>6</v>
      </c>
      <c r="K6" s="17" t="s">
        <v>7</v>
      </c>
      <c r="L6" s="17" t="s">
        <v>8</v>
      </c>
      <c r="M6" s="17" t="s">
        <v>9</v>
      </c>
      <c r="N6" s="17" t="s">
        <v>10</v>
      </c>
      <c r="O6" s="17" t="s">
        <v>8</v>
      </c>
      <c r="P6" s="17" t="s">
        <v>6</v>
      </c>
      <c r="Q6" s="17" t="s">
        <v>7</v>
      </c>
      <c r="R6" s="17" t="s">
        <v>8</v>
      </c>
      <c r="S6" s="17" t="s">
        <v>9</v>
      </c>
      <c r="T6" s="17" t="s">
        <v>10</v>
      </c>
      <c r="U6" s="17" t="s">
        <v>8</v>
      </c>
      <c r="V6" s="17" t="s">
        <v>6</v>
      </c>
      <c r="W6" s="17" t="s">
        <v>7</v>
      </c>
      <c r="X6" s="17" t="s">
        <v>8</v>
      </c>
      <c r="Y6" s="17" t="s">
        <v>9</v>
      </c>
      <c r="Z6" s="17" t="s">
        <v>10</v>
      </c>
      <c r="AA6" s="17" t="s">
        <v>8</v>
      </c>
      <c r="AB6" s="17" t="s">
        <v>6</v>
      </c>
      <c r="AC6" s="17" t="s">
        <v>7</v>
      </c>
      <c r="AD6" s="17" t="s">
        <v>8</v>
      </c>
      <c r="AE6" s="17" t="s">
        <v>9</v>
      </c>
      <c r="AF6" s="17" t="s">
        <v>10</v>
      </c>
      <c r="AG6" s="17" t="s">
        <v>8</v>
      </c>
      <c r="AH6" s="17" t="s">
        <v>6</v>
      </c>
      <c r="AI6" s="17" t="s">
        <v>7</v>
      </c>
      <c r="AJ6" s="17" t="s">
        <v>8</v>
      </c>
      <c r="AK6" s="17" t="s">
        <v>9</v>
      </c>
      <c r="AL6" s="17" t="s">
        <v>10</v>
      </c>
      <c r="AM6" s="17" t="s">
        <v>8</v>
      </c>
      <c r="AN6" s="17" t="s">
        <v>6</v>
      </c>
      <c r="AO6" s="38" t="s">
        <v>7</v>
      </c>
      <c r="AP6" s="17" t="s">
        <v>8</v>
      </c>
      <c r="AQ6" s="17" t="s">
        <v>9</v>
      </c>
      <c r="AR6" s="17" t="s">
        <v>10</v>
      </c>
      <c r="AS6" s="17" t="s">
        <v>8</v>
      </c>
      <c r="AT6" s="24" t="s">
        <v>119</v>
      </c>
      <c r="AU6" s="24" t="s">
        <v>120</v>
      </c>
      <c r="AV6" s="24" t="s">
        <v>121</v>
      </c>
      <c r="AW6" s="24" t="s">
        <v>122</v>
      </c>
      <c r="AX6" s="24" t="s">
        <v>123</v>
      </c>
      <c r="AY6" s="25" t="s">
        <v>121</v>
      </c>
      <c r="AZ6" s="17" t="s">
        <v>124</v>
      </c>
      <c r="BA6" s="17" t="s">
        <v>125</v>
      </c>
      <c r="BB6" s="17" t="s">
        <v>126</v>
      </c>
    </row>
    <row r="7" spans="1:54" s="47" customFormat="1">
      <c r="A7" s="48">
        <v>1</v>
      </c>
      <c r="B7" s="49">
        <v>1220321013</v>
      </c>
      <c r="C7" s="50" t="s">
        <v>23</v>
      </c>
      <c r="D7" s="10">
        <v>2</v>
      </c>
      <c r="E7" s="10">
        <v>0</v>
      </c>
      <c r="F7" s="19">
        <f>E7/D7*100</f>
        <v>0</v>
      </c>
      <c r="G7" s="49">
        <v>2</v>
      </c>
      <c r="H7" s="49">
        <v>0</v>
      </c>
      <c r="I7" s="19">
        <f>H7/G7*100</f>
        <v>0</v>
      </c>
      <c r="J7" s="10">
        <v>2</v>
      </c>
      <c r="K7" s="10">
        <v>0</v>
      </c>
      <c r="L7" s="19">
        <f>K7/J7*100</f>
        <v>0</v>
      </c>
      <c r="M7" s="49">
        <v>7</v>
      </c>
      <c r="N7" s="49">
        <v>0</v>
      </c>
      <c r="O7" s="19">
        <f>N7/M7*100</f>
        <v>0</v>
      </c>
      <c r="P7" s="10">
        <v>7</v>
      </c>
      <c r="Q7" s="10">
        <v>5</v>
      </c>
      <c r="R7" s="19">
        <f>Q7/P7*100</f>
        <v>71.428571428571431</v>
      </c>
      <c r="S7" s="49">
        <v>3</v>
      </c>
      <c r="T7" s="49">
        <v>3</v>
      </c>
      <c r="U7" s="19">
        <f>T7/S7*100</f>
        <v>100</v>
      </c>
      <c r="V7" s="10">
        <v>3</v>
      </c>
      <c r="W7" s="10">
        <v>0</v>
      </c>
      <c r="X7" s="19">
        <f t="shared" ref="X7:X70" si="0">W7/V7*100</f>
        <v>0</v>
      </c>
      <c r="Y7" s="49">
        <v>1</v>
      </c>
      <c r="Z7" s="49">
        <v>1</v>
      </c>
      <c r="AA7" s="49">
        <f>Z7/Y7*100</f>
        <v>100</v>
      </c>
      <c r="AB7" s="10">
        <v>7</v>
      </c>
      <c r="AC7" s="10">
        <v>6</v>
      </c>
      <c r="AD7" s="19">
        <f t="shared" ref="AD7:AD70" si="1">AC7/AB7*100</f>
        <v>85.714285714285708</v>
      </c>
      <c r="AE7" s="49">
        <v>2</v>
      </c>
      <c r="AF7" s="49">
        <v>0</v>
      </c>
      <c r="AG7" s="19">
        <f t="shared" ref="AG7:AG70" si="2">AF7/AE7*100</f>
        <v>0</v>
      </c>
      <c r="AH7" s="10">
        <v>5</v>
      </c>
      <c r="AI7" s="10">
        <v>1</v>
      </c>
      <c r="AJ7" s="19">
        <f t="shared" ref="AJ7:AJ70" si="3">AI7/AH7*100</f>
        <v>20</v>
      </c>
      <c r="AK7" s="49">
        <v>3</v>
      </c>
      <c r="AL7" s="49">
        <v>1</v>
      </c>
      <c r="AM7" s="19">
        <f t="shared" ref="AM7:AM70" si="4">AL7/AK7*100</f>
        <v>33.333333333333329</v>
      </c>
      <c r="AN7" s="10">
        <v>8</v>
      </c>
      <c r="AO7" s="16">
        <v>4</v>
      </c>
      <c r="AP7" s="19">
        <f>AO7/AN7*100</f>
        <v>50</v>
      </c>
      <c r="AQ7" s="49">
        <v>3</v>
      </c>
      <c r="AR7" s="16">
        <v>1</v>
      </c>
      <c r="AS7" s="19">
        <f>AR7/AQ7*100</f>
        <v>33.333333333333329</v>
      </c>
      <c r="AT7" s="10">
        <f>SUM(D7,J7,P7,V7,AB7,AH7,AN7)</f>
        <v>34</v>
      </c>
      <c r="AU7" s="10">
        <f>SUM(E7,K7,Q7,W7,AC7,AI7,AO7)</f>
        <v>16</v>
      </c>
      <c r="AV7" s="26">
        <f>AU7/AT7*100</f>
        <v>47.058823529411761</v>
      </c>
      <c r="AW7" s="10">
        <f>SUM(G7,M7,S7,Y7,AE7,AK7,AQ7)</f>
        <v>21</v>
      </c>
      <c r="AX7" s="10">
        <f>SUM(H7,N7,T7,Z7,AF7,AL7,AR7)</f>
        <v>6</v>
      </c>
      <c r="AY7" s="26">
        <f>AX7/AW7*100</f>
        <v>28.571428571428569</v>
      </c>
      <c r="AZ7" s="10">
        <f>SUM(AT7,AW7)</f>
        <v>55</v>
      </c>
      <c r="BA7" s="10">
        <f>SUM(AU7,AX7)</f>
        <v>22</v>
      </c>
      <c r="BB7" s="26">
        <f>BA7/AZ7*100</f>
        <v>40</v>
      </c>
    </row>
    <row r="8" spans="1:54" s="47" customFormat="1">
      <c r="A8" s="48">
        <v>2</v>
      </c>
      <c r="B8" s="49">
        <v>1220321039</v>
      </c>
      <c r="C8" s="50" t="s">
        <v>24</v>
      </c>
      <c r="D8" s="10">
        <v>2</v>
      </c>
      <c r="E8" s="10">
        <v>2</v>
      </c>
      <c r="F8" s="19">
        <f t="shared" ref="F8:F71" si="5">E8/D8*100</f>
        <v>100</v>
      </c>
      <c r="G8" s="49">
        <v>2</v>
      </c>
      <c r="H8" s="49">
        <v>2</v>
      </c>
      <c r="I8" s="19">
        <f t="shared" ref="I8:I71" si="6">H8/G8*100</f>
        <v>100</v>
      </c>
      <c r="J8" s="10">
        <v>2</v>
      </c>
      <c r="K8" s="10">
        <v>1</v>
      </c>
      <c r="L8" s="19">
        <f t="shared" ref="L8:L71" si="7">K8/J8*100</f>
        <v>50</v>
      </c>
      <c r="M8" s="49">
        <v>7</v>
      </c>
      <c r="N8" s="49">
        <v>4</v>
      </c>
      <c r="O8" s="19">
        <f t="shared" ref="O8:O71" si="8">N8/M8*100</f>
        <v>57.142857142857139</v>
      </c>
      <c r="P8" s="10">
        <v>7</v>
      </c>
      <c r="Q8" s="10">
        <v>4</v>
      </c>
      <c r="R8" s="19">
        <f t="shared" ref="R8:R71" si="9">Q8/P8*100</f>
        <v>57.142857142857139</v>
      </c>
      <c r="S8" s="49">
        <v>3</v>
      </c>
      <c r="T8" s="49">
        <v>3</v>
      </c>
      <c r="U8" s="19">
        <f t="shared" ref="U8:U71" si="10">T8/S8*100</f>
        <v>100</v>
      </c>
      <c r="V8" s="10">
        <v>3</v>
      </c>
      <c r="W8" s="10">
        <v>1</v>
      </c>
      <c r="X8" s="19">
        <f t="shared" si="0"/>
        <v>33.333333333333329</v>
      </c>
      <c r="Y8" s="49">
        <v>1</v>
      </c>
      <c r="Z8" s="49">
        <v>1</v>
      </c>
      <c r="AA8" s="49">
        <f t="shared" ref="AA8:AA71" si="11">Z8/Y8*100</f>
        <v>100</v>
      </c>
      <c r="AB8" s="10">
        <v>7</v>
      </c>
      <c r="AC8" s="10">
        <v>3</v>
      </c>
      <c r="AD8" s="19">
        <f t="shared" si="1"/>
        <v>42.857142857142854</v>
      </c>
      <c r="AE8" s="49">
        <v>2</v>
      </c>
      <c r="AF8" s="49">
        <v>1</v>
      </c>
      <c r="AG8" s="19">
        <f t="shared" si="2"/>
        <v>50</v>
      </c>
      <c r="AH8" s="10">
        <v>5</v>
      </c>
      <c r="AI8" s="10">
        <v>3</v>
      </c>
      <c r="AJ8" s="19">
        <f t="shared" si="3"/>
        <v>60</v>
      </c>
      <c r="AK8" s="49">
        <v>3</v>
      </c>
      <c r="AL8" s="49">
        <v>2</v>
      </c>
      <c r="AM8" s="19">
        <f t="shared" si="4"/>
        <v>66.666666666666657</v>
      </c>
      <c r="AN8" s="10">
        <v>8</v>
      </c>
      <c r="AO8" s="10">
        <v>5</v>
      </c>
      <c r="AP8" s="19">
        <f t="shared" ref="AP8:AP71" si="12">AO8/AN8*100</f>
        <v>62.5</v>
      </c>
      <c r="AQ8" s="49">
        <v>3</v>
      </c>
      <c r="AR8" s="49">
        <v>1</v>
      </c>
      <c r="AS8" s="19">
        <f t="shared" ref="AS8:AS71" si="13">AR8/AQ8*100</f>
        <v>33.333333333333329</v>
      </c>
      <c r="AT8" s="10">
        <f t="shared" ref="AT8:AT71" si="14">SUM(D8,J8,P8,V8,AB8,AH8,AN8)</f>
        <v>34</v>
      </c>
      <c r="AU8" s="10">
        <f t="shared" ref="AU8:AU71" si="15">SUM(E8,K8,Q8,W8,AC8,AI8,AO8)</f>
        <v>19</v>
      </c>
      <c r="AV8" s="26">
        <f t="shared" ref="AV8:AV71" si="16">AU8/AT8*100</f>
        <v>55.882352941176471</v>
      </c>
      <c r="AW8" s="10">
        <f t="shared" ref="AW8:AX71" si="17">SUM(G8,M8,S8,Y8,AE8,AK8,AQ8)</f>
        <v>21</v>
      </c>
      <c r="AX8" s="10">
        <f t="shared" si="17"/>
        <v>14</v>
      </c>
      <c r="AY8" s="26">
        <f t="shared" ref="AY8:AY71" si="18">AX8/AW8*100</f>
        <v>66.666666666666657</v>
      </c>
      <c r="AZ8" s="10">
        <f t="shared" ref="AZ8:AZ71" si="19">SUM(AT8,AW8)</f>
        <v>55</v>
      </c>
      <c r="BA8" s="10">
        <f t="shared" ref="BA8:BA71" si="20">SUM(AU8,AX8)</f>
        <v>33</v>
      </c>
      <c r="BB8" s="26">
        <f t="shared" ref="BB8:BB71" si="21">BA8/AZ8*100</f>
        <v>60</v>
      </c>
    </row>
    <row r="9" spans="1:54" s="47" customFormat="1">
      <c r="A9" s="48">
        <v>3</v>
      </c>
      <c r="B9" s="49">
        <v>1220321040</v>
      </c>
      <c r="C9" s="50" t="s">
        <v>25</v>
      </c>
      <c r="D9" s="10">
        <v>2</v>
      </c>
      <c r="E9" s="10">
        <v>1</v>
      </c>
      <c r="F9" s="19">
        <f t="shared" si="5"/>
        <v>50</v>
      </c>
      <c r="G9" s="49">
        <v>2</v>
      </c>
      <c r="H9" s="49">
        <v>1</v>
      </c>
      <c r="I9" s="19">
        <f t="shared" si="6"/>
        <v>50</v>
      </c>
      <c r="J9" s="10">
        <v>2</v>
      </c>
      <c r="K9" s="10">
        <v>2</v>
      </c>
      <c r="L9" s="19">
        <f t="shared" si="7"/>
        <v>100</v>
      </c>
      <c r="M9" s="49">
        <v>7</v>
      </c>
      <c r="N9" s="49">
        <v>7</v>
      </c>
      <c r="O9" s="19">
        <f t="shared" si="8"/>
        <v>100</v>
      </c>
      <c r="P9" s="10">
        <v>7</v>
      </c>
      <c r="Q9" s="10">
        <v>6</v>
      </c>
      <c r="R9" s="19">
        <f t="shared" si="9"/>
        <v>85.714285714285708</v>
      </c>
      <c r="S9" s="49">
        <v>3</v>
      </c>
      <c r="T9" s="49">
        <v>3</v>
      </c>
      <c r="U9" s="19">
        <f t="shared" si="10"/>
        <v>100</v>
      </c>
      <c r="V9" s="10">
        <v>3</v>
      </c>
      <c r="W9" s="10">
        <v>1</v>
      </c>
      <c r="X9" s="19">
        <f t="shared" si="0"/>
        <v>33.333333333333329</v>
      </c>
      <c r="Y9" s="49">
        <v>1</v>
      </c>
      <c r="Z9" s="49">
        <v>1</v>
      </c>
      <c r="AA9" s="49">
        <f t="shared" si="11"/>
        <v>100</v>
      </c>
      <c r="AB9" s="10">
        <v>7</v>
      </c>
      <c r="AC9" s="10">
        <v>2</v>
      </c>
      <c r="AD9" s="19">
        <f t="shared" si="1"/>
        <v>28.571428571428569</v>
      </c>
      <c r="AE9" s="49">
        <v>2</v>
      </c>
      <c r="AF9" s="49">
        <v>1</v>
      </c>
      <c r="AG9" s="19">
        <f t="shared" si="2"/>
        <v>50</v>
      </c>
      <c r="AH9" s="10">
        <v>5</v>
      </c>
      <c r="AI9" s="10">
        <v>4</v>
      </c>
      <c r="AJ9" s="19">
        <f t="shared" si="3"/>
        <v>80</v>
      </c>
      <c r="AK9" s="49">
        <v>3</v>
      </c>
      <c r="AL9" s="49">
        <v>2</v>
      </c>
      <c r="AM9" s="19">
        <f t="shared" si="4"/>
        <v>66.666666666666657</v>
      </c>
      <c r="AN9" s="10">
        <v>8</v>
      </c>
      <c r="AO9" s="16">
        <v>3</v>
      </c>
      <c r="AP9" s="19">
        <f t="shared" si="12"/>
        <v>37.5</v>
      </c>
      <c r="AQ9" s="49">
        <v>3</v>
      </c>
      <c r="AR9" s="16">
        <v>2</v>
      </c>
      <c r="AS9" s="19">
        <f t="shared" si="13"/>
        <v>66.666666666666657</v>
      </c>
      <c r="AT9" s="10">
        <f t="shared" si="14"/>
        <v>34</v>
      </c>
      <c r="AU9" s="10">
        <f t="shared" si="15"/>
        <v>19</v>
      </c>
      <c r="AV9" s="26">
        <f t="shared" si="16"/>
        <v>55.882352941176471</v>
      </c>
      <c r="AW9" s="10">
        <f t="shared" si="17"/>
        <v>21</v>
      </c>
      <c r="AX9" s="10">
        <f t="shared" si="17"/>
        <v>17</v>
      </c>
      <c r="AY9" s="26">
        <f t="shared" si="18"/>
        <v>80.952380952380949</v>
      </c>
      <c r="AZ9" s="10">
        <f t="shared" si="19"/>
        <v>55</v>
      </c>
      <c r="BA9" s="10">
        <f t="shared" si="20"/>
        <v>36</v>
      </c>
      <c r="BB9" s="26">
        <f t="shared" si="21"/>
        <v>65.454545454545453</v>
      </c>
    </row>
    <row r="10" spans="1:54" s="47" customFormat="1">
      <c r="A10" s="48">
        <v>4</v>
      </c>
      <c r="B10" s="49">
        <v>1220321049</v>
      </c>
      <c r="C10" s="50" t="s">
        <v>26</v>
      </c>
      <c r="D10" s="10">
        <v>2</v>
      </c>
      <c r="E10" s="10">
        <v>1</v>
      </c>
      <c r="F10" s="19">
        <f t="shared" si="5"/>
        <v>50</v>
      </c>
      <c r="G10" s="49">
        <v>2</v>
      </c>
      <c r="H10" s="49">
        <v>1</v>
      </c>
      <c r="I10" s="19">
        <f t="shared" si="6"/>
        <v>50</v>
      </c>
      <c r="J10" s="10">
        <v>2</v>
      </c>
      <c r="K10" s="10">
        <v>2</v>
      </c>
      <c r="L10" s="19">
        <f t="shared" si="7"/>
        <v>100</v>
      </c>
      <c r="M10" s="49">
        <v>7</v>
      </c>
      <c r="N10" s="49">
        <v>4</v>
      </c>
      <c r="O10" s="19">
        <f t="shared" si="8"/>
        <v>57.142857142857139</v>
      </c>
      <c r="P10" s="10">
        <v>7</v>
      </c>
      <c r="Q10" s="10">
        <v>4</v>
      </c>
      <c r="R10" s="19">
        <f t="shared" si="9"/>
        <v>57.142857142857139</v>
      </c>
      <c r="S10" s="49">
        <v>3</v>
      </c>
      <c r="T10" s="49">
        <v>1</v>
      </c>
      <c r="U10" s="19">
        <f t="shared" si="10"/>
        <v>33.333333333333329</v>
      </c>
      <c r="V10" s="10">
        <v>3</v>
      </c>
      <c r="W10" s="10">
        <v>0</v>
      </c>
      <c r="X10" s="19">
        <f t="shared" si="0"/>
        <v>0</v>
      </c>
      <c r="Y10" s="49">
        <v>1</v>
      </c>
      <c r="Z10" s="49">
        <v>1</v>
      </c>
      <c r="AA10" s="49">
        <f t="shared" si="11"/>
        <v>100</v>
      </c>
      <c r="AB10" s="10">
        <v>7</v>
      </c>
      <c r="AC10" s="10">
        <v>0</v>
      </c>
      <c r="AD10" s="19">
        <f t="shared" si="1"/>
        <v>0</v>
      </c>
      <c r="AE10" s="49">
        <v>2</v>
      </c>
      <c r="AF10" s="49">
        <v>0</v>
      </c>
      <c r="AG10" s="19">
        <f t="shared" si="2"/>
        <v>0</v>
      </c>
      <c r="AH10" s="10">
        <v>5</v>
      </c>
      <c r="AI10" s="10">
        <v>3</v>
      </c>
      <c r="AJ10" s="19">
        <f t="shared" si="3"/>
        <v>60</v>
      </c>
      <c r="AK10" s="49">
        <v>3</v>
      </c>
      <c r="AL10" s="49">
        <v>2</v>
      </c>
      <c r="AM10" s="19">
        <f t="shared" si="4"/>
        <v>66.666666666666657</v>
      </c>
      <c r="AN10" s="10">
        <v>8</v>
      </c>
      <c r="AO10" s="10">
        <v>3</v>
      </c>
      <c r="AP10" s="19">
        <f t="shared" si="12"/>
        <v>37.5</v>
      </c>
      <c r="AQ10" s="49">
        <v>3</v>
      </c>
      <c r="AR10" s="49">
        <v>0</v>
      </c>
      <c r="AS10" s="19">
        <f t="shared" si="13"/>
        <v>0</v>
      </c>
      <c r="AT10" s="10">
        <f t="shared" si="14"/>
        <v>34</v>
      </c>
      <c r="AU10" s="10">
        <f t="shared" si="15"/>
        <v>13</v>
      </c>
      <c r="AV10" s="26">
        <f t="shared" si="16"/>
        <v>38.235294117647058</v>
      </c>
      <c r="AW10" s="10">
        <f t="shared" si="17"/>
        <v>21</v>
      </c>
      <c r="AX10" s="10">
        <f t="shared" si="17"/>
        <v>9</v>
      </c>
      <c r="AY10" s="26">
        <f t="shared" si="18"/>
        <v>42.857142857142854</v>
      </c>
      <c r="AZ10" s="10">
        <f t="shared" si="19"/>
        <v>55</v>
      </c>
      <c r="BA10" s="10">
        <f t="shared" si="20"/>
        <v>22</v>
      </c>
      <c r="BB10" s="26">
        <f t="shared" si="21"/>
        <v>40</v>
      </c>
    </row>
    <row r="11" spans="1:54" s="47" customFormat="1">
      <c r="A11" s="48">
        <v>5</v>
      </c>
      <c r="B11" s="49">
        <v>1230321002</v>
      </c>
      <c r="C11" s="50" t="s">
        <v>27</v>
      </c>
      <c r="D11" s="10">
        <v>2</v>
      </c>
      <c r="E11" s="10">
        <v>2</v>
      </c>
      <c r="F11" s="19">
        <f t="shared" si="5"/>
        <v>100</v>
      </c>
      <c r="G11" s="49">
        <v>2</v>
      </c>
      <c r="H11" s="49">
        <v>2</v>
      </c>
      <c r="I11" s="19">
        <f t="shared" si="6"/>
        <v>100</v>
      </c>
      <c r="J11" s="10">
        <v>2</v>
      </c>
      <c r="K11" s="10">
        <v>1</v>
      </c>
      <c r="L11" s="19">
        <f t="shared" si="7"/>
        <v>50</v>
      </c>
      <c r="M11" s="49">
        <v>7</v>
      </c>
      <c r="N11" s="49">
        <v>4</v>
      </c>
      <c r="O11" s="19">
        <f t="shared" si="8"/>
        <v>57.142857142857139</v>
      </c>
      <c r="P11" s="10">
        <v>7</v>
      </c>
      <c r="Q11" s="10">
        <v>3</v>
      </c>
      <c r="R11" s="19">
        <f t="shared" si="9"/>
        <v>42.857142857142854</v>
      </c>
      <c r="S11" s="49">
        <v>3</v>
      </c>
      <c r="T11" s="49">
        <v>1</v>
      </c>
      <c r="U11" s="19">
        <f t="shared" si="10"/>
        <v>33.333333333333329</v>
      </c>
      <c r="V11" s="10">
        <v>3</v>
      </c>
      <c r="W11" s="10">
        <v>2</v>
      </c>
      <c r="X11" s="19">
        <f t="shared" si="0"/>
        <v>66.666666666666657</v>
      </c>
      <c r="Y11" s="49">
        <v>1</v>
      </c>
      <c r="Z11" s="49">
        <v>1</v>
      </c>
      <c r="AA11" s="49">
        <f t="shared" si="11"/>
        <v>100</v>
      </c>
      <c r="AB11" s="10">
        <v>7</v>
      </c>
      <c r="AC11" s="10">
        <v>6</v>
      </c>
      <c r="AD11" s="19">
        <f t="shared" si="1"/>
        <v>85.714285714285708</v>
      </c>
      <c r="AE11" s="49">
        <v>2</v>
      </c>
      <c r="AF11" s="49">
        <v>2</v>
      </c>
      <c r="AG11" s="19">
        <f t="shared" si="2"/>
        <v>100</v>
      </c>
      <c r="AH11" s="10">
        <v>5</v>
      </c>
      <c r="AI11" s="10">
        <v>5</v>
      </c>
      <c r="AJ11" s="19">
        <f t="shared" si="3"/>
        <v>100</v>
      </c>
      <c r="AK11" s="49">
        <v>3</v>
      </c>
      <c r="AL11" s="49">
        <v>1</v>
      </c>
      <c r="AM11" s="19">
        <f t="shared" si="4"/>
        <v>33.333333333333329</v>
      </c>
      <c r="AN11" s="10">
        <v>8</v>
      </c>
      <c r="AO11" s="16">
        <v>7</v>
      </c>
      <c r="AP11" s="19">
        <f t="shared" si="12"/>
        <v>87.5</v>
      </c>
      <c r="AQ11" s="49">
        <v>3</v>
      </c>
      <c r="AR11" s="16">
        <v>3</v>
      </c>
      <c r="AS11" s="19">
        <f t="shared" si="13"/>
        <v>100</v>
      </c>
      <c r="AT11" s="10">
        <f t="shared" si="14"/>
        <v>34</v>
      </c>
      <c r="AU11" s="10">
        <f t="shared" si="15"/>
        <v>26</v>
      </c>
      <c r="AV11" s="26">
        <f t="shared" si="16"/>
        <v>76.470588235294116</v>
      </c>
      <c r="AW11" s="10">
        <f t="shared" si="17"/>
        <v>21</v>
      </c>
      <c r="AX11" s="10">
        <f t="shared" si="17"/>
        <v>14</v>
      </c>
      <c r="AY11" s="26">
        <f t="shared" si="18"/>
        <v>66.666666666666657</v>
      </c>
      <c r="AZ11" s="10">
        <f t="shared" si="19"/>
        <v>55</v>
      </c>
      <c r="BA11" s="10">
        <f t="shared" si="20"/>
        <v>40</v>
      </c>
      <c r="BB11" s="26">
        <f t="shared" si="21"/>
        <v>72.727272727272734</v>
      </c>
    </row>
    <row r="12" spans="1:54" s="47" customFormat="1">
      <c r="A12" s="48">
        <v>6</v>
      </c>
      <c r="B12" s="49">
        <v>1230321003</v>
      </c>
      <c r="C12" s="50" t="s">
        <v>28</v>
      </c>
      <c r="D12" s="10">
        <v>2</v>
      </c>
      <c r="E12" s="10">
        <v>1</v>
      </c>
      <c r="F12" s="19">
        <f t="shared" si="5"/>
        <v>50</v>
      </c>
      <c r="G12" s="49">
        <v>2</v>
      </c>
      <c r="H12" s="49">
        <v>2</v>
      </c>
      <c r="I12" s="19">
        <f t="shared" si="6"/>
        <v>100</v>
      </c>
      <c r="J12" s="10">
        <v>2</v>
      </c>
      <c r="K12" s="10">
        <v>2</v>
      </c>
      <c r="L12" s="19">
        <f t="shared" si="7"/>
        <v>100</v>
      </c>
      <c r="M12" s="49">
        <v>7</v>
      </c>
      <c r="N12" s="49">
        <v>5</v>
      </c>
      <c r="O12" s="19">
        <f t="shared" si="8"/>
        <v>71.428571428571431</v>
      </c>
      <c r="P12" s="10">
        <v>7</v>
      </c>
      <c r="Q12" s="10">
        <v>2</v>
      </c>
      <c r="R12" s="19">
        <f t="shared" si="9"/>
        <v>28.571428571428569</v>
      </c>
      <c r="S12" s="49">
        <v>3</v>
      </c>
      <c r="T12" s="49">
        <v>0</v>
      </c>
      <c r="U12" s="19">
        <f t="shared" si="10"/>
        <v>0</v>
      </c>
      <c r="V12" s="10">
        <v>3</v>
      </c>
      <c r="W12" s="10">
        <v>2</v>
      </c>
      <c r="X12" s="19">
        <f t="shared" si="0"/>
        <v>66.666666666666657</v>
      </c>
      <c r="Y12" s="49">
        <v>1</v>
      </c>
      <c r="Z12" s="49">
        <v>1</v>
      </c>
      <c r="AA12" s="49">
        <f t="shared" si="11"/>
        <v>100</v>
      </c>
      <c r="AB12" s="10">
        <v>7</v>
      </c>
      <c r="AC12" s="10">
        <v>5</v>
      </c>
      <c r="AD12" s="19">
        <f t="shared" si="1"/>
        <v>71.428571428571431</v>
      </c>
      <c r="AE12" s="49">
        <v>2</v>
      </c>
      <c r="AF12" s="49">
        <v>1</v>
      </c>
      <c r="AG12" s="19">
        <f t="shared" si="2"/>
        <v>50</v>
      </c>
      <c r="AH12" s="10">
        <v>5</v>
      </c>
      <c r="AI12" s="10">
        <v>3</v>
      </c>
      <c r="AJ12" s="19">
        <f t="shared" si="3"/>
        <v>60</v>
      </c>
      <c r="AK12" s="49">
        <v>3</v>
      </c>
      <c r="AL12" s="49">
        <v>1</v>
      </c>
      <c r="AM12" s="19">
        <f t="shared" si="4"/>
        <v>33.333333333333329</v>
      </c>
      <c r="AN12" s="10">
        <v>8</v>
      </c>
      <c r="AO12" s="16">
        <v>6</v>
      </c>
      <c r="AP12" s="19">
        <f t="shared" si="12"/>
        <v>75</v>
      </c>
      <c r="AQ12" s="49">
        <v>3</v>
      </c>
      <c r="AR12" s="16">
        <v>3</v>
      </c>
      <c r="AS12" s="19">
        <f t="shared" si="13"/>
        <v>100</v>
      </c>
      <c r="AT12" s="10">
        <f t="shared" si="14"/>
        <v>34</v>
      </c>
      <c r="AU12" s="10">
        <f t="shared" si="15"/>
        <v>21</v>
      </c>
      <c r="AV12" s="26">
        <f t="shared" si="16"/>
        <v>61.764705882352942</v>
      </c>
      <c r="AW12" s="10">
        <f t="shared" si="17"/>
        <v>21</v>
      </c>
      <c r="AX12" s="10">
        <f t="shared" si="17"/>
        <v>13</v>
      </c>
      <c r="AY12" s="26">
        <f t="shared" si="18"/>
        <v>61.904761904761905</v>
      </c>
      <c r="AZ12" s="10">
        <f t="shared" si="19"/>
        <v>55</v>
      </c>
      <c r="BA12" s="10">
        <f t="shared" si="20"/>
        <v>34</v>
      </c>
      <c r="BB12" s="26">
        <f t="shared" si="21"/>
        <v>61.818181818181813</v>
      </c>
    </row>
    <row r="13" spans="1:54" s="47" customFormat="1">
      <c r="A13" s="48">
        <v>7</v>
      </c>
      <c r="B13" s="49">
        <v>1230321004</v>
      </c>
      <c r="C13" s="50" t="s">
        <v>29</v>
      </c>
      <c r="D13" s="10">
        <v>2</v>
      </c>
      <c r="E13" s="10">
        <v>2</v>
      </c>
      <c r="F13" s="19">
        <f t="shared" si="5"/>
        <v>100</v>
      </c>
      <c r="G13" s="49">
        <v>2</v>
      </c>
      <c r="H13" s="49">
        <v>2</v>
      </c>
      <c r="I13" s="19">
        <f t="shared" si="6"/>
        <v>100</v>
      </c>
      <c r="J13" s="10">
        <v>2</v>
      </c>
      <c r="K13" s="10">
        <v>2</v>
      </c>
      <c r="L13" s="19">
        <f t="shared" si="7"/>
        <v>100</v>
      </c>
      <c r="M13" s="49">
        <v>7</v>
      </c>
      <c r="N13" s="49">
        <v>6</v>
      </c>
      <c r="O13" s="19">
        <f t="shared" si="8"/>
        <v>85.714285714285708</v>
      </c>
      <c r="P13" s="10">
        <v>7</v>
      </c>
      <c r="Q13" s="10">
        <v>2</v>
      </c>
      <c r="R13" s="19">
        <f t="shared" si="9"/>
        <v>28.571428571428569</v>
      </c>
      <c r="S13" s="49">
        <v>3</v>
      </c>
      <c r="T13" s="49">
        <v>0</v>
      </c>
      <c r="U13" s="19">
        <f t="shared" si="10"/>
        <v>0</v>
      </c>
      <c r="V13" s="10">
        <v>3</v>
      </c>
      <c r="W13" s="10">
        <v>2</v>
      </c>
      <c r="X13" s="19">
        <f t="shared" si="0"/>
        <v>66.666666666666657</v>
      </c>
      <c r="Y13" s="49">
        <v>1</v>
      </c>
      <c r="Z13" s="49">
        <v>1</v>
      </c>
      <c r="AA13" s="49">
        <f t="shared" si="11"/>
        <v>100</v>
      </c>
      <c r="AB13" s="10">
        <v>7</v>
      </c>
      <c r="AC13" s="10">
        <v>3</v>
      </c>
      <c r="AD13" s="19">
        <f t="shared" si="1"/>
        <v>42.857142857142854</v>
      </c>
      <c r="AE13" s="49">
        <v>2</v>
      </c>
      <c r="AF13" s="49">
        <v>1</v>
      </c>
      <c r="AG13" s="19">
        <f t="shared" si="2"/>
        <v>50</v>
      </c>
      <c r="AH13" s="10">
        <v>5</v>
      </c>
      <c r="AI13" s="10">
        <v>4</v>
      </c>
      <c r="AJ13" s="19">
        <f t="shared" si="3"/>
        <v>80</v>
      </c>
      <c r="AK13" s="49">
        <v>3</v>
      </c>
      <c r="AL13" s="49">
        <v>1</v>
      </c>
      <c r="AM13" s="19">
        <f t="shared" si="4"/>
        <v>33.333333333333329</v>
      </c>
      <c r="AN13" s="10">
        <v>8</v>
      </c>
      <c r="AO13" s="16">
        <v>8</v>
      </c>
      <c r="AP13" s="19">
        <f t="shared" si="12"/>
        <v>100</v>
      </c>
      <c r="AQ13" s="49">
        <v>3</v>
      </c>
      <c r="AR13" s="16">
        <v>3</v>
      </c>
      <c r="AS13" s="19">
        <f t="shared" si="13"/>
        <v>100</v>
      </c>
      <c r="AT13" s="10">
        <f t="shared" si="14"/>
        <v>34</v>
      </c>
      <c r="AU13" s="10">
        <f t="shared" si="15"/>
        <v>23</v>
      </c>
      <c r="AV13" s="26">
        <f t="shared" si="16"/>
        <v>67.64705882352942</v>
      </c>
      <c r="AW13" s="10">
        <f t="shared" si="17"/>
        <v>21</v>
      </c>
      <c r="AX13" s="10">
        <f t="shared" si="17"/>
        <v>14</v>
      </c>
      <c r="AY13" s="26">
        <f t="shared" si="18"/>
        <v>66.666666666666657</v>
      </c>
      <c r="AZ13" s="10">
        <f t="shared" si="19"/>
        <v>55</v>
      </c>
      <c r="BA13" s="10">
        <f t="shared" si="20"/>
        <v>37</v>
      </c>
      <c r="BB13" s="26">
        <f t="shared" si="21"/>
        <v>67.272727272727266</v>
      </c>
    </row>
    <row r="14" spans="1:54" s="47" customFormat="1">
      <c r="A14" s="48">
        <v>8</v>
      </c>
      <c r="B14" s="49">
        <v>1230321005</v>
      </c>
      <c r="C14" s="50" t="s">
        <v>30</v>
      </c>
      <c r="D14" s="10">
        <v>2</v>
      </c>
      <c r="E14" s="10">
        <v>1</v>
      </c>
      <c r="F14" s="19">
        <f t="shared" si="5"/>
        <v>50</v>
      </c>
      <c r="G14" s="49">
        <v>2</v>
      </c>
      <c r="H14" s="49">
        <v>1</v>
      </c>
      <c r="I14" s="19">
        <f t="shared" si="6"/>
        <v>50</v>
      </c>
      <c r="J14" s="10">
        <v>2</v>
      </c>
      <c r="K14" s="10">
        <v>2</v>
      </c>
      <c r="L14" s="19">
        <f t="shared" si="7"/>
        <v>100</v>
      </c>
      <c r="M14" s="49">
        <v>7</v>
      </c>
      <c r="N14" s="49">
        <v>6</v>
      </c>
      <c r="O14" s="19">
        <f t="shared" si="8"/>
        <v>85.714285714285708</v>
      </c>
      <c r="P14" s="10">
        <v>7</v>
      </c>
      <c r="Q14" s="10">
        <v>4</v>
      </c>
      <c r="R14" s="19">
        <f t="shared" si="9"/>
        <v>57.142857142857139</v>
      </c>
      <c r="S14" s="49">
        <v>3</v>
      </c>
      <c r="T14" s="49">
        <v>0</v>
      </c>
      <c r="U14" s="19">
        <f t="shared" si="10"/>
        <v>0</v>
      </c>
      <c r="V14" s="10">
        <v>3</v>
      </c>
      <c r="W14" s="10">
        <v>2</v>
      </c>
      <c r="X14" s="19">
        <f t="shared" si="0"/>
        <v>66.666666666666657</v>
      </c>
      <c r="Y14" s="49">
        <v>1</v>
      </c>
      <c r="Z14" s="49">
        <v>1</v>
      </c>
      <c r="AA14" s="49">
        <f t="shared" si="11"/>
        <v>100</v>
      </c>
      <c r="AB14" s="10">
        <v>7</v>
      </c>
      <c r="AC14" s="10">
        <v>6</v>
      </c>
      <c r="AD14" s="19">
        <f t="shared" si="1"/>
        <v>85.714285714285708</v>
      </c>
      <c r="AE14" s="49">
        <v>2</v>
      </c>
      <c r="AF14" s="49">
        <v>2</v>
      </c>
      <c r="AG14" s="19">
        <f t="shared" si="2"/>
        <v>100</v>
      </c>
      <c r="AH14" s="10">
        <v>5</v>
      </c>
      <c r="AI14" s="10">
        <v>2</v>
      </c>
      <c r="AJ14" s="19">
        <f t="shared" si="3"/>
        <v>40</v>
      </c>
      <c r="AK14" s="49">
        <v>3</v>
      </c>
      <c r="AL14" s="49">
        <v>0</v>
      </c>
      <c r="AM14" s="19">
        <f t="shared" si="4"/>
        <v>0</v>
      </c>
      <c r="AN14" s="10">
        <v>8</v>
      </c>
      <c r="AO14" s="16">
        <v>5</v>
      </c>
      <c r="AP14" s="19">
        <f t="shared" si="12"/>
        <v>62.5</v>
      </c>
      <c r="AQ14" s="49">
        <v>3</v>
      </c>
      <c r="AR14" s="16">
        <v>2</v>
      </c>
      <c r="AS14" s="19">
        <f t="shared" si="13"/>
        <v>66.666666666666657</v>
      </c>
      <c r="AT14" s="10">
        <f t="shared" si="14"/>
        <v>34</v>
      </c>
      <c r="AU14" s="10">
        <f t="shared" si="15"/>
        <v>22</v>
      </c>
      <c r="AV14" s="26">
        <f t="shared" si="16"/>
        <v>64.705882352941174</v>
      </c>
      <c r="AW14" s="10">
        <f t="shared" si="17"/>
        <v>21</v>
      </c>
      <c r="AX14" s="10">
        <f t="shared" si="17"/>
        <v>12</v>
      </c>
      <c r="AY14" s="26">
        <f t="shared" si="18"/>
        <v>57.142857142857139</v>
      </c>
      <c r="AZ14" s="10">
        <f t="shared" si="19"/>
        <v>55</v>
      </c>
      <c r="BA14" s="10">
        <f t="shared" si="20"/>
        <v>34</v>
      </c>
      <c r="BB14" s="26">
        <f t="shared" si="21"/>
        <v>61.818181818181813</v>
      </c>
    </row>
    <row r="15" spans="1:54" s="47" customFormat="1">
      <c r="A15" s="48">
        <v>9</v>
      </c>
      <c r="B15" s="49">
        <v>1230321006</v>
      </c>
      <c r="C15" s="50" t="s">
        <v>31</v>
      </c>
      <c r="D15" s="10">
        <v>2</v>
      </c>
      <c r="E15" s="10">
        <v>2</v>
      </c>
      <c r="F15" s="19">
        <f t="shared" si="5"/>
        <v>100</v>
      </c>
      <c r="G15" s="49">
        <v>2</v>
      </c>
      <c r="H15" s="49">
        <v>2</v>
      </c>
      <c r="I15" s="19">
        <f t="shared" si="6"/>
        <v>100</v>
      </c>
      <c r="J15" s="10">
        <v>2</v>
      </c>
      <c r="K15" s="10">
        <v>2</v>
      </c>
      <c r="L15" s="19">
        <f t="shared" si="7"/>
        <v>100</v>
      </c>
      <c r="M15" s="49">
        <v>7</v>
      </c>
      <c r="N15" s="49">
        <v>2</v>
      </c>
      <c r="O15" s="19">
        <f t="shared" si="8"/>
        <v>28.571428571428569</v>
      </c>
      <c r="P15" s="10">
        <v>7</v>
      </c>
      <c r="Q15" s="10">
        <v>4</v>
      </c>
      <c r="R15" s="19">
        <f t="shared" si="9"/>
        <v>57.142857142857139</v>
      </c>
      <c r="S15" s="49">
        <v>3</v>
      </c>
      <c r="T15" s="49">
        <v>2</v>
      </c>
      <c r="U15" s="19">
        <f t="shared" si="10"/>
        <v>66.666666666666657</v>
      </c>
      <c r="V15" s="10">
        <v>3</v>
      </c>
      <c r="W15" s="10">
        <v>2</v>
      </c>
      <c r="X15" s="19">
        <f t="shared" si="0"/>
        <v>66.666666666666657</v>
      </c>
      <c r="Y15" s="49">
        <v>1</v>
      </c>
      <c r="Z15" s="49">
        <v>1</v>
      </c>
      <c r="AA15" s="49">
        <f t="shared" si="11"/>
        <v>100</v>
      </c>
      <c r="AB15" s="10">
        <v>7</v>
      </c>
      <c r="AC15" s="10">
        <v>5</v>
      </c>
      <c r="AD15" s="19">
        <f t="shared" si="1"/>
        <v>71.428571428571431</v>
      </c>
      <c r="AE15" s="49">
        <v>2</v>
      </c>
      <c r="AF15" s="49">
        <v>0</v>
      </c>
      <c r="AG15" s="19">
        <f t="shared" si="2"/>
        <v>0</v>
      </c>
      <c r="AH15" s="10">
        <v>5</v>
      </c>
      <c r="AI15" s="10">
        <v>5</v>
      </c>
      <c r="AJ15" s="19">
        <f t="shared" si="3"/>
        <v>100</v>
      </c>
      <c r="AK15" s="49">
        <v>3</v>
      </c>
      <c r="AL15" s="49">
        <v>3</v>
      </c>
      <c r="AM15" s="19">
        <f t="shared" si="4"/>
        <v>100</v>
      </c>
      <c r="AN15" s="10">
        <v>8</v>
      </c>
      <c r="AO15" s="16">
        <v>8</v>
      </c>
      <c r="AP15" s="19">
        <f t="shared" si="12"/>
        <v>100</v>
      </c>
      <c r="AQ15" s="49">
        <v>3</v>
      </c>
      <c r="AR15" s="16">
        <v>3</v>
      </c>
      <c r="AS15" s="19">
        <f t="shared" si="13"/>
        <v>100</v>
      </c>
      <c r="AT15" s="10">
        <f t="shared" si="14"/>
        <v>34</v>
      </c>
      <c r="AU15" s="10">
        <f t="shared" si="15"/>
        <v>28</v>
      </c>
      <c r="AV15" s="26">
        <f t="shared" si="16"/>
        <v>82.35294117647058</v>
      </c>
      <c r="AW15" s="10">
        <f t="shared" si="17"/>
        <v>21</v>
      </c>
      <c r="AX15" s="10">
        <f t="shared" si="17"/>
        <v>13</v>
      </c>
      <c r="AY15" s="26">
        <f t="shared" si="18"/>
        <v>61.904761904761905</v>
      </c>
      <c r="AZ15" s="10">
        <f t="shared" si="19"/>
        <v>55</v>
      </c>
      <c r="BA15" s="10">
        <f t="shared" si="20"/>
        <v>41</v>
      </c>
      <c r="BB15" s="26">
        <f t="shared" si="21"/>
        <v>74.545454545454547</v>
      </c>
    </row>
    <row r="16" spans="1:54" s="47" customFormat="1">
      <c r="A16" s="48">
        <v>10</v>
      </c>
      <c r="B16" s="49">
        <v>1230321007</v>
      </c>
      <c r="C16" s="50" t="s">
        <v>32</v>
      </c>
      <c r="D16" s="10">
        <v>2</v>
      </c>
      <c r="E16" s="10">
        <v>1</v>
      </c>
      <c r="F16" s="19">
        <f t="shared" si="5"/>
        <v>50</v>
      </c>
      <c r="G16" s="49">
        <v>2</v>
      </c>
      <c r="H16" s="49">
        <v>1</v>
      </c>
      <c r="I16" s="19">
        <f t="shared" si="6"/>
        <v>50</v>
      </c>
      <c r="J16" s="10">
        <v>2</v>
      </c>
      <c r="K16" s="10">
        <v>1</v>
      </c>
      <c r="L16" s="19">
        <f t="shared" si="7"/>
        <v>50</v>
      </c>
      <c r="M16" s="49">
        <v>7</v>
      </c>
      <c r="N16" s="49">
        <v>3</v>
      </c>
      <c r="O16" s="19">
        <f t="shared" si="8"/>
        <v>42.857142857142854</v>
      </c>
      <c r="P16" s="10">
        <v>7</v>
      </c>
      <c r="Q16" s="10">
        <v>5</v>
      </c>
      <c r="R16" s="19">
        <f t="shared" si="9"/>
        <v>71.428571428571431</v>
      </c>
      <c r="S16" s="49">
        <v>3</v>
      </c>
      <c r="T16" s="49">
        <v>2</v>
      </c>
      <c r="U16" s="19">
        <f t="shared" si="10"/>
        <v>66.666666666666657</v>
      </c>
      <c r="V16" s="10">
        <v>3</v>
      </c>
      <c r="W16" s="10">
        <v>2</v>
      </c>
      <c r="X16" s="19">
        <f t="shared" si="0"/>
        <v>66.666666666666657</v>
      </c>
      <c r="Y16" s="49">
        <v>1</v>
      </c>
      <c r="Z16" s="49">
        <v>1</v>
      </c>
      <c r="AA16" s="49">
        <f t="shared" si="11"/>
        <v>100</v>
      </c>
      <c r="AB16" s="10">
        <v>7</v>
      </c>
      <c r="AC16" s="10">
        <v>6</v>
      </c>
      <c r="AD16" s="19">
        <f t="shared" si="1"/>
        <v>85.714285714285708</v>
      </c>
      <c r="AE16" s="49">
        <v>2</v>
      </c>
      <c r="AF16" s="49">
        <v>2</v>
      </c>
      <c r="AG16" s="19">
        <f t="shared" si="2"/>
        <v>100</v>
      </c>
      <c r="AH16" s="10">
        <v>5</v>
      </c>
      <c r="AI16" s="10">
        <v>3</v>
      </c>
      <c r="AJ16" s="19">
        <f t="shared" si="3"/>
        <v>60</v>
      </c>
      <c r="AK16" s="49">
        <v>3</v>
      </c>
      <c r="AL16" s="49">
        <v>2</v>
      </c>
      <c r="AM16" s="19">
        <f t="shared" si="4"/>
        <v>66.666666666666657</v>
      </c>
      <c r="AN16" s="10">
        <v>8</v>
      </c>
      <c r="AO16" s="16">
        <v>8</v>
      </c>
      <c r="AP16" s="19">
        <f t="shared" si="12"/>
        <v>100</v>
      </c>
      <c r="AQ16" s="49">
        <v>3</v>
      </c>
      <c r="AR16" s="16">
        <v>3</v>
      </c>
      <c r="AS16" s="19">
        <f t="shared" si="13"/>
        <v>100</v>
      </c>
      <c r="AT16" s="10">
        <f t="shared" si="14"/>
        <v>34</v>
      </c>
      <c r="AU16" s="10">
        <f t="shared" si="15"/>
        <v>26</v>
      </c>
      <c r="AV16" s="26">
        <f t="shared" si="16"/>
        <v>76.470588235294116</v>
      </c>
      <c r="AW16" s="10">
        <f t="shared" si="17"/>
        <v>21</v>
      </c>
      <c r="AX16" s="10">
        <f t="shared" si="17"/>
        <v>14</v>
      </c>
      <c r="AY16" s="26">
        <f t="shared" si="18"/>
        <v>66.666666666666657</v>
      </c>
      <c r="AZ16" s="10">
        <f t="shared" si="19"/>
        <v>55</v>
      </c>
      <c r="BA16" s="10">
        <f t="shared" si="20"/>
        <v>40</v>
      </c>
      <c r="BB16" s="26">
        <f t="shared" si="21"/>
        <v>72.727272727272734</v>
      </c>
    </row>
    <row r="17" spans="1:54" s="47" customFormat="1">
      <c r="A17" s="48">
        <v>11</v>
      </c>
      <c r="B17" s="49">
        <v>1230321008</v>
      </c>
      <c r="C17" s="50" t="s">
        <v>33</v>
      </c>
      <c r="D17" s="10">
        <v>2</v>
      </c>
      <c r="E17" s="10">
        <v>1</v>
      </c>
      <c r="F17" s="19">
        <f t="shared" si="5"/>
        <v>50</v>
      </c>
      <c r="G17" s="49">
        <v>2</v>
      </c>
      <c r="H17" s="49">
        <v>1</v>
      </c>
      <c r="I17" s="19">
        <f t="shared" si="6"/>
        <v>50</v>
      </c>
      <c r="J17" s="10">
        <v>2</v>
      </c>
      <c r="K17" s="10">
        <v>1</v>
      </c>
      <c r="L17" s="19">
        <f t="shared" si="7"/>
        <v>50</v>
      </c>
      <c r="M17" s="49">
        <v>7</v>
      </c>
      <c r="N17" s="49">
        <v>3</v>
      </c>
      <c r="O17" s="19">
        <f t="shared" si="8"/>
        <v>42.857142857142854</v>
      </c>
      <c r="P17" s="10">
        <v>7</v>
      </c>
      <c r="Q17" s="10">
        <v>1</v>
      </c>
      <c r="R17" s="19">
        <f t="shared" si="9"/>
        <v>14.285714285714285</v>
      </c>
      <c r="S17" s="49">
        <v>3</v>
      </c>
      <c r="T17" s="49">
        <v>0</v>
      </c>
      <c r="U17" s="19">
        <f t="shared" si="10"/>
        <v>0</v>
      </c>
      <c r="V17" s="10">
        <v>3</v>
      </c>
      <c r="W17" s="10">
        <v>2</v>
      </c>
      <c r="X17" s="19">
        <f t="shared" si="0"/>
        <v>66.666666666666657</v>
      </c>
      <c r="Y17" s="49">
        <v>1</v>
      </c>
      <c r="Z17" s="49">
        <v>1</v>
      </c>
      <c r="AA17" s="49">
        <f t="shared" si="11"/>
        <v>100</v>
      </c>
      <c r="AB17" s="10">
        <v>7</v>
      </c>
      <c r="AC17" s="10">
        <v>6</v>
      </c>
      <c r="AD17" s="19">
        <f t="shared" si="1"/>
        <v>85.714285714285708</v>
      </c>
      <c r="AE17" s="49">
        <v>2</v>
      </c>
      <c r="AF17" s="49">
        <v>2</v>
      </c>
      <c r="AG17" s="19">
        <f t="shared" si="2"/>
        <v>100</v>
      </c>
      <c r="AH17" s="10">
        <v>5</v>
      </c>
      <c r="AI17" s="10">
        <v>4</v>
      </c>
      <c r="AJ17" s="19">
        <f t="shared" si="3"/>
        <v>80</v>
      </c>
      <c r="AK17" s="49">
        <v>3</v>
      </c>
      <c r="AL17" s="49">
        <v>2</v>
      </c>
      <c r="AM17" s="19">
        <f t="shared" si="4"/>
        <v>66.666666666666657</v>
      </c>
      <c r="AN17" s="10">
        <v>8</v>
      </c>
      <c r="AO17" s="16">
        <v>7</v>
      </c>
      <c r="AP17" s="19">
        <f t="shared" si="12"/>
        <v>87.5</v>
      </c>
      <c r="AQ17" s="49">
        <v>3</v>
      </c>
      <c r="AR17" s="16">
        <v>2</v>
      </c>
      <c r="AS17" s="19">
        <f t="shared" si="13"/>
        <v>66.666666666666657</v>
      </c>
      <c r="AT17" s="10">
        <f t="shared" si="14"/>
        <v>34</v>
      </c>
      <c r="AU17" s="10">
        <f t="shared" si="15"/>
        <v>22</v>
      </c>
      <c r="AV17" s="26">
        <f t="shared" si="16"/>
        <v>64.705882352941174</v>
      </c>
      <c r="AW17" s="10">
        <f t="shared" si="17"/>
        <v>21</v>
      </c>
      <c r="AX17" s="10">
        <f t="shared" si="17"/>
        <v>11</v>
      </c>
      <c r="AY17" s="26">
        <f t="shared" si="18"/>
        <v>52.380952380952387</v>
      </c>
      <c r="AZ17" s="10">
        <f t="shared" si="19"/>
        <v>55</v>
      </c>
      <c r="BA17" s="10">
        <f t="shared" si="20"/>
        <v>33</v>
      </c>
      <c r="BB17" s="26">
        <f t="shared" si="21"/>
        <v>60</v>
      </c>
    </row>
    <row r="18" spans="1:54" s="47" customFormat="1">
      <c r="A18" s="48">
        <v>12</v>
      </c>
      <c r="B18" s="49">
        <v>1230321009</v>
      </c>
      <c r="C18" s="50" t="s">
        <v>34</v>
      </c>
      <c r="D18" s="10">
        <v>2</v>
      </c>
      <c r="E18" s="10">
        <v>1</v>
      </c>
      <c r="F18" s="19">
        <f t="shared" si="5"/>
        <v>50</v>
      </c>
      <c r="G18" s="49">
        <v>2</v>
      </c>
      <c r="H18" s="49">
        <v>0</v>
      </c>
      <c r="I18" s="19">
        <f t="shared" si="6"/>
        <v>0</v>
      </c>
      <c r="J18" s="10">
        <v>2</v>
      </c>
      <c r="K18" s="10">
        <v>1</v>
      </c>
      <c r="L18" s="19">
        <f t="shared" si="7"/>
        <v>50</v>
      </c>
      <c r="M18" s="49">
        <v>7</v>
      </c>
      <c r="N18" s="49">
        <v>5</v>
      </c>
      <c r="O18" s="19">
        <f t="shared" si="8"/>
        <v>71.428571428571431</v>
      </c>
      <c r="P18" s="10">
        <v>7</v>
      </c>
      <c r="Q18" s="10">
        <v>2</v>
      </c>
      <c r="R18" s="19">
        <f t="shared" si="9"/>
        <v>28.571428571428569</v>
      </c>
      <c r="S18" s="49">
        <v>3</v>
      </c>
      <c r="T18" s="49">
        <v>0</v>
      </c>
      <c r="U18" s="19">
        <f t="shared" si="10"/>
        <v>0</v>
      </c>
      <c r="V18" s="10">
        <v>3</v>
      </c>
      <c r="W18" s="10">
        <v>2</v>
      </c>
      <c r="X18" s="19">
        <f t="shared" si="0"/>
        <v>66.666666666666657</v>
      </c>
      <c r="Y18" s="49">
        <v>1</v>
      </c>
      <c r="Z18" s="49">
        <v>1</v>
      </c>
      <c r="AA18" s="49">
        <f t="shared" si="11"/>
        <v>100</v>
      </c>
      <c r="AB18" s="10">
        <v>7</v>
      </c>
      <c r="AC18" s="10">
        <v>3</v>
      </c>
      <c r="AD18" s="19">
        <f t="shared" si="1"/>
        <v>42.857142857142854</v>
      </c>
      <c r="AE18" s="49">
        <v>2</v>
      </c>
      <c r="AF18" s="49">
        <v>0</v>
      </c>
      <c r="AG18" s="19">
        <f t="shared" si="2"/>
        <v>0</v>
      </c>
      <c r="AH18" s="10">
        <v>5</v>
      </c>
      <c r="AI18" s="10">
        <v>2</v>
      </c>
      <c r="AJ18" s="19">
        <f t="shared" si="3"/>
        <v>40</v>
      </c>
      <c r="AK18" s="49">
        <v>3</v>
      </c>
      <c r="AL18" s="49">
        <v>1</v>
      </c>
      <c r="AM18" s="19">
        <f t="shared" si="4"/>
        <v>33.333333333333329</v>
      </c>
      <c r="AN18" s="10">
        <v>8</v>
      </c>
      <c r="AO18" s="16">
        <v>6</v>
      </c>
      <c r="AP18" s="19">
        <f t="shared" si="12"/>
        <v>75</v>
      </c>
      <c r="AQ18" s="49">
        <v>3</v>
      </c>
      <c r="AR18" s="16">
        <v>2</v>
      </c>
      <c r="AS18" s="19">
        <f t="shared" si="13"/>
        <v>66.666666666666657</v>
      </c>
      <c r="AT18" s="10">
        <f t="shared" si="14"/>
        <v>34</v>
      </c>
      <c r="AU18" s="10">
        <f t="shared" si="15"/>
        <v>17</v>
      </c>
      <c r="AV18" s="26">
        <f t="shared" si="16"/>
        <v>50</v>
      </c>
      <c r="AW18" s="10">
        <f t="shared" si="17"/>
        <v>21</v>
      </c>
      <c r="AX18" s="10">
        <f t="shared" si="17"/>
        <v>9</v>
      </c>
      <c r="AY18" s="26">
        <f t="shared" si="18"/>
        <v>42.857142857142854</v>
      </c>
      <c r="AZ18" s="10">
        <f t="shared" si="19"/>
        <v>55</v>
      </c>
      <c r="BA18" s="10">
        <f t="shared" si="20"/>
        <v>26</v>
      </c>
      <c r="BB18" s="26">
        <f t="shared" si="21"/>
        <v>47.272727272727273</v>
      </c>
    </row>
    <row r="19" spans="1:54" s="47" customFormat="1">
      <c r="A19" s="48">
        <v>13</v>
      </c>
      <c r="B19" s="49">
        <v>1230321010</v>
      </c>
      <c r="C19" s="50" t="s">
        <v>35</v>
      </c>
      <c r="D19" s="10">
        <v>2</v>
      </c>
      <c r="E19" s="10">
        <v>2</v>
      </c>
      <c r="F19" s="19">
        <f t="shared" si="5"/>
        <v>100</v>
      </c>
      <c r="G19" s="49">
        <v>2</v>
      </c>
      <c r="H19" s="49">
        <v>2</v>
      </c>
      <c r="I19" s="19">
        <f t="shared" si="6"/>
        <v>100</v>
      </c>
      <c r="J19" s="10">
        <v>2</v>
      </c>
      <c r="K19" s="10">
        <v>1</v>
      </c>
      <c r="L19" s="19">
        <f t="shared" si="7"/>
        <v>50</v>
      </c>
      <c r="M19" s="49">
        <v>7</v>
      </c>
      <c r="N19" s="49">
        <v>4</v>
      </c>
      <c r="O19" s="19">
        <f t="shared" si="8"/>
        <v>57.142857142857139</v>
      </c>
      <c r="P19" s="10">
        <v>7</v>
      </c>
      <c r="Q19" s="10">
        <v>5</v>
      </c>
      <c r="R19" s="19">
        <f t="shared" si="9"/>
        <v>71.428571428571431</v>
      </c>
      <c r="S19" s="49">
        <v>3</v>
      </c>
      <c r="T19" s="49">
        <v>2</v>
      </c>
      <c r="U19" s="19">
        <f t="shared" si="10"/>
        <v>66.666666666666657</v>
      </c>
      <c r="V19" s="10">
        <v>3</v>
      </c>
      <c r="W19" s="10">
        <v>2</v>
      </c>
      <c r="X19" s="19">
        <f t="shared" si="0"/>
        <v>66.666666666666657</v>
      </c>
      <c r="Y19" s="49">
        <v>1</v>
      </c>
      <c r="Z19" s="49">
        <v>1</v>
      </c>
      <c r="AA19" s="49">
        <f t="shared" si="11"/>
        <v>100</v>
      </c>
      <c r="AB19" s="10">
        <v>7</v>
      </c>
      <c r="AC19" s="10">
        <v>7</v>
      </c>
      <c r="AD19" s="19">
        <f t="shared" si="1"/>
        <v>100</v>
      </c>
      <c r="AE19" s="49">
        <v>2</v>
      </c>
      <c r="AF19" s="49">
        <v>2</v>
      </c>
      <c r="AG19" s="19">
        <f t="shared" si="2"/>
        <v>100</v>
      </c>
      <c r="AH19" s="10">
        <v>5</v>
      </c>
      <c r="AI19" s="10">
        <v>3</v>
      </c>
      <c r="AJ19" s="19">
        <f t="shared" si="3"/>
        <v>60</v>
      </c>
      <c r="AK19" s="49">
        <v>3</v>
      </c>
      <c r="AL19" s="49">
        <v>1</v>
      </c>
      <c r="AM19" s="19">
        <f t="shared" si="4"/>
        <v>33.333333333333329</v>
      </c>
      <c r="AN19" s="10">
        <v>8</v>
      </c>
      <c r="AO19" s="16">
        <v>6</v>
      </c>
      <c r="AP19" s="19">
        <f t="shared" si="12"/>
        <v>75</v>
      </c>
      <c r="AQ19" s="49">
        <v>3</v>
      </c>
      <c r="AR19" s="16">
        <v>2</v>
      </c>
      <c r="AS19" s="19">
        <f t="shared" si="13"/>
        <v>66.666666666666657</v>
      </c>
      <c r="AT19" s="10">
        <f t="shared" si="14"/>
        <v>34</v>
      </c>
      <c r="AU19" s="10">
        <f t="shared" si="15"/>
        <v>26</v>
      </c>
      <c r="AV19" s="26">
        <f t="shared" si="16"/>
        <v>76.470588235294116</v>
      </c>
      <c r="AW19" s="10">
        <f t="shared" si="17"/>
        <v>21</v>
      </c>
      <c r="AX19" s="10">
        <f t="shared" si="17"/>
        <v>14</v>
      </c>
      <c r="AY19" s="26">
        <f t="shared" si="18"/>
        <v>66.666666666666657</v>
      </c>
      <c r="AZ19" s="10">
        <f t="shared" si="19"/>
        <v>55</v>
      </c>
      <c r="BA19" s="10">
        <f t="shared" si="20"/>
        <v>40</v>
      </c>
      <c r="BB19" s="26">
        <f t="shared" si="21"/>
        <v>72.727272727272734</v>
      </c>
    </row>
    <row r="20" spans="1:54" s="47" customFormat="1">
      <c r="A20" s="48">
        <v>14</v>
      </c>
      <c r="B20" s="49">
        <v>1230321011</v>
      </c>
      <c r="C20" s="50" t="s">
        <v>36</v>
      </c>
      <c r="D20" s="10">
        <v>2</v>
      </c>
      <c r="E20" s="10">
        <v>2</v>
      </c>
      <c r="F20" s="19">
        <f t="shared" si="5"/>
        <v>100</v>
      </c>
      <c r="G20" s="49">
        <v>2</v>
      </c>
      <c r="H20" s="49">
        <v>2</v>
      </c>
      <c r="I20" s="19">
        <f t="shared" si="6"/>
        <v>100</v>
      </c>
      <c r="J20" s="10">
        <v>2</v>
      </c>
      <c r="K20" s="10">
        <v>2</v>
      </c>
      <c r="L20" s="19">
        <f t="shared" si="7"/>
        <v>100</v>
      </c>
      <c r="M20" s="49">
        <v>7</v>
      </c>
      <c r="N20" s="49">
        <v>7</v>
      </c>
      <c r="O20" s="19">
        <f t="shared" si="8"/>
        <v>100</v>
      </c>
      <c r="P20" s="10">
        <v>7</v>
      </c>
      <c r="Q20" s="10">
        <v>6</v>
      </c>
      <c r="R20" s="19">
        <f t="shared" si="9"/>
        <v>85.714285714285708</v>
      </c>
      <c r="S20" s="49">
        <v>3</v>
      </c>
      <c r="T20" s="49">
        <v>3</v>
      </c>
      <c r="U20" s="19">
        <f t="shared" si="10"/>
        <v>100</v>
      </c>
      <c r="V20" s="10">
        <v>3</v>
      </c>
      <c r="W20" s="10">
        <v>2</v>
      </c>
      <c r="X20" s="19">
        <f t="shared" si="0"/>
        <v>66.666666666666657</v>
      </c>
      <c r="Y20" s="49">
        <v>1</v>
      </c>
      <c r="Z20" s="49">
        <v>1</v>
      </c>
      <c r="AA20" s="49">
        <f t="shared" si="11"/>
        <v>100</v>
      </c>
      <c r="AB20" s="10">
        <v>7</v>
      </c>
      <c r="AC20" s="10">
        <v>7</v>
      </c>
      <c r="AD20" s="19">
        <f t="shared" si="1"/>
        <v>100</v>
      </c>
      <c r="AE20" s="49">
        <v>2</v>
      </c>
      <c r="AF20" s="49">
        <v>2</v>
      </c>
      <c r="AG20" s="19">
        <f t="shared" si="2"/>
        <v>100</v>
      </c>
      <c r="AH20" s="10">
        <v>5</v>
      </c>
      <c r="AI20" s="10">
        <v>3</v>
      </c>
      <c r="AJ20" s="19">
        <f t="shared" si="3"/>
        <v>60</v>
      </c>
      <c r="AK20" s="49">
        <v>3</v>
      </c>
      <c r="AL20" s="49">
        <v>2</v>
      </c>
      <c r="AM20" s="19">
        <f t="shared" si="4"/>
        <v>66.666666666666657</v>
      </c>
      <c r="AN20" s="10">
        <v>8</v>
      </c>
      <c r="AO20" s="10">
        <v>6</v>
      </c>
      <c r="AP20" s="19">
        <f t="shared" si="12"/>
        <v>75</v>
      </c>
      <c r="AQ20" s="49">
        <v>3</v>
      </c>
      <c r="AR20" s="49">
        <v>2</v>
      </c>
      <c r="AS20" s="19">
        <f t="shared" si="13"/>
        <v>66.666666666666657</v>
      </c>
      <c r="AT20" s="10">
        <f t="shared" si="14"/>
        <v>34</v>
      </c>
      <c r="AU20" s="10">
        <f t="shared" si="15"/>
        <v>28</v>
      </c>
      <c r="AV20" s="26">
        <f t="shared" si="16"/>
        <v>82.35294117647058</v>
      </c>
      <c r="AW20" s="10">
        <f t="shared" si="17"/>
        <v>21</v>
      </c>
      <c r="AX20" s="10">
        <f t="shared" si="17"/>
        <v>19</v>
      </c>
      <c r="AY20" s="26">
        <f t="shared" si="18"/>
        <v>90.476190476190482</v>
      </c>
      <c r="AZ20" s="10">
        <f t="shared" si="19"/>
        <v>55</v>
      </c>
      <c r="BA20" s="10">
        <f t="shared" si="20"/>
        <v>47</v>
      </c>
      <c r="BB20" s="26">
        <f t="shared" si="21"/>
        <v>85.454545454545453</v>
      </c>
    </row>
    <row r="21" spans="1:54" s="47" customFormat="1">
      <c r="A21" s="48">
        <v>15</v>
      </c>
      <c r="B21" s="49">
        <v>1230321012</v>
      </c>
      <c r="C21" s="50" t="s">
        <v>37</v>
      </c>
      <c r="D21" s="10">
        <v>2</v>
      </c>
      <c r="E21" s="10">
        <v>2</v>
      </c>
      <c r="F21" s="19">
        <f t="shared" si="5"/>
        <v>100</v>
      </c>
      <c r="G21" s="49">
        <v>2</v>
      </c>
      <c r="H21" s="49">
        <v>2</v>
      </c>
      <c r="I21" s="19">
        <f t="shared" si="6"/>
        <v>100</v>
      </c>
      <c r="J21" s="10">
        <v>2</v>
      </c>
      <c r="K21" s="10">
        <v>2</v>
      </c>
      <c r="L21" s="19">
        <f t="shared" si="7"/>
        <v>100</v>
      </c>
      <c r="M21" s="49">
        <v>7</v>
      </c>
      <c r="N21" s="49">
        <v>6</v>
      </c>
      <c r="O21" s="19">
        <f t="shared" si="8"/>
        <v>85.714285714285708</v>
      </c>
      <c r="P21" s="10">
        <v>7</v>
      </c>
      <c r="Q21" s="10">
        <v>6</v>
      </c>
      <c r="R21" s="19">
        <f t="shared" si="9"/>
        <v>85.714285714285708</v>
      </c>
      <c r="S21" s="49">
        <v>3</v>
      </c>
      <c r="T21" s="49">
        <v>2</v>
      </c>
      <c r="U21" s="19">
        <f t="shared" si="10"/>
        <v>66.666666666666657</v>
      </c>
      <c r="V21" s="10">
        <v>3</v>
      </c>
      <c r="W21" s="10">
        <v>2</v>
      </c>
      <c r="X21" s="19">
        <f t="shared" si="0"/>
        <v>66.666666666666657</v>
      </c>
      <c r="Y21" s="49">
        <v>1</v>
      </c>
      <c r="Z21" s="49">
        <v>1</v>
      </c>
      <c r="AA21" s="49">
        <f t="shared" si="11"/>
        <v>100</v>
      </c>
      <c r="AB21" s="10">
        <v>7</v>
      </c>
      <c r="AC21" s="10">
        <v>6</v>
      </c>
      <c r="AD21" s="19">
        <f t="shared" si="1"/>
        <v>85.714285714285708</v>
      </c>
      <c r="AE21" s="49">
        <v>2</v>
      </c>
      <c r="AF21" s="49">
        <v>2</v>
      </c>
      <c r="AG21" s="19">
        <f t="shared" si="2"/>
        <v>100</v>
      </c>
      <c r="AH21" s="10">
        <v>5</v>
      </c>
      <c r="AI21" s="10">
        <v>4</v>
      </c>
      <c r="AJ21" s="19">
        <f t="shared" si="3"/>
        <v>80</v>
      </c>
      <c r="AK21" s="49">
        <v>3</v>
      </c>
      <c r="AL21" s="49">
        <v>2</v>
      </c>
      <c r="AM21" s="19">
        <f t="shared" si="4"/>
        <v>66.666666666666657</v>
      </c>
      <c r="AN21" s="10">
        <v>8</v>
      </c>
      <c r="AO21" s="16">
        <v>6</v>
      </c>
      <c r="AP21" s="19">
        <f t="shared" si="12"/>
        <v>75</v>
      </c>
      <c r="AQ21" s="49">
        <v>3</v>
      </c>
      <c r="AR21" s="16">
        <v>1</v>
      </c>
      <c r="AS21" s="19">
        <f t="shared" si="13"/>
        <v>33.333333333333329</v>
      </c>
      <c r="AT21" s="10">
        <f t="shared" si="14"/>
        <v>34</v>
      </c>
      <c r="AU21" s="10">
        <f t="shared" si="15"/>
        <v>28</v>
      </c>
      <c r="AV21" s="26">
        <f t="shared" si="16"/>
        <v>82.35294117647058</v>
      </c>
      <c r="AW21" s="10">
        <f t="shared" si="17"/>
        <v>21</v>
      </c>
      <c r="AX21" s="10">
        <f t="shared" si="17"/>
        <v>16</v>
      </c>
      <c r="AY21" s="26">
        <f t="shared" si="18"/>
        <v>76.19047619047619</v>
      </c>
      <c r="AZ21" s="10">
        <f t="shared" si="19"/>
        <v>55</v>
      </c>
      <c r="BA21" s="10">
        <f t="shared" si="20"/>
        <v>44</v>
      </c>
      <c r="BB21" s="26">
        <f t="shared" si="21"/>
        <v>80</v>
      </c>
    </row>
    <row r="22" spans="1:54" s="47" customFormat="1">
      <c r="A22" s="48">
        <v>16</v>
      </c>
      <c r="B22" s="49">
        <v>1230321013</v>
      </c>
      <c r="C22" s="50" t="s">
        <v>38</v>
      </c>
      <c r="D22" s="10">
        <v>2</v>
      </c>
      <c r="E22" s="10">
        <v>2</v>
      </c>
      <c r="F22" s="19">
        <f t="shared" si="5"/>
        <v>100</v>
      </c>
      <c r="G22" s="49">
        <v>2</v>
      </c>
      <c r="H22" s="49">
        <v>2</v>
      </c>
      <c r="I22" s="19">
        <f t="shared" si="6"/>
        <v>100</v>
      </c>
      <c r="J22" s="10">
        <v>2</v>
      </c>
      <c r="K22" s="10">
        <v>0</v>
      </c>
      <c r="L22" s="19">
        <f t="shared" si="7"/>
        <v>0</v>
      </c>
      <c r="M22" s="49">
        <v>7</v>
      </c>
      <c r="N22" s="49">
        <v>2</v>
      </c>
      <c r="O22" s="19">
        <f t="shared" si="8"/>
        <v>28.571428571428569</v>
      </c>
      <c r="P22" s="10">
        <v>7</v>
      </c>
      <c r="Q22" s="10">
        <v>5</v>
      </c>
      <c r="R22" s="19">
        <f t="shared" si="9"/>
        <v>71.428571428571431</v>
      </c>
      <c r="S22" s="49">
        <v>3</v>
      </c>
      <c r="T22" s="49">
        <v>1</v>
      </c>
      <c r="U22" s="19">
        <f t="shared" si="10"/>
        <v>33.333333333333329</v>
      </c>
      <c r="V22" s="10">
        <v>3</v>
      </c>
      <c r="W22" s="10">
        <v>2</v>
      </c>
      <c r="X22" s="19">
        <f t="shared" si="0"/>
        <v>66.666666666666657</v>
      </c>
      <c r="Y22" s="49">
        <v>1</v>
      </c>
      <c r="Z22" s="49">
        <v>1</v>
      </c>
      <c r="AA22" s="49">
        <f t="shared" si="11"/>
        <v>100</v>
      </c>
      <c r="AB22" s="10">
        <v>7</v>
      </c>
      <c r="AC22" s="10">
        <v>6</v>
      </c>
      <c r="AD22" s="19">
        <f t="shared" si="1"/>
        <v>85.714285714285708</v>
      </c>
      <c r="AE22" s="49">
        <v>2</v>
      </c>
      <c r="AF22" s="49">
        <v>2</v>
      </c>
      <c r="AG22" s="19">
        <f t="shared" si="2"/>
        <v>100</v>
      </c>
      <c r="AH22" s="10">
        <v>5</v>
      </c>
      <c r="AI22" s="10">
        <v>5</v>
      </c>
      <c r="AJ22" s="19">
        <f t="shared" si="3"/>
        <v>100</v>
      </c>
      <c r="AK22" s="49">
        <v>3</v>
      </c>
      <c r="AL22" s="49">
        <v>3</v>
      </c>
      <c r="AM22" s="19">
        <f t="shared" si="4"/>
        <v>100</v>
      </c>
      <c r="AN22" s="10">
        <v>8</v>
      </c>
      <c r="AO22" s="16">
        <v>8</v>
      </c>
      <c r="AP22" s="19">
        <f t="shared" si="12"/>
        <v>100</v>
      </c>
      <c r="AQ22" s="49">
        <v>3</v>
      </c>
      <c r="AR22" s="16">
        <v>3</v>
      </c>
      <c r="AS22" s="19">
        <f t="shared" si="13"/>
        <v>100</v>
      </c>
      <c r="AT22" s="10">
        <f t="shared" si="14"/>
        <v>34</v>
      </c>
      <c r="AU22" s="10">
        <f t="shared" si="15"/>
        <v>28</v>
      </c>
      <c r="AV22" s="26">
        <f t="shared" si="16"/>
        <v>82.35294117647058</v>
      </c>
      <c r="AW22" s="10">
        <f t="shared" si="17"/>
        <v>21</v>
      </c>
      <c r="AX22" s="10">
        <f t="shared" si="17"/>
        <v>14</v>
      </c>
      <c r="AY22" s="26">
        <f t="shared" si="18"/>
        <v>66.666666666666657</v>
      </c>
      <c r="AZ22" s="10">
        <f t="shared" si="19"/>
        <v>55</v>
      </c>
      <c r="BA22" s="10">
        <f t="shared" si="20"/>
        <v>42</v>
      </c>
      <c r="BB22" s="26">
        <f t="shared" si="21"/>
        <v>76.363636363636374</v>
      </c>
    </row>
    <row r="23" spans="1:54" s="47" customFormat="1">
      <c r="A23" s="48">
        <v>17</v>
      </c>
      <c r="B23" s="49">
        <v>1230321014</v>
      </c>
      <c r="C23" s="50" t="s">
        <v>39</v>
      </c>
      <c r="D23" s="10">
        <v>2</v>
      </c>
      <c r="E23" s="10">
        <v>1</v>
      </c>
      <c r="F23" s="19">
        <f t="shared" si="5"/>
        <v>50</v>
      </c>
      <c r="G23" s="49">
        <v>2</v>
      </c>
      <c r="H23" s="49">
        <v>1</v>
      </c>
      <c r="I23" s="19">
        <f t="shared" si="6"/>
        <v>50</v>
      </c>
      <c r="J23" s="10">
        <v>2</v>
      </c>
      <c r="K23" s="10">
        <v>2</v>
      </c>
      <c r="L23" s="19">
        <f t="shared" si="7"/>
        <v>100</v>
      </c>
      <c r="M23" s="49">
        <v>7</v>
      </c>
      <c r="N23" s="49">
        <v>6</v>
      </c>
      <c r="O23" s="19">
        <f t="shared" si="8"/>
        <v>85.714285714285708</v>
      </c>
      <c r="P23" s="10">
        <v>7</v>
      </c>
      <c r="Q23" s="10">
        <v>7</v>
      </c>
      <c r="R23" s="19">
        <f t="shared" si="9"/>
        <v>100</v>
      </c>
      <c r="S23" s="49">
        <v>3</v>
      </c>
      <c r="T23" s="49">
        <v>3</v>
      </c>
      <c r="U23" s="19">
        <f t="shared" si="10"/>
        <v>100</v>
      </c>
      <c r="V23" s="10">
        <v>3</v>
      </c>
      <c r="W23" s="10">
        <v>1</v>
      </c>
      <c r="X23" s="19">
        <f t="shared" si="0"/>
        <v>33.333333333333329</v>
      </c>
      <c r="Y23" s="49">
        <v>1</v>
      </c>
      <c r="Z23" s="49">
        <v>1</v>
      </c>
      <c r="AA23" s="49">
        <f t="shared" si="11"/>
        <v>100</v>
      </c>
      <c r="AB23" s="10">
        <v>7</v>
      </c>
      <c r="AC23" s="10">
        <v>6</v>
      </c>
      <c r="AD23" s="19">
        <f t="shared" si="1"/>
        <v>85.714285714285708</v>
      </c>
      <c r="AE23" s="49">
        <v>2</v>
      </c>
      <c r="AF23" s="49">
        <v>1</v>
      </c>
      <c r="AG23" s="19">
        <f t="shared" si="2"/>
        <v>50</v>
      </c>
      <c r="AH23" s="10">
        <v>5</v>
      </c>
      <c r="AI23" s="10">
        <v>5</v>
      </c>
      <c r="AJ23" s="19">
        <f t="shared" si="3"/>
        <v>100</v>
      </c>
      <c r="AK23" s="49">
        <v>3</v>
      </c>
      <c r="AL23" s="49">
        <v>3</v>
      </c>
      <c r="AM23" s="19">
        <f t="shared" si="4"/>
        <v>100</v>
      </c>
      <c r="AN23" s="10">
        <v>8</v>
      </c>
      <c r="AO23" s="16">
        <v>6</v>
      </c>
      <c r="AP23" s="19">
        <f t="shared" si="12"/>
        <v>75</v>
      </c>
      <c r="AQ23" s="49">
        <v>3</v>
      </c>
      <c r="AR23" s="16">
        <v>2</v>
      </c>
      <c r="AS23" s="19">
        <f t="shared" si="13"/>
        <v>66.666666666666657</v>
      </c>
      <c r="AT23" s="10">
        <f t="shared" si="14"/>
        <v>34</v>
      </c>
      <c r="AU23" s="10">
        <f t="shared" si="15"/>
        <v>28</v>
      </c>
      <c r="AV23" s="26">
        <f t="shared" si="16"/>
        <v>82.35294117647058</v>
      </c>
      <c r="AW23" s="10">
        <f t="shared" si="17"/>
        <v>21</v>
      </c>
      <c r="AX23" s="10">
        <f t="shared" si="17"/>
        <v>17</v>
      </c>
      <c r="AY23" s="26">
        <f t="shared" si="18"/>
        <v>80.952380952380949</v>
      </c>
      <c r="AZ23" s="10">
        <f t="shared" si="19"/>
        <v>55</v>
      </c>
      <c r="BA23" s="10">
        <f t="shared" si="20"/>
        <v>45</v>
      </c>
      <c r="BB23" s="26">
        <f t="shared" si="21"/>
        <v>81.818181818181827</v>
      </c>
    </row>
    <row r="24" spans="1:54" s="47" customFormat="1">
      <c r="A24" s="48">
        <v>18</v>
      </c>
      <c r="B24" s="49">
        <v>1230321015</v>
      </c>
      <c r="C24" s="50" t="s">
        <v>40</v>
      </c>
      <c r="D24" s="10">
        <v>2</v>
      </c>
      <c r="E24" s="10">
        <v>2</v>
      </c>
      <c r="F24" s="19">
        <f t="shared" si="5"/>
        <v>100</v>
      </c>
      <c r="G24" s="49">
        <v>2</v>
      </c>
      <c r="H24" s="49">
        <v>2</v>
      </c>
      <c r="I24" s="19">
        <f t="shared" si="6"/>
        <v>100</v>
      </c>
      <c r="J24" s="10">
        <v>2</v>
      </c>
      <c r="K24" s="10">
        <v>2</v>
      </c>
      <c r="L24" s="19">
        <f t="shared" si="7"/>
        <v>100</v>
      </c>
      <c r="M24" s="49">
        <v>7</v>
      </c>
      <c r="N24" s="49">
        <v>5</v>
      </c>
      <c r="O24" s="19">
        <f t="shared" si="8"/>
        <v>71.428571428571431</v>
      </c>
      <c r="P24" s="10">
        <v>7</v>
      </c>
      <c r="Q24" s="10">
        <v>5</v>
      </c>
      <c r="R24" s="19">
        <f t="shared" si="9"/>
        <v>71.428571428571431</v>
      </c>
      <c r="S24" s="49">
        <v>3</v>
      </c>
      <c r="T24" s="49">
        <v>1</v>
      </c>
      <c r="U24" s="19">
        <f t="shared" si="10"/>
        <v>33.333333333333329</v>
      </c>
      <c r="V24" s="10">
        <v>3</v>
      </c>
      <c r="W24" s="10">
        <v>3</v>
      </c>
      <c r="X24" s="19">
        <f t="shared" si="0"/>
        <v>100</v>
      </c>
      <c r="Y24" s="49">
        <v>1</v>
      </c>
      <c r="Z24" s="49">
        <v>1</v>
      </c>
      <c r="AA24" s="49">
        <f t="shared" si="11"/>
        <v>100</v>
      </c>
      <c r="AB24" s="10">
        <v>7</v>
      </c>
      <c r="AC24" s="10">
        <v>5</v>
      </c>
      <c r="AD24" s="19">
        <f t="shared" si="1"/>
        <v>71.428571428571431</v>
      </c>
      <c r="AE24" s="49">
        <v>2</v>
      </c>
      <c r="AF24" s="49">
        <v>2</v>
      </c>
      <c r="AG24" s="19">
        <f t="shared" si="2"/>
        <v>100</v>
      </c>
      <c r="AH24" s="10">
        <v>5</v>
      </c>
      <c r="AI24" s="10">
        <v>4</v>
      </c>
      <c r="AJ24" s="19">
        <f t="shared" si="3"/>
        <v>80</v>
      </c>
      <c r="AK24" s="49">
        <v>3</v>
      </c>
      <c r="AL24" s="49">
        <v>2</v>
      </c>
      <c r="AM24" s="19">
        <f t="shared" si="4"/>
        <v>66.666666666666657</v>
      </c>
      <c r="AN24" s="10">
        <v>8</v>
      </c>
      <c r="AO24" s="16">
        <v>5</v>
      </c>
      <c r="AP24" s="19">
        <f t="shared" si="12"/>
        <v>62.5</v>
      </c>
      <c r="AQ24" s="49">
        <v>3</v>
      </c>
      <c r="AR24" s="16">
        <v>1</v>
      </c>
      <c r="AS24" s="19">
        <f t="shared" si="13"/>
        <v>33.333333333333329</v>
      </c>
      <c r="AT24" s="10">
        <f t="shared" si="14"/>
        <v>34</v>
      </c>
      <c r="AU24" s="10">
        <f t="shared" si="15"/>
        <v>26</v>
      </c>
      <c r="AV24" s="26">
        <f t="shared" si="16"/>
        <v>76.470588235294116</v>
      </c>
      <c r="AW24" s="10">
        <f t="shared" si="17"/>
        <v>21</v>
      </c>
      <c r="AX24" s="10">
        <f t="shared" si="17"/>
        <v>14</v>
      </c>
      <c r="AY24" s="26">
        <f t="shared" si="18"/>
        <v>66.666666666666657</v>
      </c>
      <c r="AZ24" s="10">
        <f t="shared" si="19"/>
        <v>55</v>
      </c>
      <c r="BA24" s="10">
        <f t="shared" si="20"/>
        <v>40</v>
      </c>
      <c r="BB24" s="26">
        <f t="shared" si="21"/>
        <v>72.727272727272734</v>
      </c>
    </row>
    <row r="25" spans="1:54" s="47" customFormat="1">
      <c r="A25" s="48">
        <v>19</v>
      </c>
      <c r="B25" s="49">
        <v>1230321016</v>
      </c>
      <c r="C25" s="50" t="s">
        <v>41</v>
      </c>
      <c r="D25" s="10">
        <v>2</v>
      </c>
      <c r="E25" s="10">
        <v>1</v>
      </c>
      <c r="F25" s="19">
        <f t="shared" si="5"/>
        <v>50</v>
      </c>
      <c r="G25" s="49">
        <v>2</v>
      </c>
      <c r="H25" s="49">
        <v>2</v>
      </c>
      <c r="I25" s="19">
        <f t="shared" si="6"/>
        <v>100</v>
      </c>
      <c r="J25" s="10">
        <v>2</v>
      </c>
      <c r="K25" s="10">
        <v>2</v>
      </c>
      <c r="L25" s="19">
        <f t="shared" si="7"/>
        <v>100</v>
      </c>
      <c r="M25" s="49">
        <v>7</v>
      </c>
      <c r="N25" s="49">
        <v>6</v>
      </c>
      <c r="O25" s="19">
        <f t="shared" si="8"/>
        <v>85.714285714285708</v>
      </c>
      <c r="P25" s="10">
        <v>7</v>
      </c>
      <c r="Q25" s="10">
        <v>5</v>
      </c>
      <c r="R25" s="19">
        <f t="shared" si="9"/>
        <v>71.428571428571431</v>
      </c>
      <c r="S25" s="49">
        <v>3</v>
      </c>
      <c r="T25" s="49">
        <v>1</v>
      </c>
      <c r="U25" s="19">
        <f t="shared" si="10"/>
        <v>33.333333333333329</v>
      </c>
      <c r="V25" s="10">
        <v>3</v>
      </c>
      <c r="W25" s="10">
        <v>2</v>
      </c>
      <c r="X25" s="19">
        <f t="shared" si="0"/>
        <v>66.666666666666657</v>
      </c>
      <c r="Y25" s="49">
        <v>1</v>
      </c>
      <c r="Z25" s="49">
        <v>1</v>
      </c>
      <c r="AA25" s="49">
        <f t="shared" si="11"/>
        <v>100</v>
      </c>
      <c r="AB25" s="10">
        <v>7</v>
      </c>
      <c r="AC25" s="10">
        <v>4</v>
      </c>
      <c r="AD25" s="19">
        <f t="shared" si="1"/>
        <v>57.142857142857139</v>
      </c>
      <c r="AE25" s="49">
        <v>2</v>
      </c>
      <c r="AF25" s="49">
        <v>2</v>
      </c>
      <c r="AG25" s="19">
        <f t="shared" si="2"/>
        <v>100</v>
      </c>
      <c r="AH25" s="10">
        <v>5</v>
      </c>
      <c r="AI25" s="10">
        <v>3</v>
      </c>
      <c r="AJ25" s="19">
        <f t="shared" si="3"/>
        <v>60</v>
      </c>
      <c r="AK25" s="49">
        <v>3</v>
      </c>
      <c r="AL25" s="49">
        <v>2</v>
      </c>
      <c r="AM25" s="19">
        <f t="shared" si="4"/>
        <v>66.666666666666657</v>
      </c>
      <c r="AN25" s="10">
        <v>8</v>
      </c>
      <c r="AO25" s="16">
        <v>6</v>
      </c>
      <c r="AP25" s="19">
        <f t="shared" si="12"/>
        <v>75</v>
      </c>
      <c r="AQ25" s="49">
        <v>3</v>
      </c>
      <c r="AR25" s="16">
        <v>2</v>
      </c>
      <c r="AS25" s="19">
        <f t="shared" si="13"/>
        <v>66.666666666666657</v>
      </c>
      <c r="AT25" s="10">
        <f t="shared" si="14"/>
        <v>34</v>
      </c>
      <c r="AU25" s="10">
        <f t="shared" si="15"/>
        <v>23</v>
      </c>
      <c r="AV25" s="26">
        <f t="shared" si="16"/>
        <v>67.64705882352942</v>
      </c>
      <c r="AW25" s="10">
        <f t="shared" si="17"/>
        <v>21</v>
      </c>
      <c r="AX25" s="10">
        <f t="shared" si="17"/>
        <v>16</v>
      </c>
      <c r="AY25" s="26">
        <f t="shared" si="18"/>
        <v>76.19047619047619</v>
      </c>
      <c r="AZ25" s="10">
        <f t="shared" si="19"/>
        <v>55</v>
      </c>
      <c r="BA25" s="10">
        <f t="shared" si="20"/>
        <v>39</v>
      </c>
      <c r="BB25" s="26">
        <f t="shared" si="21"/>
        <v>70.909090909090907</v>
      </c>
    </row>
    <row r="26" spans="1:54" s="47" customFormat="1">
      <c r="A26" s="48">
        <v>20</v>
      </c>
      <c r="B26" s="49">
        <v>1230321017</v>
      </c>
      <c r="C26" s="50" t="s">
        <v>42</v>
      </c>
      <c r="D26" s="10">
        <v>2</v>
      </c>
      <c r="E26" s="10">
        <v>0</v>
      </c>
      <c r="F26" s="19">
        <f t="shared" si="5"/>
        <v>0</v>
      </c>
      <c r="G26" s="49">
        <v>2</v>
      </c>
      <c r="H26" s="49">
        <v>0</v>
      </c>
      <c r="I26" s="19">
        <f t="shared" si="6"/>
        <v>0</v>
      </c>
      <c r="J26" s="10">
        <v>2</v>
      </c>
      <c r="K26" s="10">
        <v>1</v>
      </c>
      <c r="L26" s="19">
        <f t="shared" si="7"/>
        <v>50</v>
      </c>
      <c r="M26" s="49">
        <v>7</v>
      </c>
      <c r="N26" s="49">
        <v>0</v>
      </c>
      <c r="O26" s="19">
        <f t="shared" si="8"/>
        <v>0</v>
      </c>
      <c r="P26" s="10">
        <v>7</v>
      </c>
      <c r="Q26" s="10">
        <v>4</v>
      </c>
      <c r="R26" s="19">
        <f t="shared" si="9"/>
        <v>57.142857142857139</v>
      </c>
      <c r="S26" s="49">
        <v>3</v>
      </c>
      <c r="T26" s="49">
        <v>1</v>
      </c>
      <c r="U26" s="19">
        <f t="shared" si="10"/>
        <v>33.333333333333329</v>
      </c>
      <c r="V26" s="10">
        <v>3</v>
      </c>
      <c r="W26" s="10">
        <v>1</v>
      </c>
      <c r="X26" s="19">
        <f t="shared" si="0"/>
        <v>33.333333333333329</v>
      </c>
      <c r="Y26" s="49">
        <v>1</v>
      </c>
      <c r="Z26" s="49">
        <v>1</v>
      </c>
      <c r="AA26" s="49">
        <f t="shared" si="11"/>
        <v>100</v>
      </c>
      <c r="AB26" s="10">
        <v>7</v>
      </c>
      <c r="AC26" s="10">
        <v>6</v>
      </c>
      <c r="AD26" s="19">
        <f t="shared" si="1"/>
        <v>85.714285714285708</v>
      </c>
      <c r="AE26" s="49">
        <v>2</v>
      </c>
      <c r="AF26" s="49">
        <v>2</v>
      </c>
      <c r="AG26" s="19">
        <f t="shared" si="2"/>
        <v>100</v>
      </c>
      <c r="AH26" s="10">
        <v>5</v>
      </c>
      <c r="AI26" s="10">
        <v>5</v>
      </c>
      <c r="AJ26" s="19">
        <f t="shared" si="3"/>
        <v>100</v>
      </c>
      <c r="AK26" s="49">
        <v>3</v>
      </c>
      <c r="AL26" s="49">
        <v>3</v>
      </c>
      <c r="AM26" s="19">
        <f t="shared" si="4"/>
        <v>100</v>
      </c>
      <c r="AN26" s="10">
        <v>8</v>
      </c>
      <c r="AO26" s="16">
        <v>6</v>
      </c>
      <c r="AP26" s="19">
        <f t="shared" si="12"/>
        <v>75</v>
      </c>
      <c r="AQ26" s="49">
        <v>3</v>
      </c>
      <c r="AR26" s="16">
        <v>2</v>
      </c>
      <c r="AS26" s="19">
        <f t="shared" si="13"/>
        <v>66.666666666666657</v>
      </c>
      <c r="AT26" s="10">
        <f t="shared" si="14"/>
        <v>34</v>
      </c>
      <c r="AU26" s="10">
        <f t="shared" si="15"/>
        <v>23</v>
      </c>
      <c r="AV26" s="26">
        <f t="shared" si="16"/>
        <v>67.64705882352942</v>
      </c>
      <c r="AW26" s="10">
        <f t="shared" si="17"/>
        <v>21</v>
      </c>
      <c r="AX26" s="10">
        <f t="shared" si="17"/>
        <v>9</v>
      </c>
      <c r="AY26" s="26">
        <f t="shared" si="18"/>
        <v>42.857142857142854</v>
      </c>
      <c r="AZ26" s="10">
        <f t="shared" si="19"/>
        <v>55</v>
      </c>
      <c r="BA26" s="10">
        <f t="shared" si="20"/>
        <v>32</v>
      </c>
      <c r="BB26" s="26">
        <f t="shared" si="21"/>
        <v>58.18181818181818</v>
      </c>
    </row>
    <row r="27" spans="1:54" s="47" customFormat="1">
      <c r="A27" s="48">
        <v>21</v>
      </c>
      <c r="B27" s="49">
        <v>1230321018</v>
      </c>
      <c r="C27" s="50" t="s">
        <v>43</v>
      </c>
      <c r="D27" s="10">
        <v>2</v>
      </c>
      <c r="E27" s="10">
        <v>1</v>
      </c>
      <c r="F27" s="19">
        <f t="shared" si="5"/>
        <v>50</v>
      </c>
      <c r="G27" s="49">
        <v>2</v>
      </c>
      <c r="H27" s="49">
        <v>0</v>
      </c>
      <c r="I27" s="19">
        <f t="shared" si="6"/>
        <v>0</v>
      </c>
      <c r="J27" s="10">
        <v>2</v>
      </c>
      <c r="K27" s="10">
        <v>0</v>
      </c>
      <c r="L27" s="19">
        <f t="shared" si="7"/>
        <v>0</v>
      </c>
      <c r="M27" s="49">
        <v>7</v>
      </c>
      <c r="N27" s="49">
        <v>6</v>
      </c>
      <c r="O27" s="19">
        <f t="shared" si="8"/>
        <v>85.714285714285708</v>
      </c>
      <c r="P27" s="10">
        <v>7</v>
      </c>
      <c r="Q27" s="10">
        <v>2</v>
      </c>
      <c r="R27" s="19">
        <f t="shared" si="9"/>
        <v>28.571428571428569</v>
      </c>
      <c r="S27" s="49">
        <v>3</v>
      </c>
      <c r="T27" s="49">
        <v>1</v>
      </c>
      <c r="U27" s="19">
        <f t="shared" si="10"/>
        <v>33.333333333333329</v>
      </c>
      <c r="V27" s="10">
        <v>3</v>
      </c>
      <c r="W27" s="10">
        <v>2</v>
      </c>
      <c r="X27" s="19">
        <f t="shared" si="0"/>
        <v>66.666666666666657</v>
      </c>
      <c r="Y27" s="49">
        <v>1</v>
      </c>
      <c r="Z27" s="49">
        <v>1</v>
      </c>
      <c r="AA27" s="49">
        <f t="shared" si="11"/>
        <v>100</v>
      </c>
      <c r="AB27" s="10">
        <v>7</v>
      </c>
      <c r="AC27" s="10">
        <v>1</v>
      </c>
      <c r="AD27" s="19">
        <f t="shared" si="1"/>
        <v>14.285714285714285</v>
      </c>
      <c r="AE27" s="49">
        <v>2</v>
      </c>
      <c r="AF27" s="49">
        <v>0</v>
      </c>
      <c r="AG27" s="19">
        <f t="shared" si="2"/>
        <v>0</v>
      </c>
      <c r="AH27" s="10">
        <v>5</v>
      </c>
      <c r="AI27" s="10">
        <v>3</v>
      </c>
      <c r="AJ27" s="19">
        <f t="shared" si="3"/>
        <v>60</v>
      </c>
      <c r="AK27" s="49">
        <v>3</v>
      </c>
      <c r="AL27" s="49">
        <v>1</v>
      </c>
      <c r="AM27" s="19">
        <f t="shared" si="4"/>
        <v>33.333333333333329</v>
      </c>
      <c r="AN27" s="10">
        <v>8</v>
      </c>
      <c r="AO27" s="10">
        <v>8</v>
      </c>
      <c r="AP27" s="19">
        <f t="shared" si="12"/>
        <v>100</v>
      </c>
      <c r="AQ27" s="49">
        <v>3</v>
      </c>
      <c r="AR27" s="49">
        <v>3</v>
      </c>
      <c r="AS27" s="19">
        <f t="shared" si="13"/>
        <v>100</v>
      </c>
      <c r="AT27" s="10">
        <f t="shared" si="14"/>
        <v>34</v>
      </c>
      <c r="AU27" s="10">
        <f t="shared" si="15"/>
        <v>17</v>
      </c>
      <c r="AV27" s="26">
        <f t="shared" si="16"/>
        <v>50</v>
      </c>
      <c r="AW27" s="10">
        <f t="shared" si="17"/>
        <v>21</v>
      </c>
      <c r="AX27" s="10">
        <f t="shared" si="17"/>
        <v>12</v>
      </c>
      <c r="AY27" s="26">
        <f t="shared" si="18"/>
        <v>57.142857142857139</v>
      </c>
      <c r="AZ27" s="10">
        <f t="shared" si="19"/>
        <v>55</v>
      </c>
      <c r="BA27" s="10">
        <f t="shared" si="20"/>
        <v>29</v>
      </c>
      <c r="BB27" s="26">
        <f t="shared" si="21"/>
        <v>52.72727272727272</v>
      </c>
    </row>
    <row r="28" spans="1:54" s="47" customFormat="1">
      <c r="A28" s="48">
        <v>22</v>
      </c>
      <c r="B28" s="49">
        <v>1230321019</v>
      </c>
      <c r="C28" s="50" t="s">
        <v>44</v>
      </c>
      <c r="D28" s="10">
        <v>2</v>
      </c>
      <c r="E28" s="10">
        <v>0</v>
      </c>
      <c r="F28" s="19">
        <f t="shared" si="5"/>
        <v>0</v>
      </c>
      <c r="G28" s="49">
        <v>2</v>
      </c>
      <c r="H28" s="49">
        <v>1</v>
      </c>
      <c r="I28" s="19">
        <f t="shared" si="6"/>
        <v>50</v>
      </c>
      <c r="J28" s="10">
        <v>2</v>
      </c>
      <c r="K28" s="10">
        <v>1</v>
      </c>
      <c r="L28" s="19">
        <f t="shared" si="7"/>
        <v>50</v>
      </c>
      <c r="M28" s="49">
        <v>7</v>
      </c>
      <c r="N28" s="49">
        <v>4</v>
      </c>
      <c r="O28" s="19">
        <f t="shared" si="8"/>
        <v>57.142857142857139</v>
      </c>
      <c r="P28" s="10">
        <v>7</v>
      </c>
      <c r="Q28" s="10">
        <v>7</v>
      </c>
      <c r="R28" s="19">
        <f t="shared" si="9"/>
        <v>100</v>
      </c>
      <c r="S28" s="49">
        <v>3</v>
      </c>
      <c r="T28" s="49">
        <v>3</v>
      </c>
      <c r="U28" s="19">
        <f t="shared" si="10"/>
        <v>100</v>
      </c>
      <c r="V28" s="10">
        <v>3</v>
      </c>
      <c r="W28" s="10">
        <v>2</v>
      </c>
      <c r="X28" s="19">
        <f t="shared" si="0"/>
        <v>66.666666666666657</v>
      </c>
      <c r="Y28" s="49">
        <v>1</v>
      </c>
      <c r="Z28" s="49">
        <v>1</v>
      </c>
      <c r="AA28" s="49">
        <f t="shared" si="11"/>
        <v>100</v>
      </c>
      <c r="AB28" s="10">
        <v>7</v>
      </c>
      <c r="AC28" s="10">
        <v>6</v>
      </c>
      <c r="AD28" s="19">
        <f t="shared" si="1"/>
        <v>85.714285714285708</v>
      </c>
      <c r="AE28" s="49">
        <v>2</v>
      </c>
      <c r="AF28" s="49">
        <v>1</v>
      </c>
      <c r="AG28" s="19">
        <f t="shared" si="2"/>
        <v>50</v>
      </c>
      <c r="AH28" s="10">
        <v>5</v>
      </c>
      <c r="AI28" s="10">
        <v>5</v>
      </c>
      <c r="AJ28" s="19">
        <f t="shared" si="3"/>
        <v>100</v>
      </c>
      <c r="AK28" s="49">
        <v>3</v>
      </c>
      <c r="AL28" s="49">
        <v>3</v>
      </c>
      <c r="AM28" s="19">
        <f t="shared" si="4"/>
        <v>100</v>
      </c>
      <c r="AN28" s="10">
        <v>8</v>
      </c>
      <c r="AO28" s="16">
        <v>8</v>
      </c>
      <c r="AP28" s="19">
        <f t="shared" si="12"/>
        <v>100</v>
      </c>
      <c r="AQ28" s="49">
        <v>3</v>
      </c>
      <c r="AR28" s="16">
        <v>3</v>
      </c>
      <c r="AS28" s="19">
        <f t="shared" si="13"/>
        <v>100</v>
      </c>
      <c r="AT28" s="10">
        <f t="shared" si="14"/>
        <v>34</v>
      </c>
      <c r="AU28" s="10">
        <f t="shared" si="15"/>
        <v>29</v>
      </c>
      <c r="AV28" s="26">
        <f t="shared" si="16"/>
        <v>85.294117647058826</v>
      </c>
      <c r="AW28" s="10">
        <f t="shared" si="17"/>
        <v>21</v>
      </c>
      <c r="AX28" s="10">
        <f t="shared" si="17"/>
        <v>16</v>
      </c>
      <c r="AY28" s="26">
        <f t="shared" si="18"/>
        <v>76.19047619047619</v>
      </c>
      <c r="AZ28" s="10">
        <f t="shared" si="19"/>
        <v>55</v>
      </c>
      <c r="BA28" s="10">
        <f t="shared" si="20"/>
        <v>45</v>
      </c>
      <c r="BB28" s="26">
        <f t="shared" si="21"/>
        <v>81.818181818181827</v>
      </c>
    </row>
    <row r="29" spans="1:54" s="47" customFormat="1">
      <c r="A29" s="48">
        <v>23</v>
      </c>
      <c r="B29" s="49">
        <v>1230321020</v>
      </c>
      <c r="C29" s="50" t="s">
        <v>45</v>
      </c>
      <c r="D29" s="10">
        <v>2</v>
      </c>
      <c r="E29" s="10">
        <v>1</v>
      </c>
      <c r="F29" s="19">
        <f t="shared" si="5"/>
        <v>50</v>
      </c>
      <c r="G29" s="49">
        <v>2</v>
      </c>
      <c r="H29" s="49">
        <v>0</v>
      </c>
      <c r="I29" s="19">
        <f t="shared" si="6"/>
        <v>0</v>
      </c>
      <c r="J29" s="10">
        <v>2</v>
      </c>
      <c r="K29" s="10">
        <v>0</v>
      </c>
      <c r="L29" s="19">
        <f t="shared" si="7"/>
        <v>0</v>
      </c>
      <c r="M29" s="49">
        <v>7</v>
      </c>
      <c r="N29" s="49">
        <v>0</v>
      </c>
      <c r="O29" s="19">
        <f t="shared" si="8"/>
        <v>0</v>
      </c>
      <c r="P29" s="10">
        <v>7</v>
      </c>
      <c r="Q29" s="10">
        <v>6</v>
      </c>
      <c r="R29" s="19">
        <f t="shared" si="9"/>
        <v>85.714285714285708</v>
      </c>
      <c r="S29" s="49">
        <v>3</v>
      </c>
      <c r="T29" s="49">
        <v>3</v>
      </c>
      <c r="U29" s="19">
        <f t="shared" si="10"/>
        <v>100</v>
      </c>
      <c r="V29" s="10">
        <v>3</v>
      </c>
      <c r="W29" s="10">
        <v>0</v>
      </c>
      <c r="X29" s="19">
        <f t="shared" si="0"/>
        <v>0</v>
      </c>
      <c r="Y29" s="49">
        <v>1</v>
      </c>
      <c r="Z29" s="49">
        <v>1</v>
      </c>
      <c r="AA29" s="49">
        <f t="shared" si="11"/>
        <v>100</v>
      </c>
      <c r="AB29" s="10">
        <v>7</v>
      </c>
      <c r="AC29" s="10">
        <v>6</v>
      </c>
      <c r="AD29" s="19">
        <f t="shared" si="1"/>
        <v>85.714285714285708</v>
      </c>
      <c r="AE29" s="49">
        <v>2</v>
      </c>
      <c r="AF29" s="49">
        <v>2</v>
      </c>
      <c r="AG29" s="19">
        <f t="shared" si="2"/>
        <v>100</v>
      </c>
      <c r="AH29" s="10">
        <v>5</v>
      </c>
      <c r="AI29" s="10">
        <v>3</v>
      </c>
      <c r="AJ29" s="19">
        <f t="shared" si="3"/>
        <v>60</v>
      </c>
      <c r="AK29" s="49">
        <v>3</v>
      </c>
      <c r="AL29" s="49">
        <v>1</v>
      </c>
      <c r="AM29" s="19">
        <f t="shared" si="4"/>
        <v>33.333333333333329</v>
      </c>
      <c r="AN29" s="10">
        <v>8</v>
      </c>
      <c r="AO29" s="16">
        <v>2</v>
      </c>
      <c r="AP29" s="19">
        <f t="shared" si="12"/>
        <v>25</v>
      </c>
      <c r="AQ29" s="49">
        <v>3</v>
      </c>
      <c r="AR29" s="16">
        <v>1</v>
      </c>
      <c r="AS29" s="19">
        <f t="shared" si="13"/>
        <v>33.333333333333329</v>
      </c>
      <c r="AT29" s="10">
        <f t="shared" si="14"/>
        <v>34</v>
      </c>
      <c r="AU29" s="10">
        <f t="shared" si="15"/>
        <v>18</v>
      </c>
      <c r="AV29" s="26">
        <f t="shared" si="16"/>
        <v>52.941176470588239</v>
      </c>
      <c r="AW29" s="10">
        <f t="shared" si="17"/>
        <v>21</v>
      </c>
      <c r="AX29" s="10">
        <f t="shared" si="17"/>
        <v>8</v>
      </c>
      <c r="AY29" s="26">
        <f t="shared" si="18"/>
        <v>38.095238095238095</v>
      </c>
      <c r="AZ29" s="10">
        <f t="shared" si="19"/>
        <v>55</v>
      </c>
      <c r="BA29" s="10">
        <f t="shared" si="20"/>
        <v>26</v>
      </c>
      <c r="BB29" s="26">
        <f t="shared" si="21"/>
        <v>47.272727272727273</v>
      </c>
    </row>
    <row r="30" spans="1:54" s="47" customFormat="1">
      <c r="A30" s="48">
        <v>24</v>
      </c>
      <c r="B30" s="49">
        <v>1230321021</v>
      </c>
      <c r="C30" s="50" t="s">
        <v>46</v>
      </c>
      <c r="D30" s="10">
        <v>2</v>
      </c>
      <c r="E30" s="10">
        <v>1</v>
      </c>
      <c r="F30" s="19">
        <f t="shared" si="5"/>
        <v>50</v>
      </c>
      <c r="G30" s="49">
        <v>2</v>
      </c>
      <c r="H30" s="49">
        <v>1</v>
      </c>
      <c r="I30" s="19">
        <f t="shared" si="6"/>
        <v>50</v>
      </c>
      <c r="J30" s="10">
        <v>2</v>
      </c>
      <c r="K30" s="10">
        <v>2</v>
      </c>
      <c r="L30" s="19">
        <f t="shared" si="7"/>
        <v>100</v>
      </c>
      <c r="M30" s="49">
        <v>7</v>
      </c>
      <c r="N30" s="49">
        <v>6</v>
      </c>
      <c r="O30" s="19">
        <f t="shared" si="8"/>
        <v>85.714285714285708</v>
      </c>
      <c r="P30" s="10">
        <v>7</v>
      </c>
      <c r="Q30" s="10">
        <v>6</v>
      </c>
      <c r="R30" s="19">
        <f t="shared" si="9"/>
        <v>85.714285714285708</v>
      </c>
      <c r="S30" s="49">
        <v>3</v>
      </c>
      <c r="T30" s="49">
        <v>2</v>
      </c>
      <c r="U30" s="19">
        <f t="shared" si="10"/>
        <v>66.666666666666657</v>
      </c>
      <c r="V30" s="10">
        <v>3</v>
      </c>
      <c r="W30" s="10">
        <v>2</v>
      </c>
      <c r="X30" s="19">
        <f t="shared" si="0"/>
        <v>66.666666666666657</v>
      </c>
      <c r="Y30" s="49">
        <v>1</v>
      </c>
      <c r="Z30" s="49">
        <v>1</v>
      </c>
      <c r="AA30" s="49">
        <f t="shared" si="11"/>
        <v>100</v>
      </c>
      <c r="AB30" s="10">
        <v>7</v>
      </c>
      <c r="AC30" s="10">
        <v>7</v>
      </c>
      <c r="AD30" s="19">
        <f t="shared" si="1"/>
        <v>100</v>
      </c>
      <c r="AE30" s="49">
        <v>2</v>
      </c>
      <c r="AF30" s="49">
        <v>2</v>
      </c>
      <c r="AG30" s="19">
        <f t="shared" si="2"/>
        <v>100</v>
      </c>
      <c r="AH30" s="10">
        <v>5</v>
      </c>
      <c r="AI30" s="10">
        <v>3</v>
      </c>
      <c r="AJ30" s="19">
        <f t="shared" si="3"/>
        <v>60</v>
      </c>
      <c r="AK30" s="49">
        <v>3</v>
      </c>
      <c r="AL30" s="49">
        <v>2</v>
      </c>
      <c r="AM30" s="19">
        <f t="shared" si="4"/>
        <v>66.666666666666657</v>
      </c>
      <c r="AN30" s="10">
        <v>8</v>
      </c>
      <c r="AO30" s="16">
        <v>5</v>
      </c>
      <c r="AP30" s="19">
        <f t="shared" si="12"/>
        <v>62.5</v>
      </c>
      <c r="AQ30" s="49">
        <v>3</v>
      </c>
      <c r="AR30" s="16">
        <v>2</v>
      </c>
      <c r="AS30" s="19">
        <f t="shared" si="13"/>
        <v>66.666666666666657</v>
      </c>
      <c r="AT30" s="10">
        <f t="shared" si="14"/>
        <v>34</v>
      </c>
      <c r="AU30" s="10">
        <f t="shared" si="15"/>
        <v>26</v>
      </c>
      <c r="AV30" s="26">
        <f t="shared" si="16"/>
        <v>76.470588235294116</v>
      </c>
      <c r="AW30" s="10">
        <f t="shared" si="17"/>
        <v>21</v>
      </c>
      <c r="AX30" s="10">
        <f t="shared" si="17"/>
        <v>16</v>
      </c>
      <c r="AY30" s="26">
        <f t="shared" si="18"/>
        <v>76.19047619047619</v>
      </c>
      <c r="AZ30" s="10">
        <f t="shared" si="19"/>
        <v>55</v>
      </c>
      <c r="BA30" s="10">
        <f t="shared" si="20"/>
        <v>42</v>
      </c>
      <c r="BB30" s="26">
        <f t="shared" si="21"/>
        <v>76.363636363636374</v>
      </c>
    </row>
    <row r="31" spans="1:54" s="47" customFormat="1">
      <c r="A31" s="48">
        <v>25</v>
      </c>
      <c r="B31" s="49">
        <v>1230321022</v>
      </c>
      <c r="C31" s="50" t="s">
        <v>47</v>
      </c>
      <c r="D31" s="10">
        <v>2</v>
      </c>
      <c r="E31" s="10">
        <v>2</v>
      </c>
      <c r="F31" s="19">
        <f t="shared" si="5"/>
        <v>100</v>
      </c>
      <c r="G31" s="49">
        <v>2</v>
      </c>
      <c r="H31" s="49">
        <v>2</v>
      </c>
      <c r="I31" s="19">
        <f t="shared" si="6"/>
        <v>100</v>
      </c>
      <c r="J31" s="10">
        <v>2</v>
      </c>
      <c r="K31" s="10">
        <v>2</v>
      </c>
      <c r="L31" s="19">
        <f t="shared" si="7"/>
        <v>100</v>
      </c>
      <c r="M31" s="49">
        <v>7</v>
      </c>
      <c r="N31" s="49">
        <v>6</v>
      </c>
      <c r="O31" s="19">
        <f t="shared" si="8"/>
        <v>85.714285714285708</v>
      </c>
      <c r="P31" s="10">
        <v>7</v>
      </c>
      <c r="Q31" s="10">
        <v>4</v>
      </c>
      <c r="R31" s="19">
        <f t="shared" si="9"/>
        <v>57.142857142857139</v>
      </c>
      <c r="S31" s="49">
        <v>3</v>
      </c>
      <c r="T31" s="49">
        <v>1</v>
      </c>
      <c r="U31" s="19">
        <f t="shared" si="10"/>
        <v>33.333333333333329</v>
      </c>
      <c r="V31" s="10">
        <v>3</v>
      </c>
      <c r="W31" s="10">
        <v>1</v>
      </c>
      <c r="X31" s="19">
        <f t="shared" si="0"/>
        <v>33.333333333333329</v>
      </c>
      <c r="Y31" s="49">
        <v>1</v>
      </c>
      <c r="Z31" s="49">
        <v>1</v>
      </c>
      <c r="AA31" s="49">
        <f t="shared" si="11"/>
        <v>100</v>
      </c>
      <c r="AB31" s="10">
        <v>7</v>
      </c>
      <c r="AC31" s="10">
        <v>3</v>
      </c>
      <c r="AD31" s="19">
        <f t="shared" si="1"/>
        <v>42.857142857142854</v>
      </c>
      <c r="AE31" s="49">
        <v>2</v>
      </c>
      <c r="AF31" s="49">
        <v>1</v>
      </c>
      <c r="AG31" s="19">
        <f t="shared" si="2"/>
        <v>50</v>
      </c>
      <c r="AH31" s="10">
        <v>5</v>
      </c>
      <c r="AI31" s="10">
        <v>3</v>
      </c>
      <c r="AJ31" s="19">
        <f t="shared" si="3"/>
        <v>60</v>
      </c>
      <c r="AK31" s="49">
        <v>3</v>
      </c>
      <c r="AL31" s="49">
        <v>1</v>
      </c>
      <c r="AM31" s="19">
        <f t="shared" si="4"/>
        <v>33.333333333333329</v>
      </c>
      <c r="AN31" s="10">
        <v>8</v>
      </c>
      <c r="AO31" s="16">
        <v>4</v>
      </c>
      <c r="AP31" s="19">
        <f t="shared" si="12"/>
        <v>50</v>
      </c>
      <c r="AQ31" s="49">
        <v>3</v>
      </c>
      <c r="AR31" s="16">
        <v>2</v>
      </c>
      <c r="AS31" s="19">
        <f t="shared" si="13"/>
        <v>66.666666666666657</v>
      </c>
      <c r="AT31" s="10">
        <f t="shared" si="14"/>
        <v>34</v>
      </c>
      <c r="AU31" s="10">
        <f t="shared" si="15"/>
        <v>19</v>
      </c>
      <c r="AV31" s="26">
        <f t="shared" si="16"/>
        <v>55.882352941176471</v>
      </c>
      <c r="AW31" s="10">
        <f t="shared" si="17"/>
        <v>21</v>
      </c>
      <c r="AX31" s="10">
        <f t="shared" si="17"/>
        <v>14</v>
      </c>
      <c r="AY31" s="26">
        <f t="shared" si="18"/>
        <v>66.666666666666657</v>
      </c>
      <c r="AZ31" s="10">
        <f t="shared" si="19"/>
        <v>55</v>
      </c>
      <c r="BA31" s="10">
        <f t="shared" si="20"/>
        <v>33</v>
      </c>
      <c r="BB31" s="26">
        <f t="shared" si="21"/>
        <v>60</v>
      </c>
    </row>
    <row r="32" spans="1:54" s="47" customFormat="1">
      <c r="A32" s="48">
        <v>26</v>
      </c>
      <c r="B32" s="49">
        <v>1230321023</v>
      </c>
      <c r="C32" s="50" t="s">
        <v>48</v>
      </c>
      <c r="D32" s="10">
        <v>2</v>
      </c>
      <c r="E32" s="10">
        <v>2</v>
      </c>
      <c r="F32" s="19">
        <f t="shared" si="5"/>
        <v>100</v>
      </c>
      <c r="G32" s="49">
        <v>2</v>
      </c>
      <c r="H32" s="49">
        <v>2</v>
      </c>
      <c r="I32" s="19">
        <f t="shared" si="6"/>
        <v>100</v>
      </c>
      <c r="J32" s="10">
        <v>2</v>
      </c>
      <c r="K32" s="10">
        <v>1</v>
      </c>
      <c r="L32" s="19">
        <f t="shared" si="7"/>
        <v>50</v>
      </c>
      <c r="M32" s="49">
        <v>7</v>
      </c>
      <c r="N32" s="49">
        <v>5</v>
      </c>
      <c r="O32" s="19">
        <f t="shared" si="8"/>
        <v>71.428571428571431</v>
      </c>
      <c r="P32" s="10">
        <v>7</v>
      </c>
      <c r="Q32" s="10">
        <v>4</v>
      </c>
      <c r="R32" s="19">
        <f t="shared" si="9"/>
        <v>57.142857142857139</v>
      </c>
      <c r="S32" s="49">
        <v>3</v>
      </c>
      <c r="T32" s="49">
        <v>2</v>
      </c>
      <c r="U32" s="19">
        <f t="shared" si="10"/>
        <v>66.666666666666657</v>
      </c>
      <c r="V32" s="10">
        <v>3</v>
      </c>
      <c r="W32" s="10">
        <v>1</v>
      </c>
      <c r="X32" s="19">
        <f t="shared" si="0"/>
        <v>33.333333333333329</v>
      </c>
      <c r="Y32" s="49">
        <v>1</v>
      </c>
      <c r="Z32" s="49">
        <v>1</v>
      </c>
      <c r="AA32" s="49">
        <f t="shared" si="11"/>
        <v>100</v>
      </c>
      <c r="AB32" s="10">
        <v>7</v>
      </c>
      <c r="AC32" s="10">
        <v>4</v>
      </c>
      <c r="AD32" s="19">
        <f t="shared" si="1"/>
        <v>57.142857142857139</v>
      </c>
      <c r="AE32" s="49">
        <v>2</v>
      </c>
      <c r="AF32" s="49">
        <v>1</v>
      </c>
      <c r="AG32" s="19">
        <f t="shared" si="2"/>
        <v>50</v>
      </c>
      <c r="AH32" s="10">
        <v>5</v>
      </c>
      <c r="AI32" s="10">
        <v>3</v>
      </c>
      <c r="AJ32" s="19">
        <f t="shared" si="3"/>
        <v>60</v>
      </c>
      <c r="AK32" s="49">
        <v>3</v>
      </c>
      <c r="AL32" s="49">
        <v>2</v>
      </c>
      <c r="AM32" s="19">
        <f t="shared" si="4"/>
        <v>66.666666666666657</v>
      </c>
      <c r="AN32" s="10">
        <v>8</v>
      </c>
      <c r="AO32" s="16">
        <v>5</v>
      </c>
      <c r="AP32" s="19">
        <f t="shared" si="12"/>
        <v>62.5</v>
      </c>
      <c r="AQ32" s="49">
        <v>3</v>
      </c>
      <c r="AR32" s="16">
        <v>1</v>
      </c>
      <c r="AS32" s="19">
        <f t="shared" si="13"/>
        <v>33.333333333333329</v>
      </c>
      <c r="AT32" s="10">
        <f t="shared" si="14"/>
        <v>34</v>
      </c>
      <c r="AU32" s="10">
        <f t="shared" si="15"/>
        <v>20</v>
      </c>
      <c r="AV32" s="26">
        <f t="shared" si="16"/>
        <v>58.82352941176471</v>
      </c>
      <c r="AW32" s="10">
        <f t="shared" si="17"/>
        <v>21</v>
      </c>
      <c r="AX32" s="10">
        <f t="shared" si="17"/>
        <v>14</v>
      </c>
      <c r="AY32" s="26">
        <f t="shared" si="18"/>
        <v>66.666666666666657</v>
      </c>
      <c r="AZ32" s="10">
        <f t="shared" si="19"/>
        <v>55</v>
      </c>
      <c r="BA32" s="10">
        <f t="shared" si="20"/>
        <v>34</v>
      </c>
      <c r="BB32" s="26">
        <f t="shared" si="21"/>
        <v>61.818181818181813</v>
      </c>
    </row>
    <row r="33" spans="1:54" s="47" customFormat="1">
      <c r="A33" s="48">
        <v>27</v>
      </c>
      <c r="B33" s="49">
        <v>1230321024</v>
      </c>
      <c r="C33" s="50" t="s">
        <v>49</v>
      </c>
      <c r="D33" s="10">
        <v>2</v>
      </c>
      <c r="E33" s="10">
        <v>1</v>
      </c>
      <c r="F33" s="19">
        <f t="shared" si="5"/>
        <v>50</v>
      </c>
      <c r="G33" s="49">
        <v>2</v>
      </c>
      <c r="H33" s="49">
        <v>1</v>
      </c>
      <c r="I33" s="19">
        <f t="shared" si="6"/>
        <v>50</v>
      </c>
      <c r="J33" s="10">
        <v>2</v>
      </c>
      <c r="K33" s="10">
        <v>0</v>
      </c>
      <c r="L33" s="19">
        <f t="shared" si="7"/>
        <v>0</v>
      </c>
      <c r="M33" s="49">
        <v>7</v>
      </c>
      <c r="N33" s="49">
        <v>2</v>
      </c>
      <c r="O33" s="19">
        <f t="shared" si="8"/>
        <v>28.571428571428569</v>
      </c>
      <c r="P33" s="10">
        <v>7</v>
      </c>
      <c r="Q33" s="10">
        <v>6</v>
      </c>
      <c r="R33" s="19">
        <f t="shared" si="9"/>
        <v>85.714285714285708</v>
      </c>
      <c r="S33" s="49">
        <v>3</v>
      </c>
      <c r="T33" s="49">
        <v>2</v>
      </c>
      <c r="U33" s="19">
        <f t="shared" si="10"/>
        <v>66.666666666666657</v>
      </c>
      <c r="V33" s="10">
        <v>3</v>
      </c>
      <c r="W33" s="10">
        <v>2</v>
      </c>
      <c r="X33" s="19">
        <f t="shared" si="0"/>
        <v>66.666666666666657</v>
      </c>
      <c r="Y33" s="49">
        <v>1</v>
      </c>
      <c r="Z33" s="49">
        <v>1</v>
      </c>
      <c r="AA33" s="49">
        <f t="shared" si="11"/>
        <v>100</v>
      </c>
      <c r="AB33" s="10">
        <v>7</v>
      </c>
      <c r="AC33" s="10">
        <v>6</v>
      </c>
      <c r="AD33" s="19">
        <f t="shared" si="1"/>
        <v>85.714285714285708</v>
      </c>
      <c r="AE33" s="49">
        <v>2</v>
      </c>
      <c r="AF33" s="49">
        <v>2</v>
      </c>
      <c r="AG33" s="19">
        <f t="shared" si="2"/>
        <v>100</v>
      </c>
      <c r="AH33" s="10">
        <v>5</v>
      </c>
      <c r="AI33" s="10">
        <v>1</v>
      </c>
      <c r="AJ33" s="19">
        <f t="shared" si="3"/>
        <v>20</v>
      </c>
      <c r="AK33" s="49">
        <v>3</v>
      </c>
      <c r="AL33" s="49">
        <v>0</v>
      </c>
      <c r="AM33" s="19">
        <f t="shared" si="4"/>
        <v>0</v>
      </c>
      <c r="AN33" s="10">
        <v>8</v>
      </c>
      <c r="AO33" s="16">
        <v>7</v>
      </c>
      <c r="AP33" s="19">
        <f t="shared" si="12"/>
        <v>87.5</v>
      </c>
      <c r="AQ33" s="49">
        <v>3</v>
      </c>
      <c r="AR33" s="16">
        <v>2</v>
      </c>
      <c r="AS33" s="19">
        <f t="shared" si="13"/>
        <v>66.666666666666657</v>
      </c>
      <c r="AT33" s="10">
        <f t="shared" si="14"/>
        <v>34</v>
      </c>
      <c r="AU33" s="10">
        <f t="shared" si="15"/>
        <v>23</v>
      </c>
      <c r="AV33" s="26">
        <f t="shared" si="16"/>
        <v>67.64705882352942</v>
      </c>
      <c r="AW33" s="10">
        <f t="shared" si="17"/>
        <v>21</v>
      </c>
      <c r="AX33" s="10">
        <f t="shared" si="17"/>
        <v>10</v>
      </c>
      <c r="AY33" s="26">
        <f t="shared" si="18"/>
        <v>47.619047619047613</v>
      </c>
      <c r="AZ33" s="10">
        <f t="shared" si="19"/>
        <v>55</v>
      </c>
      <c r="BA33" s="10">
        <f t="shared" si="20"/>
        <v>33</v>
      </c>
      <c r="BB33" s="26">
        <f t="shared" si="21"/>
        <v>60</v>
      </c>
    </row>
    <row r="34" spans="1:54" s="47" customFormat="1">
      <c r="A34" s="48">
        <v>28</v>
      </c>
      <c r="B34" s="49">
        <v>1230321025</v>
      </c>
      <c r="C34" s="50" t="s">
        <v>50</v>
      </c>
      <c r="D34" s="10">
        <v>2</v>
      </c>
      <c r="E34" s="10">
        <v>2</v>
      </c>
      <c r="F34" s="19">
        <f t="shared" si="5"/>
        <v>100</v>
      </c>
      <c r="G34" s="49">
        <v>2</v>
      </c>
      <c r="H34" s="49">
        <v>2</v>
      </c>
      <c r="I34" s="19">
        <f t="shared" si="6"/>
        <v>100</v>
      </c>
      <c r="J34" s="10">
        <v>2</v>
      </c>
      <c r="K34" s="10">
        <v>0</v>
      </c>
      <c r="L34" s="19">
        <f t="shared" si="7"/>
        <v>0</v>
      </c>
      <c r="M34" s="49">
        <v>7</v>
      </c>
      <c r="N34" s="49">
        <v>1</v>
      </c>
      <c r="O34" s="19">
        <f t="shared" si="8"/>
        <v>14.285714285714285</v>
      </c>
      <c r="P34" s="10">
        <v>7</v>
      </c>
      <c r="Q34" s="10">
        <v>4</v>
      </c>
      <c r="R34" s="19">
        <f t="shared" si="9"/>
        <v>57.142857142857139</v>
      </c>
      <c r="S34" s="49">
        <v>3</v>
      </c>
      <c r="T34" s="49">
        <v>2</v>
      </c>
      <c r="U34" s="19">
        <f t="shared" si="10"/>
        <v>66.666666666666657</v>
      </c>
      <c r="V34" s="10">
        <v>3</v>
      </c>
      <c r="W34" s="10">
        <v>2</v>
      </c>
      <c r="X34" s="19">
        <f t="shared" si="0"/>
        <v>66.666666666666657</v>
      </c>
      <c r="Y34" s="49">
        <v>1</v>
      </c>
      <c r="Z34" s="49">
        <v>1</v>
      </c>
      <c r="AA34" s="49">
        <f t="shared" si="11"/>
        <v>100</v>
      </c>
      <c r="AB34" s="10">
        <v>7</v>
      </c>
      <c r="AC34" s="10">
        <v>4</v>
      </c>
      <c r="AD34" s="19">
        <f t="shared" si="1"/>
        <v>57.142857142857139</v>
      </c>
      <c r="AE34" s="49">
        <v>2</v>
      </c>
      <c r="AF34" s="49">
        <v>1</v>
      </c>
      <c r="AG34" s="19">
        <f t="shared" si="2"/>
        <v>50</v>
      </c>
      <c r="AH34" s="10">
        <v>5</v>
      </c>
      <c r="AI34" s="10">
        <v>4</v>
      </c>
      <c r="AJ34" s="19">
        <f t="shared" si="3"/>
        <v>80</v>
      </c>
      <c r="AK34" s="49">
        <v>3</v>
      </c>
      <c r="AL34" s="10">
        <v>1</v>
      </c>
      <c r="AM34" s="19">
        <f t="shared" si="4"/>
        <v>33.333333333333329</v>
      </c>
      <c r="AN34" s="10">
        <v>8</v>
      </c>
      <c r="AO34" s="16">
        <v>6</v>
      </c>
      <c r="AP34" s="19">
        <f t="shared" si="12"/>
        <v>75</v>
      </c>
      <c r="AQ34" s="49">
        <v>3</v>
      </c>
      <c r="AR34" s="16">
        <v>3</v>
      </c>
      <c r="AS34" s="19">
        <f t="shared" si="13"/>
        <v>100</v>
      </c>
      <c r="AT34" s="10">
        <f t="shared" si="14"/>
        <v>34</v>
      </c>
      <c r="AU34" s="10">
        <f t="shared" si="15"/>
        <v>22</v>
      </c>
      <c r="AV34" s="26">
        <f t="shared" si="16"/>
        <v>64.705882352941174</v>
      </c>
      <c r="AW34" s="10">
        <f t="shared" si="17"/>
        <v>21</v>
      </c>
      <c r="AX34" s="10">
        <f t="shared" si="17"/>
        <v>11</v>
      </c>
      <c r="AY34" s="26">
        <f t="shared" si="18"/>
        <v>52.380952380952387</v>
      </c>
      <c r="AZ34" s="10">
        <f t="shared" si="19"/>
        <v>55</v>
      </c>
      <c r="BA34" s="10">
        <f t="shared" si="20"/>
        <v>33</v>
      </c>
      <c r="BB34" s="26">
        <f t="shared" si="21"/>
        <v>60</v>
      </c>
    </row>
    <row r="35" spans="1:54" s="47" customFormat="1">
      <c r="A35" s="48">
        <v>29</v>
      </c>
      <c r="B35" s="49">
        <v>1230321026</v>
      </c>
      <c r="C35" s="50" t="s">
        <v>51</v>
      </c>
      <c r="D35" s="10">
        <v>2</v>
      </c>
      <c r="E35" s="10">
        <v>2</v>
      </c>
      <c r="F35" s="19">
        <f t="shared" si="5"/>
        <v>100</v>
      </c>
      <c r="G35" s="49">
        <v>2</v>
      </c>
      <c r="H35" s="49">
        <v>2</v>
      </c>
      <c r="I35" s="19">
        <f t="shared" si="6"/>
        <v>100</v>
      </c>
      <c r="J35" s="10">
        <v>2</v>
      </c>
      <c r="K35" s="10">
        <v>1</v>
      </c>
      <c r="L35" s="19">
        <f t="shared" si="7"/>
        <v>50</v>
      </c>
      <c r="M35" s="49">
        <v>7</v>
      </c>
      <c r="N35" s="49">
        <v>3</v>
      </c>
      <c r="O35" s="19">
        <f t="shared" si="8"/>
        <v>42.857142857142854</v>
      </c>
      <c r="P35" s="10">
        <v>7</v>
      </c>
      <c r="Q35" s="10">
        <v>3</v>
      </c>
      <c r="R35" s="19">
        <f t="shared" si="9"/>
        <v>42.857142857142854</v>
      </c>
      <c r="S35" s="49">
        <v>3</v>
      </c>
      <c r="T35" s="49">
        <v>2</v>
      </c>
      <c r="U35" s="19">
        <f t="shared" si="10"/>
        <v>66.666666666666657</v>
      </c>
      <c r="V35" s="10">
        <v>3</v>
      </c>
      <c r="W35" s="10">
        <v>2</v>
      </c>
      <c r="X35" s="19">
        <f t="shared" si="0"/>
        <v>66.666666666666657</v>
      </c>
      <c r="Y35" s="49">
        <v>1</v>
      </c>
      <c r="Z35" s="49">
        <v>1</v>
      </c>
      <c r="AA35" s="49">
        <f t="shared" si="11"/>
        <v>100</v>
      </c>
      <c r="AB35" s="10">
        <v>7</v>
      </c>
      <c r="AC35" s="10">
        <v>4</v>
      </c>
      <c r="AD35" s="19">
        <f t="shared" si="1"/>
        <v>57.142857142857139</v>
      </c>
      <c r="AE35" s="49">
        <v>2</v>
      </c>
      <c r="AF35" s="49">
        <v>1</v>
      </c>
      <c r="AG35" s="19">
        <f t="shared" si="2"/>
        <v>50</v>
      </c>
      <c r="AH35" s="10">
        <v>5</v>
      </c>
      <c r="AI35" s="10">
        <v>4</v>
      </c>
      <c r="AJ35" s="19">
        <f t="shared" si="3"/>
        <v>80</v>
      </c>
      <c r="AK35" s="49">
        <v>3</v>
      </c>
      <c r="AL35" s="10">
        <v>1</v>
      </c>
      <c r="AM35" s="19">
        <f t="shared" si="4"/>
        <v>33.333333333333329</v>
      </c>
      <c r="AN35" s="10">
        <v>8</v>
      </c>
      <c r="AO35" s="10">
        <v>5</v>
      </c>
      <c r="AP35" s="19">
        <f t="shared" si="12"/>
        <v>62.5</v>
      </c>
      <c r="AQ35" s="49">
        <v>3</v>
      </c>
      <c r="AR35" s="49">
        <v>0</v>
      </c>
      <c r="AS35" s="19">
        <f t="shared" si="13"/>
        <v>0</v>
      </c>
      <c r="AT35" s="10">
        <f t="shared" si="14"/>
        <v>34</v>
      </c>
      <c r="AU35" s="10">
        <f t="shared" si="15"/>
        <v>21</v>
      </c>
      <c r="AV35" s="26">
        <f t="shared" si="16"/>
        <v>61.764705882352942</v>
      </c>
      <c r="AW35" s="10">
        <f t="shared" si="17"/>
        <v>21</v>
      </c>
      <c r="AX35" s="10">
        <f t="shared" si="17"/>
        <v>10</v>
      </c>
      <c r="AY35" s="26">
        <f t="shared" si="18"/>
        <v>47.619047619047613</v>
      </c>
      <c r="AZ35" s="10">
        <f t="shared" si="19"/>
        <v>55</v>
      </c>
      <c r="BA35" s="10">
        <f t="shared" si="20"/>
        <v>31</v>
      </c>
      <c r="BB35" s="26">
        <f t="shared" si="21"/>
        <v>56.36363636363636</v>
      </c>
    </row>
    <row r="36" spans="1:54" s="47" customFormat="1">
      <c r="A36" s="48">
        <v>30</v>
      </c>
      <c r="B36" s="49">
        <v>1230321027</v>
      </c>
      <c r="C36" s="50" t="s">
        <v>52</v>
      </c>
      <c r="D36" s="10">
        <v>2</v>
      </c>
      <c r="E36" s="10">
        <v>1</v>
      </c>
      <c r="F36" s="19">
        <f t="shared" si="5"/>
        <v>50</v>
      </c>
      <c r="G36" s="49">
        <v>2</v>
      </c>
      <c r="H36" s="49">
        <v>1</v>
      </c>
      <c r="I36" s="19">
        <f t="shared" si="6"/>
        <v>50</v>
      </c>
      <c r="J36" s="10">
        <v>2</v>
      </c>
      <c r="K36" s="10">
        <v>2</v>
      </c>
      <c r="L36" s="19">
        <f t="shared" si="7"/>
        <v>100</v>
      </c>
      <c r="M36" s="49">
        <v>7</v>
      </c>
      <c r="N36" s="49">
        <v>4</v>
      </c>
      <c r="O36" s="19">
        <f t="shared" si="8"/>
        <v>57.142857142857139</v>
      </c>
      <c r="P36" s="10">
        <v>7</v>
      </c>
      <c r="Q36" s="10">
        <v>5</v>
      </c>
      <c r="R36" s="19">
        <f t="shared" si="9"/>
        <v>71.428571428571431</v>
      </c>
      <c r="S36" s="49">
        <v>3</v>
      </c>
      <c r="T36" s="49">
        <v>2</v>
      </c>
      <c r="U36" s="19">
        <f t="shared" si="10"/>
        <v>66.666666666666657</v>
      </c>
      <c r="V36" s="10">
        <v>3</v>
      </c>
      <c r="W36" s="10">
        <v>2</v>
      </c>
      <c r="X36" s="19">
        <f t="shared" si="0"/>
        <v>66.666666666666657</v>
      </c>
      <c r="Y36" s="49">
        <v>1</v>
      </c>
      <c r="Z36" s="49">
        <v>1</v>
      </c>
      <c r="AA36" s="49">
        <f t="shared" si="11"/>
        <v>100</v>
      </c>
      <c r="AB36" s="10">
        <v>7</v>
      </c>
      <c r="AC36" s="10">
        <v>7</v>
      </c>
      <c r="AD36" s="19">
        <f t="shared" si="1"/>
        <v>100</v>
      </c>
      <c r="AE36" s="49">
        <v>2</v>
      </c>
      <c r="AF36" s="49">
        <v>2</v>
      </c>
      <c r="AG36" s="19">
        <f t="shared" si="2"/>
        <v>100</v>
      </c>
      <c r="AH36" s="10">
        <v>5</v>
      </c>
      <c r="AI36" s="10">
        <v>4</v>
      </c>
      <c r="AJ36" s="19">
        <f t="shared" si="3"/>
        <v>80</v>
      </c>
      <c r="AK36" s="49">
        <v>3</v>
      </c>
      <c r="AL36" s="10">
        <v>2</v>
      </c>
      <c r="AM36" s="19">
        <f t="shared" si="4"/>
        <v>66.666666666666657</v>
      </c>
      <c r="AN36" s="10">
        <v>8</v>
      </c>
      <c r="AO36" s="16">
        <v>4</v>
      </c>
      <c r="AP36" s="19">
        <f t="shared" si="12"/>
        <v>50</v>
      </c>
      <c r="AQ36" s="49">
        <v>3</v>
      </c>
      <c r="AR36" s="16">
        <v>2</v>
      </c>
      <c r="AS36" s="19">
        <f t="shared" si="13"/>
        <v>66.666666666666657</v>
      </c>
      <c r="AT36" s="10">
        <f t="shared" si="14"/>
        <v>34</v>
      </c>
      <c r="AU36" s="10">
        <f t="shared" si="15"/>
        <v>25</v>
      </c>
      <c r="AV36" s="26">
        <f t="shared" si="16"/>
        <v>73.529411764705884</v>
      </c>
      <c r="AW36" s="10">
        <f t="shared" si="17"/>
        <v>21</v>
      </c>
      <c r="AX36" s="10">
        <f t="shared" si="17"/>
        <v>14</v>
      </c>
      <c r="AY36" s="26">
        <f t="shared" si="18"/>
        <v>66.666666666666657</v>
      </c>
      <c r="AZ36" s="10">
        <f t="shared" si="19"/>
        <v>55</v>
      </c>
      <c r="BA36" s="10">
        <f t="shared" si="20"/>
        <v>39</v>
      </c>
      <c r="BB36" s="26">
        <f t="shared" si="21"/>
        <v>70.909090909090907</v>
      </c>
    </row>
    <row r="37" spans="1:54" s="47" customFormat="1">
      <c r="A37" s="48">
        <v>31</v>
      </c>
      <c r="B37" s="49">
        <v>1230321028</v>
      </c>
      <c r="C37" s="50" t="s">
        <v>53</v>
      </c>
      <c r="D37" s="10">
        <v>2</v>
      </c>
      <c r="E37" s="10">
        <v>2</v>
      </c>
      <c r="F37" s="19">
        <f t="shared" si="5"/>
        <v>100</v>
      </c>
      <c r="G37" s="49">
        <v>2</v>
      </c>
      <c r="H37" s="49">
        <v>2</v>
      </c>
      <c r="I37" s="19">
        <f t="shared" si="6"/>
        <v>100</v>
      </c>
      <c r="J37" s="10">
        <v>2</v>
      </c>
      <c r="K37" s="10">
        <v>2</v>
      </c>
      <c r="L37" s="19">
        <f t="shared" si="7"/>
        <v>100</v>
      </c>
      <c r="M37" s="49">
        <v>7</v>
      </c>
      <c r="N37" s="49">
        <v>5</v>
      </c>
      <c r="O37" s="19">
        <f t="shared" si="8"/>
        <v>71.428571428571431</v>
      </c>
      <c r="P37" s="10">
        <v>7</v>
      </c>
      <c r="Q37" s="10">
        <v>2</v>
      </c>
      <c r="R37" s="19">
        <f t="shared" si="9"/>
        <v>28.571428571428569</v>
      </c>
      <c r="S37" s="49">
        <v>3</v>
      </c>
      <c r="T37" s="49">
        <v>1</v>
      </c>
      <c r="U37" s="19">
        <f t="shared" si="10"/>
        <v>33.333333333333329</v>
      </c>
      <c r="V37" s="10">
        <v>3</v>
      </c>
      <c r="W37" s="10">
        <v>2</v>
      </c>
      <c r="X37" s="19">
        <f t="shared" si="0"/>
        <v>66.666666666666657</v>
      </c>
      <c r="Y37" s="49">
        <v>1</v>
      </c>
      <c r="Z37" s="49">
        <v>1</v>
      </c>
      <c r="AA37" s="49">
        <f t="shared" si="11"/>
        <v>100</v>
      </c>
      <c r="AB37" s="10">
        <v>7</v>
      </c>
      <c r="AC37" s="10">
        <v>4</v>
      </c>
      <c r="AD37" s="19">
        <f t="shared" si="1"/>
        <v>57.142857142857139</v>
      </c>
      <c r="AE37" s="49">
        <v>2</v>
      </c>
      <c r="AF37" s="49">
        <v>2</v>
      </c>
      <c r="AG37" s="19">
        <f t="shared" si="2"/>
        <v>100</v>
      </c>
      <c r="AH37" s="10">
        <v>5</v>
      </c>
      <c r="AI37" s="10">
        <v>2</v>
      </c>
      <c r="AJ37" s="19">
        <f t="shared" si="3"/>
        <v>40</v>
      </c>
      <c r="AK37" s="49">
        <v>3</v>
      </c>
      <c r="AL37" s="10">
        <v>1</v>
      </c>
      <c r="AM37" s="19">
        <f t="shared" si="4"/>
        <v>33.333333333333329</v>
      </c>
      <c r="AN37" s="10">
        <v>8</v>
      </c>
      <c r="AO37" s="16">
        <v>5</v>
      </c>
      <c r="AP37" s="19">
        <f t="shared" si="12"/>
        <v>62.5</v>
      </c>
      <c r="AQ37" s="49">
        <v>3</v>
      </c>
      <c r="AR37" s="16">
        <v>0</v>
      </c>
      <c r="AS37" s="19">
        <f t="shared" si="13"/>
        <v>0</v>
      </c>
      <c r="AT37" s="10">
        <f t="shared" si="14"/>
        <v>34</v>
      </c>
      <c r="AU37" s="10">
        <f t="shared" si="15"/>
        <v>19</v>
      </c>
      <c r="AV37" s="26">
        <f t="shared" si="16"/>
        <v>55.882352941176471</v>
      </c>
      <c r="AW37" s="10">
        <f t="shared" si="17"/>
        <v>21</v>
      </c>
      <c r="AX37" s="10">
        <f t="shared" si="17"/>
        <v>12</v>
      </c>
      <c r="AY37" s="26">
        <f t="shared" si="18"/>
        <v>57.142857142857139</v>
      </c>
      <c r="AZ37" s="10">
        <f t="shared" si="19"/>
        <v>55</v>
      </c>
      <c r="BA37" s="10">
        <f t="shared" si="20"/>
        <v>31</v>
      </c>
      <c r="BB37" s="26">
        <f t="shared" si="21"/>
        <v>56.36363636363636</v>
      </c>
    </row>
    <row r="38" spans="1:54" s="47" customFormat="1">
      <c r="A38" s="48">
        <v>32</v>
      </c>
      <c r="B38" s="49">
        <v>1230321029</v>
      </c>
      <c r="C38" s="50" t="s">
        <v>54</v>
      </c>
      <c r="D38" s="10">
        <v>2</v>
      </c>
      <c r="E38" s="10">
        <v>1</v>
      </c>
      <c r="F38" s="19">
        <f t="shared" si="5"/>
        <v>50</v>
      </c>
      <c r="G38" s="49">
        <v>2</v>
      </c>
      <c r="H38" s="49">
        <v>1</v>
      </c>
      <c r="I38" s="19">
        <f t="shared" si="6"/>
        <v>50</v>
      </c>
      <c r="J38" s="10">
        <v>2</v>
      </c>
      <c r="K38" s="10">
        <v>1</v>
      </c>
      <c r="L38" s="19">
        <f t="shared" si="7"/>
        <v>50</v>
      </c>
      <c r="M38" s="49">
        <v>7</v>
      </c>
      <c r="N38" s="49">
        <v>2</v>
      </c>
      <c r="O38" s="19">
        <f t="shared" si="8"/>
        <v>28.571428571428569</v>
      </c>
      <c r="P38" s="10">
        <v>7</v>
      </c>
      <c r="Q38" s="10">
        <v>2</v>
      </c>
      <c r="R38" s="19">
        <f t="shared" si="9"/>
        <v>28.571428571428569</v>
      </c>
      <c r="S38" s="49">
        <v>3</v>
      </c>
      <c r="T38" s="49">
        <v>1</v>
      </c>
      <c r="U38" s="19">
        <f t="shared" si="10"/>
        <v>33.333333333333329</v>
      </c>
      <c r="V38" s="10">
        <v>3</v>
      </c>
      <c r="W38" s="10">
        <v>1</v>
      </c>
      <c r="X38" s="19">
        <f t="shared" si="0"/>
        <v>33.333333333333329</v>
      </c>
      <c r="Y38" s="49">
        <v>1</v>
      </c>
      <c r="Z38" s="49">
        <v>1</v>
      </c>
      <c r="AA38" s="49">
        <f t="shared" si="11"/>
        <v>100</v>
      </c>
      <c r="AB38" s="10">
        <v>7</v>
      </c>
      <c r="AC38" s="10">
        <v>2</v>
      </c>
      <c r="AD38" s="19">
        <f t="shared" si="1"/>
        <v>28.571428571428569</v>
      </c>
      <c r="AE38" s="49">
        <v>2</v>
      </c>
      <c r="AF38" s="49">
        <v>1</v>
      </c>
      <c r="AG38" s="19">
        <f t="shared" si="2"/>
        <v>50</v>
      </c>
      <c r="AH38" s="10">
        <v>5</v>
      </c>
      <c r="AI38" s="10">
        <v>4</v>
      </c>
      <c r="AJ38" s="19">
        <f t="shared" si="3"/>
        <v>80</v>
      </c>
      <c r="AK38" s="49">
        <v>3</v>
      </c>
      <c r="AL38" s="10">
        <v>2</v>
      </c>
      <c r="AM38" s="19">
        <f t="shared" si="4"/>
        <v>66.666666666666657</v>
      </c>
      <c r="AN38" s="10">
        <v>8</v>
      </c>
      <c r="AO38" s="10">
        <v>5</v>
      </c>
      <c r="AP38" s="19">
        <f t="shared" si="12"/>
        <v>62.5</v>
      </c>
      <c r="AQ38" s="49">
        <v>3</v>
      </c>
      <c r="AR38" s="49">
        <v>1</v>
      </c>
      <c r="AS38" s="19">
        <f t="shared" si="13"/>
        <v>33.333333333333329</v>
      </c>
      <c r="AT38" s="10">
        <f t="shared" si="14"/>
        <v>34</v>
      </c>
      <c r="AU38" s="10">
        <f t="shared" si="15"/>
        <v>16</v>
      </c>
      <c r="AV38" s="26">
        <f t="shared" si="16"/>
        <v>47.058823529411761</v>
      </c>
      <c r="AW38" s="10">
        <f t="shared" si="17"/>
        <v>21</v>
      </c>
      <c r="AX38" s="10">
        <f t="shared" si="17"/>
        <v>9</v>
      </c>
      <c r="AY38" s="26">
        <f t="shared" si="18"/>
        <v>42.857142857142854</v>
      </c>
      <c r="AZ38" s="10">
        <f t="shared" si="19"/>
        <v>55</v>
      </c>
      <c r="BA38" s="10">
        <f t="shared" si="20"/>
        <v>25</v>
      </c>
      <c r="BB38" s="26">
        <f t="shared" si="21"/>
        <v>45.454545454545453</v>
      </c>
    </row>
    <row r="39" spans="1:54" s="47" customFormat="1">
      <c r="A39" s="48">
        <v>33</v>
      </c>
      <c r="B39" s="49">
        <v>1230321030</v>
      </c>
      <c r="C39" s="50" t="s">
        <v>55</v>
      </c>
      <c r="D39" s="10">
        <v>2</v>
      </c>
      <c r="E39" s="10">
        <v>2</v>
      </c>
      <c r="F39" s="19">
        <f t="shared" si="5"/>
        <v>100</v>
      </c>
      <c r="G39" s="49">
        <v>2</v>
      </c>
      <c r="H39" s="49">
        <v>2</v>
      </c>
      <c r="I39" s="19">
        <f t="shared" si="6"/>
        <v>100</v>
      </c>
      <c r="J39" s="10">
        <v>2</v>
      </c>
      <c r="K39" s="10">
        <v>1</v>
      </c>
      <c r="L39" s="19">
        <f t="shared" si="7"/>
        <v>50</v>
      </c>
      <c r="M39" s="49">
        <v>7</v>
      </c>
      <c r="N39" s="49">
        <v>3</v>
      </c>
      <c r="O39" s="19">
        <f t="shared" si="8"/>
        <v>42.857142857142854</v>
      </c>
      <c r="P39" s="10">
        <v>7</v>
      </c>
      <c r="Q39" s="10">
        <v>1</v>
      </c>
      <c r="R39" s="19">
        <f t="shared" si="9"/>
        <v>14.285714285714285</v>
      </c>
      <c r="S39" s="49">
        <v>3</v>
      </c>
      <c r="T39" s="49">
        <v>0</v>
      </c>
      <c r="U39" s="19">
        <f t="shared" si="10"/>
        <v>0</v>
      </c>
      <c r="V39" s="10">
        <v>3</v>
      </c>
      <c r="W39" s="10">
        <v>2</v>
      </c>
      <c r="X39" s="19">
        <f t="shared" si="0"/>
        <v>66.666666666666657</v>
      </c>
      <c r="Y39" s="49">
        <v>1</v>
      </c>
      <c r="Z39" s="49">
        <v>1</v>
      </c>
      <c r="AA39" s="49">
        <f t="shared" si="11"/>
        <v>100</v>
      </c>
      <c r="AB39" s="10">
        <v>7</v>
      </c>
      <c r="AC39" s="10">
        <v>1</v>
      </c>
      <c r="AD39" s="19">
        <f t="shared" si="1"/>
        <v>14.285714285714285</v>
      </c>
      <c r="AE39" s="49">
        <v>2</v>
      </c>
      <c r="AF39" s="49">
        <v>0</v>
      </c>
      <c r="AG39" s="19">
        <f t="shared" si="2"/>
        <v>0</v>
      </c>
      <c r="AH39" s="10">
        <v>5</v>
      </c>
      <c r="AI39" s="10">
        <v>3</v>
      </c>
      <c r="AJ39" s="19">
        <f t="shared" si="3"/>
        <v>60</v>
      </c>
      <c r="AK39" s="49">
        <v>3</v>
      </c>
      <c r="AL39" s="10">
        <v>1</v>
      </c>
      <c r="AM39" s="19">
        <f t="shared" si="4"/>
        <v>33.333333333333329</v>
      </c>
      <c r="AN39" s="10">
        <v>8</v>
      </c>
      <c r="AO39" s="16">
        <v>5</v>
      </c>
      <c r="AP39" s="19">
        <f t="shared" si="12"/>
        <v>62.5</v>
      </c>
      <c r="AQ39" s="49">
        <v>3</v>
      </c>
      <c r="AR39" s="16">
        <v>2</v>
      </c>
      <c r="AS39" s="19">
        <f t="shared" si="13"/>
        <v>66.666666666666657</v>
      </c>
      <c r="AT39" s="10">
        <f t="shared" si="14"/>
        <v>34</v>
      </c>
      <c r="AU39" s="10">
        <f t="shared" si="15"/>
        <v>15</v>
      </c>
      <c r="AV39" s="26">
        <f t="shared" si="16"/>
        <v>44.117647058823529</v>
      </c>
      <c r="AW39" s="10">
        <f t="shared" si="17"/>
        <v>21</v>
      </c>
      <c r="AX39" s="10">
        <f t="shared" si="17"/>
        <v>9</v>
      </c>
      <c r="AY39" s="26">
        <f t="shared" si="18"/>
        <v>42.857142857142854</v>
      </c>
      <c r="AZ39" s="10">
        <f t="shared" si="19"/>
        <v>55</v>
      </c>
      <c r="BA39" s="10">
        <f t="shared" si="20"/>
        <v>24</v>
      </c>
      <c r="BB39" s="26">
        <f t="shared" si="21"/>
        <v>43.636363636363633</v>
      </c>
    </row>
    <row r="40" spans="1:54" s="47" customFormat="1">
      <c r="A40" s="48">
        <v>34</v>
      </c>
      <c r="B40" s="49">
        <v>1230321031</v>
      </c>
      <c r="C40" s="50" t="s">
        <v>56</v>
      </c>
      <c r="D40" s="10">
        <v>2</v>
      </c>
      <c r="E40" s="10">
        <v>1</v>
      </c>
      <c r="F40" s="19">
        <f t="shared" si="5"/>
        <v>50</v>
      </c>
      <c r="G40" s="49">
        <v>2</v>
      </c>
      <c r="H40" s="49">
        <v>1</v>
      </c>
      <c r="I40" s="19">
        <f t="shared" si="6"/>
        <v>50</v>
      </c>
      <c r="J40" s="10">
        <v>2</v>
      </c>
      <c r="K40" s="10">
        <v>2</v>
      </c>
      <c r="L40" s="19">
        <f t="shared" si="7"/>
        <v>100</v>
      </c>
      <c r="M40" s="49">
        <v>7</v>
      </c>
      <c r="N40" s="49">
        <v>6</v>
      </c>
      <c r="O40" s="19">
        <f t="shared" si="8"/>
        <v>85.714285714285708</v>
      </c>
      <c r="P40" s="10">
        <v>7</v>
      </c>
      <c r="Q40" s="10">
        <v>1</v>
      </c>
      <c r="R40" s="19">
        <f t="shared" si="9"/>
        <v>14.285714285714285</v>
      </c>
      <c r="S40" s="49">
        <v>3</v>
      </c>
      <c r="T40" s="49">
        <v>0</v>
      </c>
      <c r="U40" s="19">
        <f t="shared" si="10"/>
        <v>0</v>
      </c>
      <c r="V40" s="10">
        <v>3</v>
      </c>
      <c r="W40" s="10">
        <v>2</v>
      </c>
      <c r="X40" s="19">
        <f t="shared" si="0"/>
        <v>66.666666666666657</v>
      </c>
      <c r="Y40" s="49">
        <v>1</v>
      </c>
      <c r="Z40" s="49">
        <v>1</v>
      </c>
      <c r="AA40" s="49">
        <f t="shared" si="11"/>
        <v>100</v>
      </c>
      <c r="AB40" s="10">
        <v>7</v>
      </c>
      <c r="AC40" s="10">
        <v>2</v>
      </c>
      <c r="AD40" s="19">
        <f t="shared" si="1"/>
        <v>28.571428571428569</v>
      </c>
      <c r="AE40" s="49">
        <v>2</v>
      </c>
      <c r="AF40" s="49">
        <v>1</v>
      </c>
      <c r="AG40" s="19">
        <f t="shared" si="2"/>
        <v>50</v>
      </c>
      <c r="AH40" s="10">
        <v>5</v>
      </c>
      <c r="AI40" s="10">
        <v>3</v>
      </c>
      <c r="AJ40" s="19">
        <f t="shared" si="3"/>
        <v>60</v>
      </c>
      <c r="AK40" s="49">
        <v>3</v>
      </c>
      <c r="AL40" s="10">
        <v>1</v>
      </c>
      <c r="AM40" s="19">
        <f t="shared" si="4"/>
        <v>33.333333333333329</v>
      </c>
      <c r="AN40" s="10">
        <v>8</v>
      </c>
      <c r="AO40" s="16">
        <v>4</v>
      </c>
      <c r="AP40" s="19">
        <f t="shared" si="12"/>
        <v>50</v>
      </c>
      <c r="AQ40" s="49">
        <v>3</v>
      </c>
      <c r="AR40" s="16">
        <v>1</v>
      </c>
      <c r="AS40" s="19">
        <f t="shared" si="13"/>
        <v>33.333333333333329</v>
      </c>
      <c r="AT40" s="10">
        <f t="shared" si="14"/>
        <v>34</v>
      </c>
      <c r="AU40" s="10">
        <f t="shared" si="15"/>
        <v>15</v>
      </c>
      <c r="AV40" s="26">
        <f t="shared" si="16"/>
        <v>44.117647058823529</v>
      </c>
      <c r="AW40" s="10">
        <f t="shared" si="17"/>
        <v>21</v>
      </c>
      <c r="AX40" s="10">
        <f t="shared" si="17"/>
        <v>11</v>
      </c>
      <c r="AY40" s="26">
        <f t="shared" si="18"/>
        <v>52.380952380952387</v>
      </c>
      <c r="AZ40" s="10">
        <f t="shared" si="19"/>
        <v>55</v>
      </c>
      <c r="BA40" s="10">
        <f t="shared" si="20"/>
        <v>26</v>
      </c>
      <c r="BB40" s="26">
        <f t="shared" si="21"/>
        <v>47.272727272727273</v>
      </c>
    </row>
    <row r="41" spans="1:54" s="47" customFormat="1">
      <c r="A41" s="48">
        <v>35</v>
      </c>
      <c r="B41" s="49">
        <v>1230321032</v>
      </c>
      <c r="C41" s="50" t="s">
        <v>57</v>
      </c>
      <c r="D41" s="10">
        <v>2</v>
      </c>
      <c r="E41" s="10">
        <v>1</v>
      </c>
      <c r="F41" s="19">
        <f t="shared" si="5"/>
        <v>50</v>
      </c>
      <c r="G41" s="49">
        <v>2</v>
      </c>
      <c r="H41" s="49">
        <v>1</v>
      </c>
      <c r="I41" s="19">
        <f t="shared" si="6"/>
        <v>50</v>
      </c>
      <c r="J41" s="10">
        <v>2</v>
      </c>
      <c r="K41" s="10">
        <v>2</v>
      </c>
      <c r="L41" s="19">
        <f t="shared" si="7"/>
        <v>100</v>
      </c>
      <c r="M41" s="49">
        <v>7</v>
      </c>
      <c r="N41" s="49">
        <v>7</v>
      </c>
      <c r="O41" s="19">
        <f t="shared" si="8"/>
        <v>100</v>
      </c>
      <c r="P41" s="10">
        <v>7</v>
      </c>
      <c r="Q41" s="10">
        <v>7</v>
      </c>
      <c r="R41" s="19">
        <f t="shared" si="9"/>
        <v>100</v>
      </c>
      <c r="S41" s="49">
        <v>3</v>
      </c>
      <c r="T41" s="49">
        <v>3</v>
      </c>
      <c r="U41" s="19">
        <f t="shared" si="10"/>
        <v>100</v>
      </c>
      <c r="V41" s="10">
        <v>3</v>
      </c>
      <c r="W41" s="10">
        <v>2</v>
      </c>
      <c r="X41" s="19">
        <f t="shared" si="0"/>
        <v>66.666666666666657</v>
      </c>
      <c r="Y41" s="49">
        <v>1</v>
      </c>
      <c r="Z41" s="49">
        <v>1</v>
      </c>
      <c r="AA41" s="49">
        <f t="shared" si="11"/>
        <v>100</v>
      </c>
      <c r="AB41" s="10">
        <v>7</v>
      </c>
      <c r="AC41" s="10">
        <v>4</v>
      </c>
      <c r="AD41" s="19">
        <f t="shared" si="1"/>
        <v>57.142857142857139</v>
      </c>
      <c r="AE41" s="49">
        <v>2</v>
      </c>
      <c r="AF41" s="49">
        <v>1</v>
      </c>
      <c r="AG41" s="19">
        <f t="shared" si="2"/>
        <v>50</v>
      </c>
      <c r="AH41" s="10">
        <v>5</v>
      </c>
      <c r="AI41" s="10">
        <v>4</v>
      </c>
      <c r="AJ41" s="19">
        <f t="shared" si="3"/>
        <v>80</v>
      </c>
      <c r="AK41" s="49">
        <v>3</v>
      </c>
      <c r="AL41" s="10">
        <v>2</v>
      </c>
      <c r="AM41" s="19">
        <f t="shared" si="4"/>
        <v>66.666666666666657</v>
      </c>
      <c r="AN41" s="10">
        <v>8</v>
      </c>
      <c r="AO41" s="16">
        <v>7</v>
      </c>
      <c r="AP41" s="19">
        <f t="shared" si="12"/>
        <v>87.5</v>
      </c>
      <c r="AQ41" s="49">
        <v>3</v>
      </c>
      <c r="AR41" s="16">
        <v>2</v>
      </c>
      <c r="AS41" s="19">
        <f t="shared" si="13"/>
        <v>66.666666666666657</v>
      </c>
      <c r="AT41" s="10">
        <f t="shared" si="14"/>
        <v>34</v>
      </c>
      <c r="AU41" s="10">
        <f t="shared" si="15"/>
        <v>27</v>
      </c>
      <c r="AV41" s="26">
        <f t="shared" si="16"/>
        <v>79.411764705882348</v>
      </c>
      <c r="AW41" s="10">
        <f t="shared" si="17"/>
        <v>21</v>
      </c>
      <c r="AX41" s="10">
        <f t="shared" si="17"/>
        <v>17</v>
      </c>
      <c r="AY41" s="26">
        <f t="shared" si="18"/>
        <v>80.952380952380949</v>
      </c>
      <c r="AZ41" s="10">
        <f t="shared" si="19"/>
        <v>55</v>
      </c>
      <c r="BA41" s="10">
        <f t="shared" si="20"/>
        <v>44</v>
      </c>
      <c r="BB41" s="26">
        <f t="shared" si="21"/>
        <v>80</v>
      </c>
    </row>
    <row r="42" spans="1:54" s="47" customFormat="1">
      <c r="A42" s="48">
        <v>36</v>
      </c>
      <c r="B42" s="49">
        <v>1230321033</v>
      </c>
      <c r="C42" s="50" t="s">
        <v>58</v>
      </c>
      <c r="D42" s="10">
        <v>2</v>
      </c>
      <c r="E42" s="10">
        <v>0</v>
      </c>
      <c r="F42" s="19">
        <f t="shared" si="5"/>
        <v>0</v>
      </c>
      <c r="G42" s="49">
        <v>2</v>
      </c>
      <c r="H42" s="49">
        <v>0</v>
      </c>
      <c r="I42" s="19">
        <f t="shared" si="6"/>
        <v>0</v>
      </c>
      <c r="J42" s="10">
        <v>2</v>
      </c>
      <c r="K42" s="10">
        <v>0</v>
      </c>
      <c r="L42" s="19">
        <f t="shared" si="7"/>
        <v>0</v>
      </c>
      <c r="M42" s="49">
        <v>7</v>
      </c>
      <c r="N42" s="49">
        <v>2</v>
      </c>
      <c r="O42" s="19">
        <f t="shared" si="8"/>
        <v>28.571428571428569</v>
      </c>
      <c r="P42" s="10">
        <v>7</v>
      </c>
      <c r="Q42" s="10">
        <v>5</v>
      </c>
      <c r="R42" s="19">
        <f t="shared" si="9"/>
        <v>71.428571428571431</v>
      </c>
      <c r="S42" s="49">
        <v>3</v>
      </c>
      <c r="T42" s="49">
        <v>1</v>
      </c>
      <c r="U42" s="19">
        <f t="shared" si="10"/>
        <v>33.333333333333329</v>
      </c>
      <c r="V42" s="10">
        <v>3</v>
      </c>
      <c r="W42" s="10">
        <v>3</v>
      </c>
      <c r="X42" s="19">
        <f t="shared" si="0"/>
        <v>100</v>
      </c>
      <c r="Y42" s="49">
        <v>1</v>
      </c>
      <c r="Z42" s="49">
        <v>1</v>
      </c>
      <c r="AA42" s="49">
        <f t="shared" si="11"/>
        <v>100</v>
      </c>
      <c r="AB42" s="10">
        <v>7</v>
      </c>
      <c r="AC42" s="10">
        <v>6</v>
      </c>
      <c r="AD42" s="19">
        <f t="shared" si="1"/>
        <v>85.714285714285708</v>
      </c>
      <c r="AE42" s="49">
        <v>2</v>
      </c>
      <c r="AF42" s="49">
        <v>2</v>
      </c>
      <c r="AG42" s="19">
        <f t="shared" si="2"/>
        <v>100</v>
      </c>
      <c r="AH42" s="10">
        <v>5</v>
      </c>
      <c r="AI42" s="10">
        <v>5</v>
      </c>
      <c r="AJ42" s="19">
        <f t="shared" si="3"/>
        <v>100</v>
      </c>
      <c r="AK42" s="49">
        <v>3</v>
      </c>
      <c r="AL42" s="10">
        <v>3</v>
      </c>
      <c r="AM42" s="19">
        <f t="shared" si="4"/>
        <v>100</v>
      </c>
      <c r="AN42" s="10">
        <v>8</v>
      </c>
      <c r="AO42" s="16">
        <v>7</v>
      </c>
      <c r="AP42" s="19">
        <f t="shared" si="12"/>
        <v>87.5</v>
      </c>
      <c r="AQ42" s="49">
        <v>3</v>
      </c>
      <c r="AR42" s="16">
        <v>3</v>
      </c>
      <c r="AS42" s="19">
        <f t="shared" si="13"/>
        <v>100</v>
      </c>
      <c r="AT42" s="10">
        <f t="shared" si="14"/>
        <v>34</v>
      </c>
      <c r="AU42" s="10">
        <f t="shared" si="15"/>
        <v>26</v>
      </c>
      <c r="AV42" s="26">
        <f t="shared" si="16"/>
        <v>76.470588235294116</v>
      </c>
      <c r="AW42" s="10">
        <f t="shared" si="17"/>
        <v>21</v>
      </c>
      <c r="AX42" s="10">
        <f t="shared" si="17"/>
        <v>12</v>
      </c>
      <c r="AY42" s="26">
        <f t="shared" si="18"/>
        <v>57.142857142857139</v>
      </c>
      <c r="AZ42" s="10">
        <f t="shared" si="19"/>
        <v>55</v>
      </c>
      <c r="BA42" s="10">
        <f t="shared" si="20"/>
        <v>38</v>
      </c>
      <c r="BB42" s="26">
        <f t="shared" si="21"/>
        <v>69.090909090909093</v>
      </c>
    </row>
    <row r="43" spans="1:54" s="47" customFormat="1">
      <c r="A43" s="48">
        <v>37</v>
      </c>
      <c r="B43" s="49">
        <v>1230321034</v>
      </c>
      <c r="C43" s="50" t="s">
        <v>59</v>
      </c>
      <c r="D43" s="10">
        <v>2</v>
      </c>
      <c r="E43" s="10">
        <v>1</v>
      </c>
      <c r="F43" s="19">
        <f t="shared" si="5"/>
        <v>50</v>
      </c>
      <c r="G43" s="49">
        <v>2</v>
      </c>
      <c r="H43" s="49">
        <v>1</v>
      </c>
      <c r="I43" s="19">
        <f t="shared" si="6"/>
        <v>50</v>
      </c>
      <c r="J43" s="10">
        <v>2</v>
      </c>
      <c r="K43" s="10">
        <v>1</v>
      </c>
      <c r="L43" s="19">
        <f t="shared" si="7"/>
        <v>50</v>
      </c>
      <c r="M43" s="49">
        <v>7</v>
      </c>
      <c r="N43" s="49">
        <v>1</v>
      </c>
      <c r="O43" s="19">
        <f t="shared" si="8"/>
        <v>14.285714285714285</v>
      </c>
      <c r="P43" s="10">
        <v>7</v>
      </c>
      <c r="Q43" s="10">
        <v>2</v>
      </c>
      <c r="R43" s="19">
        <f t="shared" si="9"/>
        <v>28.571428571428569</v>
      </c>
      <c r="S43" s="49">
        <v>3</v>
      </c>
      <c r="T43" s="49">
        <v>0</v>
      </c>
      <c r="U43" s="19">
        <f t="shared" si="10"/>
        <v>0</v>
      </c>
      <c r="V43" s="10">
        <v>3</v>
      </c>
      <c r="W43" s="10">
        <v>2</v>
      </c>
      <c r="X43" s="19">
        <f t="shared" si="0"/>
        <v>66.666666666666657</v>
      </c>
      <c r="Y43" s="49">
        <v>1</v>
      </c>
      <c r="Z43" s="49">
        <v>1</v>
      </c>
      <c r="AA43" s="49">
        <f t="shared" si="11"/>
        <v>100</v>
      </c>
      <c r="AB43" s="10">
        <v>7</v>
      </c>
      <c r="AC43" s="10">
        <v>3</v>
      </c>
      <c r="AD43" s="19">
        <f t="shared" si="1"/>
        <v>42.857142857142854</v>
      </c>
      <c r="AE43" s="49">
        <v>2</v>
      </c>
      <c r="AF43" s="49">
        <v>0</v>
      </c>
      <c r="AG43" s="19">
        <f t="shared" si="2"/>
        <v>0</v>
      </c>
      <c r="AH43" s="10">
        <v>5</v>
      </c>
      <c r="AI43" s="10">
        <v>2</v>
      </c>
      <c r="AJ43" s="19">
        <f t="shared" si="3"/>
        <v>40</v>
      </c>
      <c r="AK43" s="49">
        <v>3</v>
      </c>
      <c r="AL43" s="10">
        <v>1</v>
      </c>
      <c r="AM43" s="19">
        <f t="shared" si="4"/>
        <v>33.333333333333329</v>
      </c>
      <c r="AN43" s="10">
        <v>8</v>
      </c>
      <c r="AO43" s="16">
        <v>7</v>
      </c>
      <c r="AP43" s="19">
        <f t="shared" si="12"/>
        <v>87.5</v>
      </c>
      <c r="AQ43" s="49">
        <v>3</v>
      </c>
      <c r="AR43" s="16">
        <v>2</v>
      </c>
      <c r="AS43" s="19">
        <f t="shared" si="13"/>
        <v>66.666666666666657</v>
      </c>
      <c r="AT43" s="10">
        <f t="shared" si="14"/>
        <v>34</v>
      </c>
      <c r="AU43" s="10">
        <f t="shared" si="15"/>
        <v>18</v>
      </c>
      <c r="AV43" s="26">
        <f t="shared" si="16"/>
        <v>52.941176470588239</v>
      </c>
      <c r="AW43" s="10">
        <f t="shared" si="17"/>
        <v>21</v>
      </c>
      <c r="AX43" s="10">
        <f t="shared" si="17"/>
        <v>6</v>
      </c>
      <c r="AY43" s="26">
        <f t="shared" si="18"/>
        <v>28.571428571428569</v>
      </c>
      <c r="AZ43" s="10">
        <f t="shared" si="19"/>
        <v>55</v>
      </c>
      <c r="BA43" s="10">
        <f t="shared" si="20"/>
        <v>24</v>
      </c>
      <c r="BB43" s="26">
        <f t="shared" si="21"/>
        <v>43.636363636363633</v>
      </c>
    </row>
    <row r="44" spans="1:54" s="47" customFormat="1">
      <c r="A44" s="48">
        <v>38</v>
      </c>
      <c r="B44" s="49">
        <v>1230321035</v>
      </c>
      <c r="C44" s="50" t="s">
        <v>60</v>
      </c>
      <c r="D44" s="10">
        <v>2</v>
      </c>
      <c r="E44" s="10">
        <v>1</v>
      </c>
      <c r="F44" s="19">
        <f t="shared" si="5"/>
        <v>50</v>
      </c>
      <c r="G44" s="49">
        <v>2</v>
      </c>
      <c r="H44" s="49">
        <v>1</v>
      </c>
      <c r="I44" s="19">
        <f t="shared" si="6"/>
        <v>50</v>
      </c>
      <c r="J44" s="10">
        <v>2</v>
      </c>
      <c r="K44" s="10">
        <v>0</v>
      </c>
      <c r="L44" s="19">
        <f t="shared" si="7"/>
        <v>0</v>
      </c>
      <c r="M44" s="49">
        <v>7</v>
      </c>
      <c r="N44" s="49">
        <v>1</v>
      </c>
      <c r="O44" s="19">
        <f t="shared" si="8"/>
        <v>14.285714285714285</v>
      </c>
      <c r="P44" s="10">
        <v>7</v>
      </c>
      <c r="Q44" s="10">
        <v>4</v>
      </c>
      <c r="R44" s="19">
        <f t="shared" si="9"/>
        <v>57.142857142857139</v>
      </c>
      <c r="S44" s="49">
        <v>3</v>
      </c>
      <c r="T44" s="49">
        <v>2</v>
      </c>
      <c r="U44" s="19">
        <f t="shared" si="10"/>
        <v>66.666666666666657</v>
      </c>
      <c r="V44" s="10">
        <v>3</v>
      </c>
      <c r="W44" s="10">
        <v>3</v>
      </c>
      <c r="X44" s="19">
        <f t="shared" si="0"/>
        <v>100</v>
      </c>
      <c r="Y44" s="49">
        <v>1</v>
      </c>
      <c r="Z44" s="49">
        <v>1</v>
      </c>
      <c r="AA44" s="49">
        <f t="shared" si="11"/>
        <v>100</v>
      </c>
      <c r="AB44" s="10">
        <v>7</v>
      </c>
      <c r="AC44" s="10">
        <v>4</v>
      </c>
      <c r="AD44" s="19">
        <f t="shared" si="1"/>
        <v>57.142857142857139</v>
      </c>
      <c r="AE44" s="49">
        <v>2</v>
      </c>
      <c r="AF44" s="49">
        <v>1</v>
      </c>
      <c r="AG44" s="19">
        <f t="shared" si="2"/>
        <v>50</v>
      </c>
      <c r="AH44" s="10">
        <v>5</v>
      </c>
      <c r="AI44" s="10">
        <v>3</v>
      </c>
      <c r="AJ44" s="19">
        <f t="shared" si="3"/>
        <v>60</v>
      </c>
      <c r="AK44" s="49">
        <v>3</v>
      </c>
      <c r="AL44" s="10">
        <v>1</v>
      </c>
      <c r="AM44" s="19">
        <f t="shared" si="4"/>
        <v>33.333333333333329</v>
      </c>
      <c r="AN44" s="10">
        <v>8</v>
      </c>
      <c r="AO44" s="16">
        <v>4</v>
      </c>
      <c r="AP44" s="19">
        <f t="shared" si="12"/>
        <v>50</v>
      </c>
      <c r="AQ44" s="49">
        <v>3</v>
      </c>
      <c r="AR44" s="16">
        <v>3</v>
      </c>
      <c r="AS44" s="19">
        <f t="shared" si="13"/>
        <v>100</v>
      </c>
      <c r="AT44" s="10">
        <f t="shared" si="14"/>
        <v>34</v>
      </c>
      <c r="AU44" s="10">
        <f t="shared" si="15"/>
        <v>19</v>
      </c>
      <c r="AV44" s="26">
        <f t="shared" si="16"/>
        <v>55.882352941176471</v>
      </c>
      <c r="AW44" s="10">
        <f t="shared" si="17"/>
        <v>21</v>
      </c>
      <c r="AX44" s="10">
        <f t="shared" si="17"/>
        <v>10</v>
      </c>
      <c r="AY44" s="26">
        <f t="shared" si="18"/>
        <v>47.619047619047613</v>
      </c>
      <c r="AZ44" s="10">
        <f t="shared" si="19"/>
        <v>55</v>
      </c>
      <c r="BA44" s="10">
        <f t="shared" si="20"/>
        <v>29</v>
      </c>
      <c r="BB44" s="26">
        <f t="shared" si="21"/>
        <v>52.72727272727272</v>
      </c>
    </row>
    <row r="45" spans="1:54" s="47" customFormat="1">
      <c r="A45" s="48">
        <v>39</v>
      </c>
      <c r="B45" s="49">
        <v>1230321036</v>
      </c>
      <c r="C45" s="50" t="s">
        <v>61</v>
      </c>
      <c r="D45" s="10">
        <v>2</v>
      </c>
      <c r="E45" s="10">
        <v>1</v>
      </c>
      <c r="F45" s="19">
        <f t="shared" si="5"/>
        <v>50</v>
      </c>
      <c r="G45" s="49">
        <v>2</v>
      </c>
      <c r="H45" s="49">
        <v>1</v>
      </c>
      <c r="I45" s="19">
        <f t="shared" si="6"/>
        <v>50</v>
      </c>
      <c r="J45" s="10">
        <v>2</v>
      </c>
      <c r="K45" s="10">
        <v>2</v>
      </c>
      <c r="L45" s="19">
        <f t="shared" si="7"/>
        <v>100</v>
      </c>
      <c r="M45" s="49">
        <v>7</v>
      </c>
      <c r="N45" s="49">
        <v>7</v>
      </c>
      <c r="O45" s="19">
        <f t="shared" si="8"/>
        <v>100</v>
      </c>
      <c r="P45" s="10">
        <v>7</v>
      </c>
      <c r="Q45" s="10">
        <v>6</v>
      </c>
      <c r="R45" s="19">
        <f t="shared" si="9"/>
        <v>85.714285714285708</v>
      </c>
      <c r="S45" s="49">
        <v>3</v>
      </c>
      <c r="T45" s="49">
        <v>2</v>
      </c>
      <c r="U45" s="19">
        <f t="shared" si="10"/>
        <v>66.666666666666657</v>
      </c>
      <c r="V45" s="10">
        <v>3</v>
      </c>
      <c r="W45" s="10">
        <v>2</v>
      </c>
      <c r="X45" s="19">
        <f t="shared" si="0"/>
        <v>66.666666666666657</v>
      </c>
      <c r="Y45" s="49">
        <v>1</v>
      </c>
      <c r="Z45" s="49">
        <v>1</v>
      </c>
      <c r="AA45" s="49">
        <f t="shared" si="11"/>
        <v>100</v>
      </c>
      <c r="AB45" s="10">
        <v>7</v>
      </c>
      <c r="AC45" s="10">
        <v>6</v>
      </c>
      <c r="AD45" s="19">
        <f t="shared" si="1"/>
        <v>85.714285714285708</v>
      </c>
      <c r="AE45" s="49">
        <v>2</v>
      </c>
      <c r="AF45" s="49">
        <v>2</v>
      </c>
      <c r="AG45" s="19">
        <f t="shared" si="2"/>
        <v>100</v>
      </c>
      <c r="AH45" s="10">
        <v>5</v>
      </c>
      <c r="AI45" s="10">
        <v>3</v>
      </c>
      <c r="AJ45" s="19">
        <f t="shared" si="3"/>
        <v>60</v>
      </c>
      <c r="AK45" s="49">
        <v>3</v>
      </c>
      <c r="AL45" s="10">
        <v>2</v>
      </c>
      <c r="AM45" s="19">
        <f t="shared" si="4"/>
        <v>66.666666666666657</v>
      </c>
      <c r="AN45" s="10">
        <v>8</v>
      </c>
      <c r="AO45" s="16">
        <v>8</v>
      </c>
      <c r="AP45" s="19">
        <f t="shared" si="12"/>
        <v>100</v>
      </c>
      <c r="AQ45" s="49">
        <v>3</v>
      </c>
      <c r="AR45" s="16">
        <v>3</v>
      </c>
      <c r="AS45" s="19">
        <f t="shared" si="13"/>
        <v>100</v>
      </c>
      <c r="AT45" s="10">
        <f t="shared" si="14"/>
        <v>34</v>
      </c>
      <c r="AU45" s="10">
        <f t="shared" si="15"/>
        <v>28</v>
      </c>
      <c r="AV45" s="26">
        <f t="shared" si="16"/>
        <v>82.35294117647058</v>
      </c>
      <c r="AW45" s="10">
        <f t="shared" si="17"/>
        <v>21</v>
      </c>
      <c r="AX45" s="10">
        <f t="shared" si="17"/>
        <v>18</v>
      </c>
      <c r="AY45" s="26">
        <f t="shared" si="18"/>
        <v>85.714285714285708</v>
      </c>
      <c r="AZ45" s="10">
        <f t="shared" si="19"/>
        <v>55</v>
      </c>
      <c r="BA45" s="10">
        <f t="shared" si="20"/>
        <v>46</v>
      </c>
      <c r="BB45" s="26">
        <f t="shared" si="21"/>
        <v>83.636363636363626</v>
      </c>
    </row>
    <row r="46" spans="1:54" s="47" customFormat="1">
      <c r="A46" s="48">
        <v>40</v>
      </c>
      <c r="B46" s="49">
        <v>1230321037</v>
      </c>
      <c r="C46" s="50" t="s">
        <v>62</v>
      </c>
      <c r="D46" s="10">
        <v>2</v>
      </c>
      <c r="E46" s="10">
        <v>2</v>
      </c>
      <c r="F46" s="19">
        <f t="shared" si="5"/>
        <v>100</v>
      </c>
      <c r="G46" s="49">
        <v>2</v>
      </c>
      <c r="H46" s="49">
        <v>2</v>
      </c>
      <c r="I46" s="19">
        <f t="shared" si="6"/>
        <v>100</v>
      </c>
      <c r="J46" s="10">
        <v>2</v>
      </c>
      <c r="K46" s="10">
        <v>1</v>
      </c>
      <c r="L46" s="19">
        <f t="shared" si="7"/>
        <v>50</v>
      </c>
      <c r="M46" s="49">
        <v>7</v>
      </c>
      <c r="N46" s="49">
        <v>7</v>
      </c>
      <c r="O46" s="19">
        <f t="shared" si="8"/>
        <v>100</v>
      </c>
      <c r="P46" s="10">
        <v>7</v>
      </c>
      <c r="Q46" s="10">
        <v>5</v>
      </c>
      <c r="R46" s="19">
        <f t="shared" si="9"/>
        <v>71.428571428571431</v>
      </c>
      <c r="S46" s="49">
        <v>3</v>
      </c>
      <c r="T46" s="49">
        <v>3</v>
      </c>
      <c r="U46" s="19">
        <f t="shared" si="10"/>
        <v>100</v>
      </c>
      <c r="V46" s="10">
        <v>3</v>
      </c>
      <c r="W46" s="10">
        <v>2</v>
      </c>
      <c r="X46" s="19">
        <f t="shared" si="0"/>
        <v>66.666666666666657</v>
      </c>
      <c r="Y46" s="49">
        <v>1</v>
      </c>
      <c r="Z46" s="49">
        <v>1</v>
      </c>
      <c r="AA46" s="49">
        <f t="shared" si="11"/>
        <v>100</v>
      </c>
      <c r="AB46" s="10">
        <v>7</v>
      </c>
      <c r="AC46" s="10">
        <v>6</v>
      </c>
      <c r="AD46" s="19">
        <f t="shared" si="1"/>
        <v>85.714285714285708</v>
      </c>
      <c r="AE46" s="49">
        <v>2</v>
      </c>
      <c r="AF46" s="49">
        <v>2</v>
      </c>
      <c r="AG46" s="19">
        <f t="shared" si="2"/>
        <v>100</v>
      </c>
      <c r="AH46" s="10">
        <v>5</v>
      </c>
      <c r="AI46" s="10">
        <v>3</v>
      </c>
      <c r="AJ46" s="19">
        <f t="shared" si="3"/>
        <v>60</v>
      </c>
      <c r="AK46" s="49">
        <v>3</v>
      </c>
      <c r="AL46" s="10">
        <v>2</v>
      </c>
      <c r="AM46" s="19">
        <f t="shared" si="4"/>
        <v>66.666666666666657</v>
      </c>
      <c r="AN46" s="10">
        <v>8</v>
      </c>
      <c r="AO46" s="16">
        <v>7</v>
      </c>
      <c r="AP46" s="19">
        <f t="shared" si="12"/>
        <v>87.5</v>
      </c>
      <c r="AQ46" s="49">
        <v>3</v>
      </c>
      <c r="AR46" s="16">
        <v>2</v>
      </c>
      <c r="AS46" s="19">
        <f t="shared" si="13"/>
        <v>66.666666666666657</v>
      </c>
      <c r="AT46" s="10">
        <f t="shared" si="14"/>
        <v>34</v>
      </c>
      <c r="AU46" s="10">
        <f t="shared" si="15"/>
        <v>26</v>
      </c>
      <c r="AV46" s="26">
        <f t="shared" si="16"/>
        <v>76.470588235294116</v>
      </c>
      <c r="AW46" s="10">
        <f t="shared" si="17"/>
        <v>21</v>
      </c>
      <c r="AX46" s="10">
        <f t="shared" si="17"/>
        <v>19</v>
      </c>
      <c r="AY46" s="26">
        <f t="shared" si="18"/>
        <v>90.476190476190482</v>
      </c>
      <c r="AZ46" s="10">
        <f t="shared" si="19"/>
        <v>55</v>
      </c>
      <c r="BA46" s="10">
        <f t="shared" si="20"/>
        <v>45</v>
      </c>
      <c r="BB46" s="26">
        <f t="shared" si="21"/>
        <v>81.818181818181827</v>
      </c>
    </row>
    <row r="47" spans="1:54" s="47" customFormat="1">
      <c r="A47" s="48">
        <v>41</v>
      </c>
      <c r="B47" s="49">
        <v>1230321038</v>
      </c>
      <c r="C47" s="50" t="s">
        <v>63</v>
      </c>
      <c r="D47" s="10">
        <v>2</v>
      </c>
      <c r="E47" s="10">
        <v>0</v>
      </c>
      <c r="F47" s="19">
        <f t="shared" si="5"/>
        <v>0</v>
      </c>
      <c r="G47" s="49">
        <v>2</v>
      </c>
      <c r="H47" s="49">
        <v>0</v>
      </c>
      <c r="I47" s="19">
        <f t="shared" si="6"/>
        <v>0</v>
      </c>
      <c r="J47" s="10">
        <v>2</v>
      </c>
      <c r="K47" s="10">
        <v>0</v>
      </c>
      <c r="L47" s="19">
        <f t="shared" si="7"/>
        <v>0</v>
      </c>
      <c r="M47" s="49">
        <v>7</v>
      </c>
      <c r="N47" s="49">
        <v>1</v>
      </c>
      <c r="O47" s="19">
        <f t="shared" si="8"/>
        <v>14.285714285714285</v>
      </c>
      <c r="P47" s="10">
        <v>7</v>
      </c>
      <c r="Q47" s="10">
        <v>3</v>
      </c>
      <c r="R47" s="19">
        <f t="shared" si="9"/>
        <v>42.857142857142854</v>
      </c>
      <c r="S47" s="49">
        <v>3</v>
      </c>
      <c r="T47" s="49">
        <v>1</v>
      </c>
      <c r="U47" s="19">
        <f t="shared" si="10"/>
        <v>33.333333333333329</v>
      </c>
      <c r="V47" s="10">
        <v>3</v>
      </c>
      <c r="W47" s="10">
        <v>1</v>
      </c>
      <c r="X47" s="19">
        <f t="shared" si="0"/>
        <v>33.333333333333329</v>
      </c>
      <c r="Y47" s="49">
        <v>1</v>
      </c>
      <c r="Z47" s="49">
        <v>1</v>
      </c>
      <c r="AA47" s="49">
        <f t="shared" si="11"/>
        <v>100</v>
      </c>
      <c r="AB47" s="10">
        <v>7</v>
      </c>
      <c r="AC47" s="10">
        <v>3</v>
      </c>
      <c r="AD47" s="19">
        <f t="shared" si="1"/>
        <v>42.857142857142854</v>
      </c>
      <c r="AE47" s="49">
        <v>2</v>
      </c>
      <c r="AF47" s="49">
        <v>1</v>
      </c>
      <c r="AG47" s="19">
        <f t="shared" si="2"/>
        <v>50</v>
      </c>
      <c r="AH47" s="10">
        <v>5</v>
      </c>
      <c r="AI47" s="10">
        <v>2</v>
      </c>
      <c r="AJ47" s="19">
        <f t="shared" si="3"/>
        <v>40</v>
      </c>
      <c r="AK47" s="49">
        <v>3</v>
      </c>
      <c r="AL47" s="10">
        <v>1</v>
      </c>
      <c r="AM47" s="19">
        <f t="shared" si="4"/>
        <v>33.333333333333329</v>
      </c>
      <c r="AN47" s="10">
        <v>8</v>
      </c>
      <c r="AO47" s="16">
        <v>4</v>
      </c>
      <c r="AP47" s="19">
        <f t="shared" si="12"/>
        <v>50</v>
      </c>
      <c r="AQ47" s="49">
        <v>3</v>
      </c>
      <c r="AR47" s="16">
        <v>1</v>
      </c>
      <c r="AS47" s="19">
        <f t="shared" si="13"/>
        <v>33.333333333333329</v>
      </c>
      <c r="AT47" s="10">
        <f t="shared" si="14"/>
        <v>34</v>
      </c>
      <c r="AU47" s="10">
        <f t="shared" si="15"/>
        <v>13</v>
      </c>
      <c r="AV47" s="26">
        <f t="shared" si="16"/>
        <v>38.235294117647058</v>
      </c>
      <c r="AW47" s="10">
        <f t="shared" si="17"/>
        <v>21</v>
      </c>
      <c r="AX47" s="10">
        <f t="shared" si="17"/>
        <v>6</v>
      </c>
      <c r="AY47" s="26">
        <f t="shared" si="18"/>
        <v>28.571428571428569</v>
      </c>
      <c r="AZ47" s="10">
        <f t="shared" si="19"/>
        <v>55</v>
      </c>
      <c r="BA47" s="10">
        <f t="shared" si="20"/>
        <v>19</v>
      </c>
      <c r="BB47" s="26">
        <f t="shared" si="21"/>
        <v>34.545454545454547</v>
      </c>
    </row>
    <row r="48" spans="1:54" s="47" customFormat="1">
      <c r="A48" s="48">
        <v>42</v>
      </c>
      <c r="B48" s="49">
        <v>1230321039</v>
      </c>
      <c r="C48" s="50" t="s">
        <v>64</v>
      </c>
      <c r="D48" s="10">
        <v>2</v>
      </c>
      <c r="E48" s="10">
        <v>0</v>
      </c>
      <c r="F48" s="19">
        <f t="shared" si="5"/>
        <v>0</v>
      </c>
      <c r="G48" s="49">
        <v>2</v>
      </c>
      <c r="H48" s="49">
        <v>0</v>
      </c>
      <c r="I48" s="19">
        <f t="shared" si="6"/>
        <v>0</v>
      </c>
      <c r="J48" s="10">
        <v>2</v>
      </c>
      <c r="K48" s="10">
        <v>1</v>
      </c>
      <c r="L48" s="19">
        <f t="shared" si="7"/>
        <v>50</v>
      </c>
      <c r="M48" s="49">
        <v>7</v>
      </c>
      <c r="N48" s="49">
        <v>3</v>
      </c>
      <c r="O48" s="19">
        <f t="shared" si="8"/>
        <v>42.857142857142854</v>
      </c>
      <c r="P48" s="10">
        <v>7</v>
      </c>
      <c r="Q48" s="10">
        <v>3</v>
      </c>
      <c r="R48" s="19">
        <f t="shared" si="9"/>
        <v>42.857142857142854</v>
      </c>
      <c r="S48" s="49">
        <v>3</v>
      </c>
      <c r="T48" s="49">
        <v>1</v>
      </c>
      <c r="U48" s="19">
        <f t="shared" si="10"/>
        <v>33.333333333333329</v>
      </c>
      <c r="V48" s="10">
        <v>3</v>
      </c>
      <c r="W48" s="10">
        <v>1</v>
      </c>
      <c r="X48" s="19">
        <f t="shared" si="0"/>
        <v>33.333333333333329</v>
      </c>
      <c r="Y48" s="49">
        <v>1</v>
      </c>
      <c r="Z48" s="49">
        <v>1</v>
      </c>
      <c r="AA48" s="49">
        <f t="shared" si="11"/>
        <v>100</v>
      </c>
      <c r="AB48" s="10">
        <v>7</v>
      </c>
      <c r="AC48" s="10">
        <v>6</v>
      </c>
      <c r="AD48" s="19">
        <f t="shared" si="1"/>
        <v>85.714285714285708</v>
      </c>
      <c r="AE48" s="49">
        <v>2</v>
      </c>
      <c r="AF48" s="49">
        <v>2</v>
      </c>
      <c r="AG48" s="19">
        <f t="shared" si="2"/>
        <v>100</v>
      </c>
      <c r="AH48" s="10">
        <v>5</v>
      </c>
      <c r="AI48" s="10">
        <v>5</v>
      </c>
      <c r="AJ48" s="19">
        <f t="shared" si="3"/>
        <v>100</v>
      </c>
      <c r="AK48" s="49">
        <v>3</v>
      </c>
      <c r="AL48" s="10">
        <v>3</v>
      </c>
      <c r="AM48" s="19">
        <f t="shared" si="4"/>
        <v>100</v>
      </c>
      <c r="AN48" s="10">
        <v>8</v>
      </c>
      <c r="AO48" s="16">
        <v>5</v>
      </c>
      <c r="AP48" s="19">
        <f t="shared" si="12"/>
        <v>62.5</v>
      </c>
      <c r="AQ48" s="49">
        <v>3</v>
      </c>
      <c r="AR48" s="16">
        <v>1</v>
      </c>
      <c r="AS48" s="19">
        <f t="shared" si="13"/>
        <v>33.333333333333329</v>
      </c>
      <c r="AT48" s="10">
        <f t="shared" si="14"/>
        <v>34</v>
      </c>
      <c r="AU48" s="10">
        <f t="shared" si="15"/>
        <v>21</v>
      </c>
      <c r="AV48" s="26">
        <f t="shared" si="16"/>
        <v>61.764705882352942</v>
      </c>
      <c r="AW48" s="10">
        <f t="shared" si="17"/>
        <v>21</v>
      </c>
      <c r="AX48" s="10">
        <f t="shared" si="17"/>
        <v>11</v>
      </c>
      <c r="AY48" s="26">
        <f t="shared" si="18"/>
        <v>52.380952380952387</v>
      </c>
      <c r="AZ48" s="10">
        <f t="shared" si="19"/>
        <v>55</v>
      </c>
      <c r="BA48" s="10">
        <f t="shared" si="20"/>
        <v>32</v>
      </c>
      <c r="BB48" s="26">
        <f t="shared" si="21"/>
        <v>58.18181818181818</v>
      </c>
    </row>
    <row r="49" spans="1:54" s="47" customFormat="1">
      <c r="A49" s="48">
        <v>43</v>
      </c>
      <c r="B49" s="49">
        <v>1230321040</v>
      </c>
      <c r="C49" s="50" t="s">
        <v>65</v>
      </c>
      <c r="D49" s="10">
        <v>2</v>
      </c>
      <c r="E49" s="10">
        <v>1</v>
      </c>
      <c r="F49" s="19">
        <f t="shared" si="5"/>
        <v>50</v>
      </c>
      <c r="G49" s="49">
        <v>2</v>
      </c>
      <c r="H49" s="49">
        <v>1</v>
      </c>
      <c r="I49" s="19">
        <f t="shared" si="6"/>
        <v>50</v>
      </c>
      <c r="J49" s="10">
        <v>2</v>
      </c>
      <c r="K49" s="10">
        <v>1</v>
      </c>
      <c r="L49" s="19">
        <f t="shared" si="7"/>
        <v>50</v>
      </c>
      <c r="M49" s="49">
        <v>7</v>
      </c>
      <c r="N49" s="49">
        <v>5</v>
      </c>
      <c r="O49" s="19">
        <f t="shared" si="8"/>
        <v>71.428571428571431</v>
      </c>
      <c r="P49" s="10">
        <v>7</v>
      </c>
      <c r="Q49" s="10">
        <v>2</v>
      </c>
      <c r="R49" s="19">
        <f t="shared" si="9"/>
        <v>28.571428571428569</v>
      </c>
      <c r="S49" s="49">
        <v>3</v>
      </c>
      <c r="T49" s="49">
        <v>0</v>
      </c>
      <c r="U49" s="19">
        <f t="shared" si="10"/>
        <v>0</v>
      </c>
      <c r="V49" s="10">
        <v>3</v>
      </c>
      <c r="W49" s="10">
        <v>2</v>
      </c>
      <c r="X49" s="19">
        <f t="shared" si="0"/>
        <v>66.666666666666657</v>
      </c>
      <c r="Y49" s="49">
        <v>1</v>
      </c>
      <c r="Z49" s="49">
        <v>1</v>
      </c>
      <c r="AA49" s="49">
        <f t="shared" si="11"/>
        <v>100</v>
      </c>
      <c r="AB49" s="10">
        <v>7</v>
      </c>
      <c r="AC49" s="10">
        <v>6</v>
      </c>
      <c r="AD49" s="19">
        <f t="shared" si="1"/>
        <v>85.714285714285708</v>
      </c>
      <c r="AE49" s="49">
        <v>2</v>
      </c>
      <c r="AF49" s="49">
        <v>2</v>
      </c>
      <c r="AG49" s="19">
        <f t="shared" si="2"/>
        <v>100</v>
      </c>
      <c r="AH49" s="10">
        <v>5</v>
      </c>
      <c r="AI49" s="10">
        <v>5</v>
      </c>
      <c r="AJ49" s="19">
        <f t="shared" si="3"/>
        <v>100</v>
      </c>
      <c r="AK49" s="49">
        <v>3</v>
      </c>
      <c r="AL49" s="10">
        <v>3</v>
      </c>
      <c r="AM49" s="19">
        <f t="shared" si="4"/>
        <v>100</v>
      </c>
      <c r="AN49" s="10">
        <v>8</v>
      </c>
      <c r="AO49" s="16">
        <v>3</v>
      </c>
      <c r="AP49" s="19">
        <f t="shared" si="12"/>
        <v>37.5</v>
      </c>
      <c r="AQ49" s="49">
        <v>3</v>
      </c>
      <c r="AR49" s="16">
        <v>0</v>
      </c>
      <c r="AS49" s="19">
        <f t="shared" si="13"/>
        <v>0</v>
      </c>
      <c r="AT49" s="10">
        <f t="shared" si="14"/>
        <v>34</v>
      </c>
      <c r="AU49" s="10">
        <f t="shared" si="15"/>
        <v>20</v>
      </c>
      <c r="AV49" s="26">
        <f t="shared" si="16"/>
        <v>58.82352941176471</v>
      </c>
      <c r="AW49" s="10">
        <f t="shared" si="17"/>
        <v>21</v>
      </c>
      <c r="AX49" s="10">
        <f t="shared" si="17"/>
        <v>12</v>
      </c>
      <c r="AY49" s="26">
        <f t="shared" si="18"/>
        <v>57.142857142857139</v>
      </c>
      <c r="AZ49" s="10">
        <f t="shared" si="19"/>
        <v>55</v>
      </c>
      <c r="BA49" s="10">
        <f t="shared" si="20"/>
        <v>32</v>
      </c>
      <c r="BB49" s="26">
        <f t="shared" si="21"/>
        <v>58.18181818181818</v>
      </c>
    </row>
    <row r="50" spans="1:54" s="51" customFormat="1">
      <c r="A50" s="48">
        <v>44</v>
      </c>
      <c r="B50" s="49">
        <v>1230321041</v>
      </c>
      <c r="C50" s="50" t="s">
        <v>66</v>
      </c>
      <c r="D50" s="10">
        <v>2</v>
      </c>
      <c r="E50" s="49">
        <v>1</v>
      </c>
      <c r="F50" s="19">
        <f t="shared" si="5"/>
        <v>50</v>
      </c>
      <c r="G50" s="49">
        <v>2</v>
      </c>
      <c r="H50" s="49">
        <v>1</v>
      </c>
      <c r="I50" s="19">
        <f t="shared" si="6"/>
        <v>50</v>
      </c>
      <c r="J50" s="49">
        <v>2</v>
      </c>
      <c r="K50" s="49">
        <v>2</v>
      </c>
      <c r="L50" s="19">
        <f t="shared" si="7"/>
        <v>100</v>
      </c>
      <c r="M50" s="49">
        <v>7</v>
      </c>
      <c r="N50" s="49">
        <v>4</v>
      </c>
      <c r="O50" s="19">
        <f t="shared" si="8"/>
        <v>57.142857142857139</v>
      </c>
      <c r="P50" s="10">
        <v>7</v>
      </c>
      <c r="Q50" s="49">
        <v>6</v>
      </c>
      <c r="R50" s="19">
        <f t="shared" si="9"/>
        <v>85.714285714285708</v>
      </c>
      <c r="S50" s="49">
        <v>3</v>
      </c>
      <c r="T50" s="49">
        <v>3</v>
      </c>
      <c r="U50" s="19">
        <f t="shared" si="10"/>
        <v>100</v>
      </c>
      <c r="V50" s="10">
        <v>3</v>
      </c>
      <c r="W50" s="49">
        <v>2</v>
      </c>
      <c r="X50" s="19">
        <f t="shared" si="0"/>
        <v>66.666666666666657</v>
      </c>
      <c r="Y50" s="49">
        <v>1</v>
      </c>
      <c r="Z50" s="49">
        <v>1</v>
      </c>
      <c r="AA50" s="49">
        <f t="shared" si="11"/>
        <v>100</v>
      </c>
      <c r="AB50" s="10">
        <v>7</v>
      </c>
      <c r="AC50" s="49">
        <v>7</v>
      </c>
      <c r="AD50" s="19">
        <f t="shared" si="1"/>
        <v>100</v>
      </c>
      <c r="AE50" s="49">
        <v>2</v>
      </c>
      <c r="AF50" s="49">
        <v>2</v>
      </c>
      <c r="AG50" s="19">
        <f t="shared" si="2"/>
        <v>100</v>
      </c>
      <c r="AH50" s="10">
        <v>5</v>
      </c>
      <c r="AI50" s="49">
        <v>2</v>
      </c>
      <c r="AJ50" s="19">
        <f t="shared" si="3"/>
        <v>40</v>
      </c>
      <c r="AK50" s="49">
        <v>3</v>
      </c>
      <c r="AL50" s="10">
        <v>1</v>
      </c>
      <c r="AM50" s="19">
        <f t="shared" si="4"/>
        <v>33.333333333333329</v>
      </c>
      <c r="AN50" s="10">
        <v>8</v>
      </c>
      <c r="AO50" s="16">
        <v>7</v>
      </c>
      <c r="AP50" s="19">
        <f t="shared" si="12"/>
        <v>87.5</v>
      </c>
      <c r="AQ50" s="49">
        <v>3</v>
      </c>
      <c r="AR50" s="16">
        <v>2</v>
      </c>
      <c r="AS50" s="19">
        <f t="shared" si="13"/>
        <v>66.666666666666657</v>
      </c>
      <c r="AT50" s="10">
        <f t="shared" si="14"/>
        <v>34</v>
      </c>
      <c r="AU50" s="10">
        <f t="shared" si="15"/>
        <v>27</v>
      </c>
      <c r="AV50" s="26">
        <f t="shared" si="16"/>
        <v>79.411764705882348</v>
      </c>
      <c r="AW50" s="10">
        <f t="shared" si="17"/>
        <v>21</v>
      </c>
      <c r="AX50" s="10">
        <f t="shared" si="17"/>
        <v>14</v>
      </c>
      <c r="AY50" s="26">
        <f t="shared" si="18"/>
        <v>66.666666666666657</v>
      </c>
      <c r="AZ50" s="10">
        <f t="shared" si="19"/>
        <v>55</v>
      </c>
      <c r="BA50" s="10">
        <f t="shared" si="20"/>
        <v>41</v>
      </c>
      <c r="BB50" s="26">
        <f t="shared" si="21"/>
        <v>74.545454545454547</v>
      </c>
    </row>
    <row r="51" spans="1:54" s="51" customFormat="1">
      <c r="A51" s="48">
        <v>45</v>
      </c>
      <c r="B51" s="49">
        <v>1230321042</v>
      </c>
      <c r="C51" s="50" t="s">
        <v>67</v>
      </c>
      <c r="D51" s="10">
        <v>2</v>
      </c>
      <c r="E51" s="49">
        <v>2</v>
      </c>
      <c r="F51" s="19">
        <f t="shared" si="5"/>
        <v>100</v>
      </c>
      <c r="G51" s="49">
        <v>2</v>
      </c>
      <c r="H51" s="49">
        <v>2</v>
      </c>
      <c r="I51" s="19">
        <f t="shared" si="6"/>
        <v>100</v>
      </c>
      <c r="J51" s="49">
        <v>2</v>
      </c>
      <c r="K51" s="49">
        <v>1</v>
      </c>
      <c r="L51" s="19">
        <f t="shared" si="7"/>
        <v>50</v>
      </c>
      <c r="M51" s="49">
        <v>7</v>
      </c>
      <c r="N51" s="49">
        <v>5</v>
      </c>
      <c r="O51" s="19">
        <f t="shared" si="8"/>
        <v>71.428571428571431</v>
      </c>
      <c r="P51" s="10">
        <v>7</v>
      </c>
      <c r="Q51" s="49">
        <v>6</v>
      </c>
      <c r="R51" s="19">
        <f t="shared" si="9"/>
        <v>85.714285714285708</v>
      </c>
      <c r="S51" s="49">
        <v>3</v>
      </c>
      <c r="T51" s="49">
        <v>2</v>
      </c>
      <c r="U51" s="19">
        <f t="shared" si="10"/>
        <v>66.666666666666657</v>
      </c>
      <c r="V51" s="10">
        <v>3</v>
      </c>
      <c r="W51" s="49">
        <v>2</v>
      </c>
      <c r="X51" s="19">
        <f t="shared" si="0"/>
        <v>66.666666666666657</v>
      </c>
      <c r="Y51" s="49">
        <v>1</v>
      </c>
      <c r="Z51" s="49">
        <v>1</v>
      </c>
      <c r="AA51" s="49">
        <f t="shared" si="11"/>
        <v>100</v>
      </c>
      <c r="AB51" s="10">
        <v>7</v>
      </c>
      <c r="AC51" s="49">
        <v>7</v>
      </c>
      <c r="AD51" s="19">
        <f t="shared" si="1"/>
        <v>100</v>
      </c>
      <c r="AE51" s="49">
        <v>2</v>
      </c>
      <c r="AF51" s="49">
        <v>2</v>
      </c>
      <c r="AG51" s="19">
        <f t="shared" si="2"/>
        <v>100</v>
      </c>
      <c r="AH51" s="10">
        <v>5</v>
      </c>
      <c r="AI51" s="49">
        <v>5</v>
      </c>
      <c r="AJ51" s="19">
        <f t="shared" si="3"/>
        <v>100</v>
      </c>
      <c r="AK51" s="49">
        <v>3</v>
      </c>
      <c r="AL51" s="10">
        <v>3</v>
      </c>
      <c r="AM51" s="19">
        <f t="shared" si="4"/>
        <v>100</v>
      </c>
      <c r="AN51" s="10">
        <v>8</v>
      </c>
      <c r="AO51" s="16">
        <v>8</v>
      </c>
      <c r="AP51" s="19">
        <f t="shared" si="12"/>
        <v>100</v>
      </c>
      <c r="AQ51" s="49">
        <v>3</v>
      </c>
      <c r="AR51" s="16">
        <v>3</v>
      </c>
      <c r="AS51" s="19">
        <f t="shared" si="13"/>
        <v>100</v>
      </c>
      <c r="AT51" s="10">
        <f t="shared" si="14"/>
        <v>34</v>
      </c>
      <c r="AU51" s="10">
        <f t="shared" si="15"/>
        <v>31</v>
      </c>
      <c r="AV51" s="26">
        <f t="shared" si="16"/>
        <v>91.17647058823529</v>
      </c>
      <c r="AW51" s="10">
        <f t="shared" si="17"/>
        <v>21</v>
      </c>
      <c r="AX51" s="10">
        <f t="shared" si="17"/>
        <v>18</v>
      </c>
      <c r="AY51" s="26">
        <f t="shared" si="18"/>
        <v>85.714285714285708</v>
      </c>
      <c r="AZ51" s="10">
        <f t="shared" si="19"/>
        <v>55</v>
      </c>
      <c r="BA51" s="10">
        <f t="shared" si="20"/>
        <v>49</v>
      </c>
      <c r="BB51" s="26">
        <f t="shared" si="21"/>
        <v>89.090909090909093</v>
      </c>
    </row>
    <row r="52" spans="1:54" s="51" customFormat="1">
      <c r="A52" s="48">
        <v>46</v>
      </c>
      <c r="B52" s="49">
        <v>1230321043</v>
      </c>
      <c r="C52" s="50" t="s">
        <v>68</v>
      </c>
      <c r="D52" s="10">
        <v>2</v>
      </c>
      <c r="E52" s="49">
        <v>1</v>
      </c>
      <c r="F52" s="19">
        <f t="shared" si="5"/>
        <v>50</v>
      </c>
      <c r="G52" s="49">
        <v>2</v>
      </c>
      <c r="H52" s="49">
        <v>1</v>
      </c>
      <c r="I52" s="19">
        <f t="shared" si="6"/>
        <v>50</v>
      </c>
      <c r="J52" s="49">
        <v>2</v>
      </c>
      <c r="K52" s="49">
        <v>1</v>
      </c>
      <c r="L52" s="19">
        <f t="shared" si="7"/>
        <v>50</v>
      </c>
      <c r="M52" s="49">
        <v>7</v>
      </c>
      <c r="N52" s="49">
        <v>4</v>
      </c>
      <c r="O52" s="19">
        <f t="shared" si="8"/>
        <v>57.142857142857139</v>
      </c>
      <c r="P52" s="10">
        <v>7</v>
      </c>
      <c r="Q52" s="49">
        <v>5</v>
      </c>
      <c r="R52" s="19">
        <f t="shared" si="9"/>
        <v>71.428571428571431</v>
      </c>
      <c r="S52" s="49">
        <v>3</v>
      </c>
      <c r="T52" s="49">
        <v>1</v>
      </c>
      <c r="U52" s="19">
        <f t="shared" si="10"/>
        <v>33.333333333333329</v>
      </c>
      <c r="V52" s="10">
        <v>3</v>
      </c>
      <c r="W52" s="49">
        <v>1</v>
      </c>
      <c r="X52" s="19">
        <f t="shared" si="0"/>
        <v>33.333333333333329</v>
      </c>
      <c r="Y52" s="49">
        <v>1</v>
      </c>
      <c r="Z52" s="49">
        <v>1</v>
      </c>
      <c r="AA52" s="49">
        <f t="shared" si="11"/>
        <v>100</v>
      </c>
      <c r="AB52" s="10">
        <v>7</v>
      </c>
      <c r="AC52" s="49">
        <v>6</v>
      </c>
      <c r="AD52" s="19">
        <f t="shared" si="1"/>
        <v>85.714285714285708</v>
      </c>
      <c r="AE52" s="49">
        <v>2</v>
      </c>
      <c r="AF52" s="49">
        <v>2</v>
      </c>
      <c r="AG52" s="19">
        <f t="shared" si="2"/>
        <v>100</v>
      </c>
      <c r="AH52" s="10">
        <v>5</v>
      </c>
      <c r="AI52" s="49">
        <v>2</v>
      </c>
      <c r="AJ52" s="19">
        <f t="shared" si="3"/>
        <v>40</v>
      </c>
      <c r="AK52" s="49">
        <v>3</v>
      </c>
      <c r="AL52" s="10">
        <v>2</v>
      </c>
      <c r="AM52" s="19">
        <f t="shared" si="4"/>
        <v>66.666666666666657</v>
      </c>
      <c r="AN52" s="10">
        <v>8</v>
      </c>
      <c r="AO52" s="16">
        <v>4</v>
      </c>
      <c r="AP52" s="19">
        <f t="shared" si="12"/>
        <v>50</v>
      </c>
      <c r="AQ52" s="49">
        <v>3</v>
      </c>
      <c r="AR52" s="16">
        <v>1</v>
      </c>
      <c r="AS52" s="19">
        <f t="shared" si="13"/>
        <v>33.333333333333329</v>
      </c>
      <c r="AT52" s="10">
        <f t="shared" si="14"/>
        <v>34</v>
      </c>
      <c r="AU52" s="10">
        <f t="shared" si="15"/>
        <v>20</v>
      </c>
      <c r="AV52" s="26">
        <f t="shared" si="16"/>
        <v>58.82352941176471</v>
      </c>
      <c r="AW52" s="10">
        <f t="shared" si="17"/>
        <v>21</v>
      </c>
      <c r="AX52" s="10">
        <f t="shared" si="17"/>
        <v>12</v>
      </c>
      <c r="AY52" s="26">
        <f t="shared" si="18"/>
        <v>57.142857142857139</v>
      </c>
      <c r="AZ52" s="10">
        <f t="shared" si="19"/>
        <v>55</v>
      </c>
      <c r="BA52" s="10">
        <f t="shared" si="20"/>
        <v>32</v>
      </c>
      <c r="BB52" s="26">
        <f t="shared" si="21"/>
        <v>58.18181818181818</v>
      </c>
    </row>
    <row r="53" spans="1:54" s="51" customFormat="1">
      <c r="A53" s="48">
        <v>47</v>
      </c>
      <c r="B53" s="49">
        <v>1230321044</v>
      </c>
      <c r="C53" s="50" t="s">
        <v>69</v>
      </c>
      <c r="D53" s="10">
        <v>2</v>
      </c>
      <c r="E53" s="49">
        <v>1</v>
      </c>
      <c r="F53" s="19">
        <f t="shared" si="5"/>
        <v>50</v>
      </c>
      <c r="G53" s="49">
        <v>2</v>
      </c>
      <c r="H53" s="49">
        <v>1</v>
      </c>
      <c r="I53" s="19">
        <f t="shared" si="6"/>
        <v>50</v>
      </c>
      <c r="J53" s="49">
        <v>2</v>
      </c>
      <c r="K53" s="49">
        <v>1</v>
      </c>
      <c r="L53" s="19">
        <f t="shared" si="7"/>
        <v>50</v>
      </c>
      <c r="M53" s="49">
        <v>7</v>
      </c>
      <c r="N53" s="49">
        <v>5</v>
      </c>
      <c r="O53" s="19">
        <f t="shared" si="8"/>
        <v>71.428571428571431</v>
      </c>
      <c r="P53" s="10">
        <v>7</v>
      </c>
      <c r="Q53" s="49">
        <v>5</v>
      </c>
      <c r="R53" s="19">
        <f t="shared" si="9"/>
        <v>71.428571428571431</v>
      </c>
      <c r="S53" s="49">
        <v>3</v>
      </c>
      <c r="T53" s="49">
        <v>2</v>
      </c>
      <c r="U53" s="19">
        <f t="shared" si="10"/>
        <v>66.666666666666657</v>
      </c>
      <c r="V53" s="10">
        <v>3</v>
      </c>
      <c r="W53" s="49">
        <v>2</v>
      </c>
      <c r="X53" s="19">
        <f t="shared" si="0"/>
        <v>66.666666666666657</v>
      </c>
      <c r="Y53" s="49">
        <v>1</v>
      </c>
      <c r="Z53" s="49">
        <v>1</v>
      </c>
      <c r="AA53" s="49">
        <f t="shared" si="11"/>
        <v>100</v>
      </c>
      <c r="AB53" s="10">
        <v>7</v>
      </c>
      <c r="AC53" s="49">
        <v>7</v>
      </c>
      <c r="AD53" s="19">
        <f t="shared" si="1"/>
        <v>100</v>
      </c>
      <c r="AE53" s="49">
        <v>2</v>
      </c>
      <c r="AF53" s="49">
        <v>2</v>
      </c>
      <c r="AG53" s="19">
        <f t="shared" si="2"/>
        <v>100</v>
      </c>
      <c r="AH53" s="10">
        <v>5</v>
      </c>
      <c r="AI53" s="49">
        <v>2</v>
      </c>
      <c r="AJ53" s="19">
        <f t="shared" si="3"/>
        <v>40</v>
      </c>
      <c r="AK53" s="49">
        <v>3</v>
      </c>
      <c r="AL53" s="10">
        <v>1</v>
      </c>
      <c r="AM53" s="19">
        <f t="shared" si="4"/>
        <v>33.333333333333329</v>
      </c>
      <c r="AN53" s="10">
        <v>8</v>
      </c>
      <c r="AO53" s="16">
        <v>4</v>
      </c>
      <c r="AP53" s="19">
        <f t="shared" si="12"/>
        <v>50</v>
      </c>
      <c r="AQ53" s="49">
        <v>3</v>
      </c>
      <c r="AR53" s="16">
        <v>1</v>
      </c>
      <c r="AS53" s="19">
        <f t="shared" si="13"/>
        <v>33.333333333333329</v>
      </c>
      <c r="AT53" s="10">
        <f t="shared" si="14"/>
        <v>34</v>
      </c>
      <c r="AU53" s="10">
        <f t="shared" si="15"/>
        <v>22</v>
      </c>
      <c r="AV53" s="26">
        <f t="shared" si="16"/>
        <v>64.705882352941174</v>
      </c>
      <c r="AW53" s="10">
        <f t="shared" si="17"/>
        <v>21</v>
      </c>
      <c r="AX53" s="10">
        <f t="shared" si="17"/>
        <v>13</v>
      </c>
      <c r="AY53" s="26">
        <f t="shared" si="18"/>
        <v>61.904761904761905</v>
      </c>
      <c r="AZ53" s="10">
        <f t="shared" si="19"/>
        <v>55</v>
      </c>
      <c r="BA53" s="10">
        <f t="shared" si="20"/>
        <v>35</v>
      </c>
      <c r="BB53" s="26">
        <f t="shared" si="21"/>
        <v>63.636363636363633</v>
      </c>
    </row>
    <row r="54" spans="1:54" s="51" customFormat="1">
      <c r="A54" s="48">
        <v>48</v>
      </c>
      <c r="B54" s="49">
        <v>1230321045</v>
      </c>
      <c r="C54" s="50" t="s">
        <v>70</v>
      </c>
      <c r="D54" s="10">
        <v>2</v>
      </c>
      <c r="E54" s="49">
        <v>1</v>
      </c>
      <c r="F54" s="19">
        <f t="shared" si="5"/>
        <v>50</v>
      </c>
      <c r="G54" s="49">
        <v>2</v>
      </c>
      <c r="H54" s="49">
        <v>1</v>
      </c>
      <c r="I54" s="19">
        <f t="shared" si="6"/>
        <v>50</v>
      </c>
      <c r="J54" s="49">
        <v>2</v>
      </c>
      <c r="K54" s="49">
        <v>1</v>
      </c>
      <c r="L54" s="19">
        <f t="shared" si="7"/>
        <v>50</v>
      </c>
      <c r="M54" s="49">
        <v>7</v>
      </c>
      <c r="N54" s="49">
        <v>5</v>
      </c>
      <c r="O54" s="19">
        <f t="shared" si="8"/>
        <v>71.428571428571431</v>
      </c>
      <c r="P54" s="10">
        <v>7</v>
      </c>
      <c r="Q54" s="49">
        <v>4</v>
      </c>
      <c r="R54" s="19">
        <f t="shared" si="9"/>
        <v>57.142857142857139</v>
      </c>
      <c r="S54" s="49">
        <v>3</v>
      </c>
      <c r="T54" s="49">
        <v>2</v>
      </c>
      <c r="U54" s="19">
        <f t="shared" si="10"/>
        <v>66.666666666666657</v>
      </c>
      <c r="V54" s="10">
        <v>3</v>
      </c>
      <c r="W54" s="49">
        <v>2</v>
      </c>
      <c r="X54" s="19">
        <f t="shared" si="0"/>
        <v>66.666666666666657</v>
      </c>
      <c r="Y54" s="49">
        <v>1</v>
      </c>
      <c r="Z54" s="49">
        <v>1</v>
      </c>
      <c r="AA54" s="49">
        <f t="shared" si="11"/>
        <v>100</v>
      </c>
      <c r="AB54" s="10">
        <v>7</v>
      </c>
      <c r="AC54" s="49">
        <v>6</v>
      </c>
      <c r="AD54" s="19">
        <f t="shared" si="1"/>
        <v>85.714285714285708</v>
      </c>
      <c r="AE54" s="49">
        <v>2</v>
      </c>
      <c r="AF54" s="49">
        <v>2</v>
      </c>
      <c r="AG54" s="19">
        <f t="shared" si="2"/>
        <v>100</v>
      </c>
      <c r="AH54" s="10">
        <v>5</v>
      </c>
      <c r="AI54" s="49">
        <v>4</v>
      </c>
      <c r="AJ54" s="19">
        <f t="shared" si="3"/>
        <v>80</v>
      </c>
      <c r="AK54" s="49">
        <v>3</v>
      </c>
      <c r="AL54" s="10">
        <v>2</v>
      </c>
      <c r="AM54" s="19">
        <f t="shared" si="4"/>
        <v>66.666666666666657</v>
      </c>
      <c r="AN54" s="10">
        <v>8</v>
      </c>
      <c r="AO54" s="16">
        <v>8</v>
      </c>
      <c r="AP54" s="19">
        <f t="shared" si="12"/>
        <v>100</v>
      </c>
      <c r="AQ54" s="49">
        <v>3</v>
      </c>
      <c r="AR54" s="16">
        <v>3</v>
      </c>
      <c r="AS54" s="19">
        <f t="shared" si="13"/>
        <v>100</v>
      </c>
      <c r="AT54" s="10">
        <f t="shared" si="14"/>
        <v>34</v>
      </c>
      <c r="AU54" s="10">
        <f t="shared" si="15"/>
        <v>26</v>
      </c>
      <c r="AV54" s="26">
        <f t="shared" si="16"/>
        <v>76.470588235294116</v>
      </c>
      <c r="AW54" s="10">
        <f t="shared" si="17"/>
        <v>21</v>
      </c>
      <c r="AX54" s="10">
        <f t="shared" si="17"/>
        <v>16</v>
      </c>
      <c r="AY54" s="26">
        <f t="shared" si="18"/>
        <v>76.19047619047619</v>
      </c>
      <c r="AZ54" s="10">
        <f t="shared" si="19"/>
        <v>55</v>
      </c>
      <c r="BA54" s="10">
        <f t="shared" si="20"/>
        <v>42</v>
      </c>
      <c r="BB54" s="26">
        <f t="shared" si="21"/>
        <v>76.363636363636374</v>
      </c>
    </row>
    <row r="55" spans="1:54" s="51" customFormat="1">
      <c r="A55" s="48">
        <v>49</v>
      </c>
      <c r="B55" s="49">
        <v>1230321046</v>
      </c>
      <c r="C55" s="50" t="s">
        <v>71</v>
      </c>
      <c r="D55" s="10">
        <v>2</v>
      </c>
      <c r="E55" s="49">
        <v>1</v>
      </c>
      <c r="F55" s="19">
        <f t="shared" si="5"/>
        <v>50</v>
      </c>
      <c r="G55" s="49">
        <v>2</v>
      </c>
      <c r="H55" s="49">
        <v>1</v>
      </c>
      <c r="I55" s="19">
        <f t="shared" si="6"/>
        <v>50</v>
      </c>
      <c r="J55" s="49">
        <v>2</v>
      </c>
      <c r="K55" s="49">
        <v>0</v>
      </c>
      <c r="L55" s="19">
        <f t="shared" si="7"/>
        <v>0</v>
      </c>
      <c r="M55" s="49">
        <v>7</v>
      </c>
      <c r="N55" s="49">
        <v>3</v>
      </c>
      <c r="O55" s="19">
        <f t="shared" si="8"/>
        <v>42.857142857142854</v>
      </c>
      <c r="P55" s="10">
        <v>7</v>
      </c>
      <c r="Q55" s="49">
        <v>4</v>
      </c>
      <c r="R55" s="19">
        <f t="shared" si="9"/>
        <v>57.142857142857139</v>
      </c>
      <c r="S55" s="49">
        <v>3</v>
      </c>
      <c r="T55" s="49">
        <v>2</v>
      </c>
      <c r="U55" s="19">
        <f t="shared" si="10"/>
        <v>66.666666666666657</v>
      </c>
      <c r="V55" s="10">
        <v>3</v>
      </c>
      <c r="W55" s="49">
        <v>3</v>
      </c>
      <c r="X55" s="19">
        <f t="shared" si="0"/>
        <v>100</v>
      </c>
      <c r="Y55" s="49">
        <v>1</v>
      </c>
      <c r="Z55" s="49">
        <v>1</v>
      </c>
      <c r="AA55" s="49">
        <f t="shared" si="11"/>
        <v>100</v>
      </c>
      <c r="AB55" s="10">
        <v>7</v>
      </c>
      <c r="AC55" s="49">
        <v>6</v>
      </c>
      <c r="AD55" s="19">
        <f t="shared" si="1"/>
        <v>85.714285714285708</v>
      </c>
      <c r="AE55" s="49">
        <v>2</v>
      </c>
      <c r="AF55" s="49">
        <v>1</v>
      </c>
      <c r="AG55" s="19">
        <f t="shared" si="2"/>
        <v>50</v>
      </c>
      <c r="AH55" s="10">
        <v>5</v>
      </c>
      <c r="AI55" s="49">
        <v>1</v>
      </c>
      <c r="AJ55" s="19">
        <f t="shared" si="3"/>
        <v>20</v>
      </c>
      <c r="AK55" s="49">
        <v>3</v>
      </c>
      <c r="AL55" s="10">
        <v>0</v>
      </c>
      <c r="AM55" s="19">
        <f t="shared" si="4"/>
        <v>0</v>
      </c>
      <c r="AN55" s="10">
        <v>8</v>
      </c>
      <c r="AO55" s="16">
        <v>8</v>
      </c>
      <c r="AP55" s="19">
        <f t="shared" si="12"/>
        <v>100</v>
      </c>
      <c r="AQ55" s="49">
        <v>3</v>
      </c>
      <c r="AR55" s="16">
        <v>3</v>
      </c>
      <c r="AS55" s="19">
        <f t="shared" si="13"/>
        <v>100</v>
      </c>
      <c r="AT55" s="10">
        <f t="shared" si="14"/>
        <v>34</v>
      </c>
      <c r="AU55" s="10">
        <f t="shared" si="15"/>
        <v>23</v>
      </c>
      <c r="AV55" s="26">
        <f t="shared" si="16"/>
        <v>67.64705882352942</v>
      </c>
      <c r="AW55" s="10">
        <f t="shared" si="17"/>
        <v>21</v>
      </c>
      <c r="AX55" s="10">
        <f t="shared" si="17"/>
        <v>11</v>
      </c>
      <c r="AY55" s="26">
        <f t="shared" si="18"/>
        <v>52.380952380952387</v>
      </c>
      <c r="AZ55" s="10">
        <f t="shared" si="19"/>
        <v>55</v>
      </c>
      <c r="BA55" s="10">
        <f t="shared" si="20"/>
        <v>34</v>
      </c>
      <c r="BB55" s="26">
        <f t="shared" si="21"/>
        <v>61.818181818181813</v>
      </c>
    </row>
    <row r="56" spans="1:54" s="51" customFormat="1">
      <c r="A56" s="48">
        <v>50</v>
      </c>
      <c r="B56" s="49">
        <v>1230321047</v>
      </c>
      <c r="C56" s="50" t="s">
        <v>72</v>
      </c>
      <c r="D56" s="10">
        <v>2</v>
      </c>
      <c r="E56" s="49">
        <v>1</v>
      </c>
      <c r="F56" s="19">
        <f t="shared" si="5"/>
        <v>50</v>
      </c>
      <c r="G56" s="49">
        <v>2</v>
      </c>
      <c r="H56" s="49">
        <v>1</v>
      </c>
      <c r="I56" s="19">
        <f t="shared" si="6"/>
        <v>50</v>
      </c>
      <c r="J56" s="49">
        <v>2</v>
      </c>
      <c r="K56" s="49">
        <v>2</v>
      </c>
      <c r="L56" s="19">
        <f t="shared" si="7"/>
        <v>100</v>
      </c>
      <c r="M56" s="49">
        <v>7</v>
      </c>
      <c r="N56" s="49">
        <v>3</v>
      </c>
      <c r="O56" s="19">
        <f t="shared" si="8"/>
        <v>42.857142857142854</v>
      </c>
      <c r="P56" s="10">
        <v>7</v>
      </c>
      <c r="Q56" s="49">
        <v>5</v>
      </c>
      <c r="R56" s="19">
        <f t="shared" si="9"/>
        <v>71.428571428571431</v>
      </c>
      <c r="S56" s="49">
        <v>3</v>
      </c>
      <c r="T56" s="49">
        <v>2</v>
      </c>
      <c r="U56" s="19">
        <f t="shared" si="10"/>
        <v>66.666666666666657</v>
      </c>
      <c r="V56" s="10">
        <v>3</v>
      </c>
      <c r="W56" s="49">
        <v>1</v>
      </c>
      <c r="X56" s="19">
        <f t="shared" si="0"/>
        <v>33.333333333333329</v>
      </c>
      <c r="Y56" s="49">
        <v>1</v>
      </c>
      <c r="Z56" s="49">
        <v>1</v>
      </c>
      <c r="AA56" s="49">
        <f t="shared" si="11"/>
        <v>100</v>
      </c>
      <c r="AB56" s="10">
        <v>7</v>
      </c>
      <c r="AC56" s="49">
        <v>5</v>
      </c>
      <c r="AD56" s="19">
        <f t="shared" si="1"/>
        <v>71.428571428571431</v>
      </c>
      <c r="AE56" s="49">
        <v>2</v>
      </c>
      <c r="AF56" s="49">
        <v>2</v>
      </c>
      <c r="AG56" s="19">
        <f t="shared" si="2"/>
        <v>100</v>
      </c>
      <c r="AH56" s="10">
        <v>5</v>
      </c>
      <c r="AI56" s="49">
        <v>4</v>
      </c>
      <c r="AJ56" s="19">
        <f t="shared" si="3"/>
        <v>80</v>
      </c>
      <c r="AK56" s="49">
        <v>3</v>
      </c>
      <c r="AL56" s="10">
        <v>2</v>
      </c>
      <c r="AM56" s="19">
        <f t="shared" si="4"/>
        <v>66.666666666666657</v>
      </c>
      <c r="AN56" s="10">
        <v>8</v>
      </c>
      <c r="AO56" s="16">
        <v>7</v>
      </c>
      <c r="AP56" s="19">
        <f t="shared" si="12"/>
        <v>87.5</v>
      </c>
      <c r="AQ56" s="49">
        <v>3</v>
      </c>
      <c r="AR56" s="16">
        <v>2</v>
      </c>
      <c r="AS56" s="19">
        <f t="shared" si="13"/>
        <v>66.666666666666657</v>
      </c>
      <c r="AT56" s="10">
        <f t="shared" si="14"/>
        <v>34</v>
      </c>
      <c r="AU56" s="10">
        <f t="shared" si="15"/>
        <v>25</v>
      </c>
      <c r="AV56" s="26">
        <f t="shared" si="16"/>
        <v>73.529411764705884</v>
      </c>
      <c r="AW56" s="10">
        <f t="shared" si="17"/>
        <v>21</v>
      </c>
      <c r="AX56" s="10">
        <f t="shared" si="17"/>
        <v>13</v>
      </c>
      <c r="AY56" s="26">
        <f t="shared" si="18"/>
        <v>61.904761904761905</v>
      </c>
      <c r="AZ56" s="10">
        <f t="shared" si="19"/>
        <v>55</v>
      </c>
      <c r="BA56" s="10">
        <f t="shared" si="20"/>
        <v>38</v>
      </c>
      <c r="BB56" s="26">
        <f t="shared" si="21"/>
        <v>69.090909090909093</v>
      </c>
    </row>
    <row r="57" spans="1:54" s="51" customFormat="1">
      <c r="A57" s="48">
        <v>51</v>
      </c>
      <c r="B57" s="49">
        <v>1230321048</v>
      </c>
      <c r="C57" s="50" t="s">
        <v>73</v>
      </c>
      <c r="D57" s="10">
        <v>2</v>
      </c>
      <c r="E57" s="49">
        <v>2</v>
      </c>
      <c r="F57" s="19">
        <f t="shared" si="5"/>
        <v>100</v>
      </c>
      <c r="G57" s="49">
        <v>2</v>
      </c>
      <c r="H57" s="49">
        <v>2</v>
      </c>
      <c r="I57" s="19">
        <f t="shared" si="6"/>
        <v>100</v>
      </c>
      <c r="J57" s="49">
        <v>2</v>
      </c>
      <c r="K57" s="49">
        <v>1</v>
      </c>
      <c r="L57" s="19">
        <f t="shared" si="7"/>
        <v>50</v>
      </c>
      <c r="M57" s="49">
        <v>7</v>
      </c>
      <c r="N57" s="49">
        <v>3</v>
      </c>
      <c r="O57" s="19">
        <f t="shared" si="8"/>
        <v>42.857142857142854</v>
      </c>
      <c r="P57" s="10">
        <v>7</v>
      </c>
      <c r="Q57" s="49">
        <v>7</v>
      </c>
      <c r="R57" s="19">
        <f t="shared" si="9"/>
        <v>100</v>
      </c>
      <c r="S57" s="49">
        <v>3</v>
      </c>
      <c r="T57" s="49">
        <v>3</v>
      </c>
      <c r="U57" s="19">
        <f t="shared" si="10"/>
        <v>100</v>
      </c>
      <c r="V57" s="10">
        <v>3</v>
      </c>
      <c r="W57" s="49">
        <v>3</v>
      </c>
      <c r="X57" s="19">
        <f t="shared" si="0"/>
        <v>100</v>
      </c>
      <c r="Y57" s="49">
        <v>1</v>
      </c>
      <c r="Z57" s="49">
        <v>1</v>
      </c>
      <c r="AA57" s="49">
        <f t="shared" si="11"/>
        <v>100</v>
      </c>
      <c r="AB57" s="10">
        <v>7</v>
      </c>
      <c r="AC57" s="49">
        <v>6</v>
      </c>
      <c r="AD57" s="19">
        <f t="shared" si="1"/>
        <v>85.714285714285708</v>
      </c>
      <c r="AE57" s="49">
        <v>2</v>
      </c>
      <c r="AF57" s="49">
        <v>2</v>
      </c>
      <c r="AG57" s="19">
        <f t="shared" si="2"/>
        <v>100</v>
      </c>
      <c r="AH57" s="10">
        <v>5</v>
      </c>
      <c r="AI57" s="49">
        <v>5</v>
      </c>
      <c r="AJ57" s="19">
        <f t="shared" si="3"/>
        <v>100</v>
      </c>
      <c r="AK57" s="49">
        <v>3</v>
      </c>
      <c r="AL57" s="10">
        <v>3</v>
      </c>
      <c r="AM57" s="19">
        <f t="shared" si="4"/>
        <v>100</v>
      </c>
      <c r="AN57" s="10">
        <v>8</v>
      </c>
      <c r="AO57" s="16">
        <v>5</v>
      </c>
      <c r="AP57" s="19">
        <f t="shared" si="12"/>
        <v>62.5</v>
      </c>
      <c r="AQ57" s="49">
        <v>3</v>
      </c>
      <c r="AR57" s="16">
        <v>2</v>
      </c>
      <c r="AS57" s="19">
        <f t="shared" si="13"/>
        <v>66.666666666666657</v>
      </c>
      <c r="AT57" s="10">
        <f t="shared" si="14"/>
        <v>34</v>
      </c>
      <c r="AU57" s="10">
        <f t="shared" si="15"/>
        <v>29</v>
      </c>
      <c r="AV57" s="26">
        <f t="shared" si="16"/>
        <v>85.294117647058826</v>
      </c>
      <c r="AW57" s="10">
        <f t="shared" si="17"/>
        <v>21</v>
      </c>
      <c r="AX57" s="10">
        <f t="shared" si="17"/>
        <v>16</v>
      </c>
      <c r="AY57" s="26">
        <f t="shared" si="18"/>
        <v>76.19047619047619</v>
      </c>
      <c r="AZ57" s="10">
        <f t="shared" si="19"/>
        <v>55</v>
      </c>
      <c r="BA57" s="10">
        <f t="shared" si="20"/>
        <v>45</v>
      </c>
      <c r="BB57" s="26">
        <f t="shared" si="21"/>
        <v>81.818181818181827</v>
      </c>
    </row>
    <row r="58" spans="1:54" s="51" customFormat="1">
      <c r="A58" s="48">
        <v>52</v>
      </c>
      <c r="B58" s="49">
        <v>1230321049</v>
      </c>
      <c r="C58" s="50" t="s">
        <v>74</v>
      </c>
      <c r="D58" s="10">
        <v>2</v>
      </c>
      <c r="E58" s="49">
        <v>2</v>
      </c>
      <c r="F58" s="19">
        <f t="shared" si="5"/>
        <v>100</v>
      </c>
      <c r="G58" s="49">
        <v>2</v>
      </c>
      <c r="H58" s="49">
        <v>2</v>
      </c>
      <c r="I58" s="19">
        <f t="shared" si="6"/>
        <v>100</v>
      </c>
      <c r="J58" s="49">
        <v>2</v>
      </c>
      <c r="K58" s="49">
        <v>2</v>
      </c>
      <c r="L58" s="19">
        <f t="shared" si="7"/>
        <v>100</v>
      </c>
      <c r="M58" s="49">
        <v>7</v>
      </c>
      <c r="N58" s="49">
        <v>3</v>
      </c>
      <c r="O58" s="19">
        <f t="shared" si="8"/>
        <v>42.857142857142854</v>
      </c>
      <c r="P58" s="10">
        <v>7</v>
      </c>
      <c r="Q58" s="49">
        <v>4</v>
      </c>
      <c r="R58" s="19">
        <f t="shared" si="9"/>
        <v>57.142857142857139</v>
      </c>
      <c r="S58" s="49">
        <v>3</v>
      </c>
      <c r="T58" s="49">
        <v>1</v>
      </c>
      <c r="U58" s="19">
        <f t="shared" si="10"/>
        <v>33.333333333333329</v>
      </c>
      <c r="V58" s="10">
        <v>3</v>
      </c>
      <c r="W58" s="49">
        <v>2</v>
      </c>
      <c r="X58" s="19">
        <f t="shared" si="0"/>
        <v>66.666666666666657</v>
      </c>
      <c r="Y58" s="49">
        <v>1</v>
      </c>
      <c r="Z58" s="49">
        <v>1</v>
      </c>
      <c r="AA58" s="49">
        <f t="shared" si="11"/>
        <v>100</v>
      </c>
      <c r="AB58" s="10">
        <v>7</v>
      </c>
      <c r="AC58" s="49">
        <v>6</v>
      </c>
      <c r="AD58" s="19">
        <f t="shared" si="1"/>
        <v>85.714285714285708</v>
      </c>
      <c r="AE58" s="49">
        <v>2</v>
      </c>
      <c r="AF58" s="49">
        <v>2</v>
      </c>
      <c r="AG58" s="19">
        <f t="shared" si="2"/>
        <v>100</v>
      </c>
      <c r="AH58" s="10">
        <v>5</v>
      </c>
      <c r="AI58" s="49">
        <v>4</v>
      </c>
      <c r="AJ58" s="19">
        <f t="shared" si="3"/>
        <v>80</v>
      </c>
      <c r="AK58" s="49">
        <v>3</v>
      </c>
      <c r="AL58" s="10">
        <v>2</v>
      </c>
      <c r="AM58" s="19">
        <f t="shared" si="4"/>
        <v>66.666666666666657</v>
      </c>
      <c r="AN58" s="10">
        <v>8</v>
      </c>
      <c r="AO58" s="16">
        <v>4</v>
      </c>
      <c r="AP58" s="19">
        <f t="shared" si="12"/>
        <v>50</v>
      </c>
      <c r="AQ58" s="49">
        <v>3</v>
      </c>
      <c r="AR58" s="16">
        <v>2</v>
      </c>
      <c r="AS58" s="19">
        <f t="shared" si="13"/>
        <v>66.666666666666657</v>
      </c>
      <c r="AT58" s="10">
        <f t="shared" si="14"/>
        <v>34</v>
      </c>
      <c r="AU58" s="10">
        <f t="shared" si="15"/>
        <v>24</v>
      </c>
      <c r="AV58" s="26">
        <f t="shared" si="16"/>
        <v>70.588235294117652</v>
      </c>
      <c r="AW58" s="10">
        <f t="shared" si="17"/>
        <v>21</v>
      </c>
      <c r="AX58" s="10">
        <f t="shared" si="17"/>
        <v>13</v>
      </c>
      <c r="AY58" s="26">
        <f t="shared" si="18"/>
        <v>61.904761904761905</v>
      </c>
      <c r="AZ58" s="10">
        <f t="shared" si="19"/>
        <v>55</v>
      </c>
      <c r="BA58" s="10">
        <f t="shared" si="20"/>
        <v>37</v>
      </c>
      <c r="BB58" s="26">
        <f t="shared" si="21"/>
        <v>67.272727272727266</v>
      </c>
    </row>
    <row r="59" spans="1:54" s="51" customFormat="1">
      <c r="A59" s="48">
        <v>53</v>
      </c>
      <c r="B59" s="49">
        <v>1230321050</v>
      </c>
      <c r="C59" s="50" t="s">
        <v>75</v>
      </c>
      <c r="D59" s="10">
        <v>2</v>
      </c>
      <c r="E59" s="49">
        <v>2</v>
      </c>
      <c r="F59" s="19">
        <f t="shared" si="5"/>
        <v>100</v>
      </c>
      <c r="G59" s="49">
        <v>2</v>
      </c>
      <c r="H59" s="49">
        <v>2</v>
      </c>
      <c r="I59" s="19">
        <f t="shared" si="6"/>
        <v>100</v>
      </c>
      <c r="J59" s="49">
        <v>2</v>
      </c>
      <c r="K59" s="49">
        <v>2</v>
      </c>
      <c r="L59" s="19">
        <f t="shared" si="7"/>
        <v>100</v>
      </c>
      <c r="M59" s="49">
        <v>7</v>
      </c>
      <c r="N59" s="49">
        <v>3</v>
      </c>
      <c r="O59" s="19">
        <f t="shared" si="8"/>
        <v>42.857142857142854</v>
      </c>
      <c r="P59" s="10">
        <v>7</v>
      </c>
      <c r="Q59" s="49">
        <v>7</v>
      </c>
      <c r="R59" s="19">
        <f t="shared" si="9"/>
        <v>100</v>
      </c>
      <c r="S59" s="49">
        <v>3</v>
      </c>
      <c r="T59" s="49">
        <v>3</v>
      </c>
      <c r="U59" s="19">
        <f t="shared" si="10"/>
        <v>100</v>
      </c>
      <c r="V59" s="10">
        <v>3</v>
      </c>
      <c r="W59" s="49">
        <v>2</v>
      </c>
      <c r="X59" s="19">
        <f t="shared" si="0"/>
        <v>66.666666666666657</v>
      </c>
      <c r="Y59" s="49">
        <v>1</v>
      </c>
      <c r="Z59" s="49">
        <v>1</v>
      </c>
      <c r="AA59" s="49">
        <f t="shared" si="11"/>
        <v>100</v>
      </c>
      <c r="AB59" s="10">
        <v>7</v>
      </c>
      <c r="AC59" s="49">
        <v>6</v>
      </c>
      <c r="AD59" s="19">
        <f t="shared" si="1"/>
        <v>85.714285714285708</v>
      </c>
      <c r="AE59" s="49">
        <v>2</v>
      </c>
      <c r="AF59" s="49">
        <v>2</v>
      </c>
      <c r="AG59" s="19">
        <f t="shared" si="2"/>
        <v>100</v>
      </c>
      <c r="AH59" s="10">
        <v>5</v>
      </c>
      <c r="AI59" s="49">
        <v>3</v>
      </c>
      <c r="AJ59" s="19">
        <f t="shared" si="3"/>
        <v>60</v>
      </c>
      <c r="AK59" s="49">
        <v>3</v>
      </c>
      <c r="AL59" s="10">
        <v>2</v>
      </c>
      <c r="AM59" s="19">
        <f t="shared" si="4"/>
        <v>66.666666666666657</v>
      </c>
      <c r="AN59" s="10">
        <v>8</v>
      </c>
      <c r="AO59" s="16">
        <v>6</v>
      </c>
      <c r="AP59" s="19">
        <f t="shared" si="12"/>
        <v>75</v>
      </c>
      <c r="AQ59" s="49">
        <v>3</v>
      </c>
      <c r="AR59" s="16">
        <v>1</v>
      </c>
      <c r="AS59" s="19">
        <f t="shared" si="13"/>
        <v>33.333333333333329</v>
      </c>
      <c r="AT59" s="10">
        <f t="shared" si="14"/>
        <v>34</v>
      </c>
      <c r="AU59" s="10">
        <f t="shared" si="15"/>
        <v>28</v>
      </c>
      <c r="AV59" s="26">
        <f t="shared" si="16"/>
        <v>82.35294117647058</v>
      </c>
      <c r="AW59" s="10">
        <f t="shared" si="17"/>
        <v>21</v>
      </c>
      <c r="AX59" s="10">
        <f t="shared" si="17"/>
        <v>14</v>
      </c>
      <c r="AY59" s="26">
        <f t="shared" si="18"/>
        <v>66.666666666666657</v>
      </c>
      <c r="AZ59" s="10">
        <f t="shared" si="19"/>
        <v>55</v>
      </c>
      <c r="BA59" s="10">
        <f t="shared" si="20"/>
        <v>42</v>
      </c>
      <c r="BB59" s="26">
        <f t="shared" si="21"/>
        <v>76.363636363636374</v>
      </c>
    </row>
    <row r="60" spans="1:54" s="51" customFormat="1">
      <c r="A60" s="48">
        <v>54</v>
      </c>
      <c r="B60" s="49">
        <v>1230321052</v>
      </c>
      <c r="C60" s="50" t="s">
        <v>76</v>
      </c>
      <c r="D60" s="10">
        <v>2</v>
      </c>
      <c r="E60" s="49">
        <v>1</v>
      </c>
      <c r="F60" s="19">
        <f t="shared" si="5"/>
        <v>50</v>
      </c>
      <c r="G60" s="49">
        <v>2</v>
      </c>
      <c r="H60" s="49">
        <v>1</v>
      </c>
      <c r="I60" s="19">
        <f t="shared" si="6"/>
        <v>50</v>
      </c>
      <c r="J60" s="49">
        <v>2</v>
      </c>
      <c r="K60" s="49">
        <v>0</v>
      </c>
      <c r="L60" s="19">
        <f t="shared" si="7"/>
        <v>0</v>
      </c>
      <c r="M60" s="49">
        <v>7</v>
      </c>
      <c r="N60" s="49">
        <v>2</v>
      </c>
      <c r="O60" s="19">
        <f t="shared" si="8"/>
        <v>28.571428571428569</v>
      </c>
      <c r="P60" s="10">
        <v>7</v>
      </c>
      <c r="Q60" s="49">
        <v>5</v>
      </c>
      <c r="R60" s="19">
        <f t="shared" si="9"/>
        <v>71.428571428571431</v>
      </c>
      <c r="S60" s="49">
        <v>3</v>
      </c>
      <c r="T60" s="49">
        <v>1</v>
      </c>
      <c r="U60" s="19">
        <f t="shared" si="10"/>
        <v>33.333333333333329</v>
      </c>
      <c r="V60" s="10">
        <v>3</v>
      </c>
      <c r="W60" s="49">
        <v>1</v>
      </c>
      <c r="X60" s="19">
        <f t="shared" si="0"/>
        <v>33.333333333333329</v>
      </c>
      <c r="Y60" s="49">
        <v>1</v>
      </c>
      <c r="Z60" s="49">
        <v>1</v>
      </c>
      <c r="AA60" s="49">
        <f t="shared" si="11"/>
        <v>100</v>
      </c>
      <c r="AB60" s="10">
        <v>7</v>
      </c>
      <c r="AC60" s="49">
        <v>1</v>
      </c>
      <c r="AD60" s="19">
        <f t="shared" si="1"/>
        <v>14.285714285714285</v>
      </c>
      <c r="AE60" s="49">
        <v>2</v>
      </c>
      <c r="AF60" s="49">
        <v>0</v>
      </c>
      <c r="AG60" s="19">
        <f t="shared" si="2"/>
        <v>0</v>
      </c>
      <c r="AH60" s="10">
        <v>5</v>
      </c>
      <c r="AI60" s="49">
        <v>1</v>
      </c>
      <c r="AJ60" s="19">
        <f t="shared" si="3"/>
        <v>20</v>
      </c>
      <c r="AK60" s="49">
        <v>3</v>
      </c>
      <c r="AL60" s="10">
        <v>0</v>
      </c>
      <c r="AM60" s="19">
        <f t="shared" si="4"/>
        <v>0</v>
      </c>
      <c r="AN60" s="10">
        <v>8</v>
      </c>
      <c r="AO60" s="16">
        <v>5</v>
      </c>
      <c r="AP60" s="19">
        <f t="shared" si="12"/>
        <v>62.5</v>
      </c>
      <c r="AQ60" s="49">
        <v>3</v>
      </c>
      <c r="AR60" s="16">
        <v>1</v>
      </c>
      <c r="AS60" s="19">
        <f t="shared" si="13"/>
        <v>33.333333333333329</v>
      </c>
      <c r="AT60" s="10">
        <f t="shared" si="14"/>
        <v>34</v>
      </c>
      <c r="AU60" s="10">
        <f t="shared" si="15"/>
        <v>14</v>
      </c>
      <c r="AV60" s="26">
        <f t="shared" si="16"/>
        <v>41.17647058823529</v>
      </c>
      <c r="AW60" s="10">
        <f t="shared" si="17"/>
        <v>21</v>
      </c>
      <c r="AX60" s="10">
        <f t="shared" si="17"/>
        <v>6</v>
      </c>
      <c r="AY60" s="26">
        <f t="shared" si="18"/>
        <v>28.571428571428569</v>
      </c>
      <c r="AZ60" s="10">
        <f t="shared" si="19"/>
        <v>55</v>
      </c>
      <c r="BA60" s="10">
        <f t="shared" si="20"/>
        <v>20</v>
      </c>
      <c r="BB60" s="26">
        <f t="shared" si="21"/>
        <v>36.363636363636367</v>
      </c>
    </row>
    <row r="61" spans="1:54" s="51" customFormat="1">
      <c r="A61" s="48">
        <v>55</v>
      </c>
      <c r="B61" s="49">
        <v>1230321053</v>
      </c>
      <c r="C61" s="50" t="s">
        <v>77</v>
      </c>
      <c r="D61" s="10">
        <v>2</v>
      </c>
      <c r="E61" s="49">
        <v>1</v>
      </c>
      <c r="F61" s="19">
        <f t="shared" si="5"/>
        <v>50</v>
      </c>
      <c r="G61" s="49">
        <v>2</v>
      </c>
      <c r="H61" s="49">
        <v>1</v>
      </c>
      <c r="I61" s="19">
        <f t="shared" si="6"/>
        <v>50</v>
      </c>
      <c r="J61" s="49">
        <v>2</v>
      </c>
      <c r="K61" s="49">
        <v>2</v>
      </c>
      <c r="L61" s="19">
        <f t="shared" si="7"/>
        <v>100</v>
      </c>
      <c r="M61" s="49">
        <v>7</v>
      </c>
      <c r="N61" s="49">
        <v>5</v>
      </c>
      <c r="O61" s="19">
        <f t="shared" si="8"/>
        <v>71.428571428571431</v>
      </c>
      <c r="P61" s="10">
        <v>7</v>
      </c>
      <c r="Q61" s="49">
        <v>6</v>
      </c>
      <c r="R61" s="19">
        <f t="shared" si="9"/>
        <v>85.714285714285708</v>
      </c>
      <c r="S61" s="49">
        <v>3</v>
      </c>
      <c r="T61" s="49">
        <v>1</v>
      </c>
      <c r="U61" s="19">
        <f t="shared" si="10"/>
        <v>33.333333333333329</v>
      </c>
      <c r="V61" s="10">
        <v>3</v>
      </c>
      <c r="W61" s="49">
        <v>2</v>
      </c>
      <c r="X61" s="19">
        <f t="shared" si="0"/>
        <v>66.666666666666657</v>
      </c>
      <c r="Y61" s="49">
        <v>1</v>
      </c>
      <c r="Z61" s="49">
        <v>1</v>
      </c>
      <c r="AA61" s="49">
        <f t="shared" si="11"/>
        <v>100</v>
      </c>
      <c r="AB61" s="10">
        <v>7</v>
      </c>
      <c r="AC61" s="49">
        <v>7</v>
      </c>
      <c r="AD61" s="19">
        <f t="shared" si="1"/>
        <v>100</v>
      </c>
      <c r="AE61" s="49">
        <v>2</v>
      </c>
      <c r="AF61" s="49">
        <v>2</v>
      </c>
      <c r="AG61" s="19">
        <f t="shared" si="2"/>
        <v>100</v>
      </c>
      <c r="AH61" s="10">
        <v>5</v>
      </c>
      <c r="AI61" s="49">
        <v>3</v>
      </c>
      <c r="AJ61" s="19">
        <f t="shared" si="3"/>
        <v>60</v>
      </c>
      <c r="AK61" s="49">
        <v>3</v>
      </c>
      <c r="AL61" s="10">
        <v>2</v>
      </c>
      <c r="AM61" s="19">
        <f t="shared" si="4"/>
        <v>66.666666666666657</v>
      </c>
      <c r="AN61" s="10">
        <v>8</v>
      </c>
      <c r="AO61" s="16">
        <v>7</v>
      </c>
      <c r="AP61" s="19">
        <f t="shared" si="12"/>
        <v>87.5</v>
      </c>
      <c r="AQ61" s="49">
        <v>3</v>
      </c>
      <c r="AR61" s="16">
        <v>3</v>
      </c>
      <c r="AS61" s="19">
        <f t="shared" si="13"/>
        <v>100</v>
      </c>
      <c r="AT61" s="10">
        <f t="shared" si="14"/>
        <v>34</v>
      </c>
      <c r="AU61" s="10">
        <f t="shared" si="15"/>
        <v>28</v>
      </c>
      <c r="AV61" s="26">
        <f t="shared" si="16"/>
        <v>82.35294117647058</v>
      </c>
      <c r="AW61" s="10">
        <f t="shared" si="17"/>
        <v>21</v>
      </c>
      <c r="AX61" s="10">
        <f t="shared" si="17"/>
        <v>15</v>
      </c>
      <c r="AY61" s="26">
        <f t="shared" si="18"/>
        <v>71.428571428571431</v>
      </c>
      <c r="AZ61" s="10">
        <f t="shared" si="19"/>
        <v>55</v>
      </c>
      <c r="BA61" s="10">
        <f t="shared" si="20"/>
        <v>43</v>
      </c>
      <c r="BB61" s="26">
        <f t="shared" si="21"/>
        <v>78.181818181818187</v>
      </c>
    </row>
    <row r="62" spans="1:54" s="51" customFormat="1">
      <c r="A62" s="48">
        <v>56</v>
      </c>
      <c r="B62" s="49">
        <v>1230321054</v>
      </c>
      <c r="C62" s="50" t="s">
        <v>100</v>
      </c>
      <c r="D62" s="10">
        <v>2</v>
      </c>
      <c r="E62" s="49">
        <v>1</v>
      </c>
      <c r="F62" s="19">
        <f t="shared" si="5"/>
        <v>50</v>
      </c>
      <c r="G62" s="49">
        <v>2</v>
      </c>
      <c r="H62" s="49">
        <v>1</v>
      </c>
      <c r="I62" s="19">
        <f t="shared" si="6"/>
        <v>50</v>
      </c>
      <c r="J62" s="49">
        <v>2</v>
      </c>
      <c r="K62" s="49">
        <v>1</v>
      </c>
      <c r="L62" s="19">
        <f t="shared" si="7"/>
        <v>50</v>
      </c>
      <c r="M62" s="49">
        <v>7</v>
      </c>
      <c r="N62" s="49">
        <v>7</v>
      </c>
      <c r="O62" s="19">
        <f t="shared" si="8"/>
        <v>100</v>
      </c>
      <c r="P62" s="10">
        <v>7</v>
      </c>
      <c r="Q62" s="49">
        <v>0</v>
      </c>
      <c r="R62" s="19">
        <f t="shared" si="9"/>
        <v>0</v>
      </c>
      <c r="S62" s="49">
        <v>3</v>
      </c>
      <c r="T62" s="49">
        <v>0</v>
      </c>
      <c r="U62" s="19">
        <f t="shared" si="10"/>
        <v>0</v>
      </c>
      <c r="V62" s="10">
        <v>3</v>
      </c>
      <c r="W62" s="49">
        <v>1</v>
      </c>
      <c r="X62" s="19">
        <f t="shared" si="0"/>
        <v>33.333333333333329</v>
      </c>
      <c r="Y62" s="49">
        <v>1</v>
      </c>
      <c r="Z62" s="49">
        <v>1</v>
      </c>
      <c r="AA62" s="49">
        <f t="shared" si="11"/>
        <v>100</v>
      </c>
      <c r="AB62" s="10">
        <v>7</v>
      </c>
      <c r="AC62" s="49">
        <v>1</v>
      </c>
      <c r="AD62" s="19">
        <f t="shared" si="1"/>
        <v>14.285714285714285</v>
      </c>
      <c r="AE62" s="49">
        <v>2</v>
      </c>
      <c r="AF62" s="49">
        <v>1</v>
      </c>
      <c r="AG62" s="19">
        <f t="shared" si="2"/>
        <v>50</v>
      </c>
      <c r="AH62" s="10">
        <v>5</v>
      </c>
      <c r="AI62" s="49">
        <v>2</v>
      </c>
      <c r="AJ62" s="19">
        <f t="shared" si="3"/>
        <v>40</v>
      </c>
      <c r="AK62" s="49">
        <v>3</v>
      </c>
      <c r="AL62" s="10">
        <v>1</v>
      </c>
      <c r="AM62" s="19">
        <f t="shared" si="4"/>
        <v>33.333333333333329</v>
      </c>
      <c r="AN62" s="10">
        <v>8</v>
      </c>
      <c r="AO62" s="49">
        <v>4</v>
      </c>
      <c r="AP62" s="19">
        <f t="shared" si="12"/>
        <v>50</v>
      </c>
      <c r="AQ62" s="49">
        <v>3</v>
      </c>
      <c r="AR62" s="49">
        <v>1</v>
      </c>
      <c r="AS62" s="19">
        <f t="shared" si="13"/>
        <v>33.333333333333329</v>
      </c>
      <c r="AT62" s="10">
        <f t="shared" si="14"/>
        <v>34</v>
      </c>
      <c r="AU62" s="10">
        <f t="shared" si="15"/>
        <v>10</v>
      </c>
      <c r="AV62" s="26">
        <f t="shared" si="16"/>
        <v>29.411764705882355</v>
      </c>
      <c r="AW62" s="10">
        <f t="shared" si="17"/>
        <v>21</v>
      </c>
      <c r="AX62" s="10">
        <f t="shared" si="17"/>
        <v>12</v>
      </c>
      <c r="AY62" s="26">
        <f t="shared" si="18"/>
        <v>57.142857142857139</v>
      </c>
      <c r="AZ62" s="10">
        <f t="shared" si="19"/>
        <v>55</v>
      </c>
      <c r="BA62" s="10">
        <f t="shared" si="20"/>
        <v>22</v>
      </c>
      <c r="BB62" s="26">
        <f t="shared" si="21"/>
        <v>40</v>
      </c>
    </row>
    <row r="63" spans="1:54" s="47" customFormat="1">
      <c r="A63" s="48">
        <v>57</v>
      </c>
      <c r="B63" s="49">
        <v>1230321055</v>
      </c>
      <c r="C63" s="50" t="s">
        <v>78</v>
      </c>
      <c r="D63" s="10">
        <v>2</v>
      </c>
      <c r="E63" s="10">
        <v>1</v>
      </c>
      <c r="F63" s="19">
        <f t="shared" si="5"/>
        <v>50</v>
      </c>
      <c r="G63" s="49">
        <v>2</v>
      </c>
      <c r="H63" s="10">
        <v>1</v>
      </c>
      <c r="I63" s="19">
        <f t="shared" si="6"/>
        <v>50</v>
      </c>
      <c r="J63" s="10">
        <v>2</v>
      </c>
      <c r="K63" s="10">
        <v>0</v>
      </c>
      <c r="L63" s="19">
        <f t="shared" si="7"/>
        <v>0</v>
      </c>
      <c r="M63" s="10">
        <v>7</v>
      </c>
      <c r="N63" s="10">
        <v>1</v>
      </c>
      <c r="O63" s="19">
        <f t="shared" si="8"/>
        <v>14.285714285714285</v>
      </c>
      <c r="P63" s="10">
        <v>7</v>
      </c>
      <c r="Q63" s="10">
        <v>5</v>
      </c>
      <c r="R63" s="19">
        <f t="shared" si="9"/>
        <v>71.428571428571431</v>
      </c>
      <c r="S63" s="49">
        <v>3</v>
      </c>
      <c r="T63" s="10">
        <v>1</v>
      </c>
      <c r="U63" s="19">
        <f t="shared" si="10"/>
        <v>33.333333333333329</v>
      </c>
      <c r="V63" s="10">
        <v>3</v>
      </c>
      <c r="W63" s="10">
        <v>1</v>
      </c>
      <c r="X63" s="19">
        <f t="shared" si="0"/>
        <v>33.333333333333329</v>
      </c>
      <c r="Y63" s="49">
        <v>1</v>
      </c>
      <c r="Z63" s="49">
        <v>1</v>
      </c>
      <c r="AA63" s="49">
        <f t="shared" si="11"/>
        <v>100</v>
      </c>
      <c r="AB63" s="10">
        <v>7</v>
      </c>
      <c r="AC63" s="10">
        <v>5</v>
      </c>
      <c r="AD63" s="19">
        <f t="shared" si="1"/>
        <v>71.428571428571431</v>
      </c>
      <c r="AE63" s="49">
        <v>2</v>
      </c>
      <c r="AF63" s="10">
        <v>1</v>
      </c>
      <c r="AG63" s="19">
        <f t="shared" si="2"/>
        <v>50</v>
      </c>
      <c r="AH63" s="10">
        <v>5</v>
      </c>
      <c r="AI63" s="10">
        <v>4</v>
      </c>
      <c r="AJ63" s="19">
        <f t="shared" si="3"/>
        <v>80</v>
      </c>
      <c r="AK63" s="49">
        <v>3</v>
      </c>
      <c r="AL63" s="49">
        <v>2</v>
      </c>
      <c r="AM63" s="19">
        <f t="shared" si="4"/>
        <v>66.666666666666657</v>
      </c>
      <c r="AN63" s="10">
        <v>8</v>
      </c>
      <c r="AO63" s="16">
        <v>7</v>
      </c>
      <c r="AP63" s="19">
        <f t="shared" si="12"/>
        <v>87.5</v>
      </c>
      <c r="AQ63" s="49">
        <v>3</v>
      </c>
      <c r="AR63" s="16">
        <v>3</v>
      </c>
      <c r="AS63" s="19">
        <f t="shared" si="13"/>
        <v>100</v>
      </c>
      <c r="AT63" s="10">
        <f t="shared" si="14"/>
        <v>34</v>
      </c>
      <c r="AU63" s="10">
        <f t="shared" si="15"/>
        <v>23</v>
      </c>
      <c r="AV63" s="26">
        <f t="shared" si="16"/>
        <v>67.64705882352942</v>
      </c>
      <c r="AW63" s="10">
        <f t="shared" si="17"/>
        <v>21</v>
      </c>
      <c r="AX63" s="10">
        <f t="shared" si="17"/>
        <v>10</v>
      </c>
      <c r="AY63" s="26">
        <f t="shared" si="18"/>
        <v>47.619047619047613</v>
      </c>
      <c r="AZ63" s="10">
        <f t="shared" si="19"/>
        <v>55</v>
      </c>
      <c r="BA63" s="10">
        <f t="shared" si="20"/>
        <v>33</v>
      </c>
      <c r="BB63" s="26">
        <f t="shared" si="21"/>
        <v>60</v>
      </c>
    </row>
    <row r="64" spans="1:54" s="47" customFormat="1">
      <c r="A64" s="48">
        <v>58</v>
      </c>
      <c r="B64" s="49">
        <v>1230321056</v>
      </c>
      <c r="C64" s="50" t="s">
        <v>79</v>
      </c>
      <c r="D64" s="10">
        <v>2</v>
      </c>
      <c r="E64" s="10">
        <v>1</v>
      </c>
      <c r="F64" s="19">
        <f t="shared" si="5"/>
        <v>50</v>
      </c>
      <c r="G64" s="49">
        <v>2</v>
      </c>
      <c r="H64" s="10">
        <v>1</v>
      </c>
      <c r="I64" s="19">
        <f t="shared" si="6"/>
        <v>50</v>
      </c>
      <c r="J64" s="10">
        <v>2</v>
      </c>
      <c r="K64" s="10">
        <v>0</v>
      </c>
      <c r="L64" s="19">
        <f t="shared" si="7"/>
        <v>0</v>
      </c>
      <c r="M64" s="10">
        <v>7</v>
      </c>
      <c r="N64" s="10">
        <v>3</v>
      </c>
      <c r="O64" s="19">
        <f t="shared" si="8"/>
        <v>42.857142857142854</v>
      </c>
      <c r="P64" s="10">
        <v>7</v>
      </c>
      <c r="Q64" s="10">
        <v>5</v>
      </c>
      <c r="R64" s="19">
        <f t="shared" si="9"/>
        <v>71.428571428571431</v>
      </c>
      <c r="S64" s="49">
        <v>3</v>
      </c>
      <c r="T64" s="10">
        <v>2</v>
      </c>
      <c r="U64" s="19">
        <f t="shared" si="10"/>
        <v>66.666666666666657</v>
      </c>
      <c r="V64" s="10">
        <v>3</v>
      </c>
      <c r="W64" s="10">
        <v>0</v>
      </c>
      <c r="X64" s="19">
        <f t="shared" si="0"/>
        <v>0</v>
      </c>
      <c r="Y64" s="49">
        <v>1</v>
      </c>
      <c r="Z64" s="49">
        <v>1</v>
      </c>
      <c r="AA64" s="49">
        <f t="shared" si="11"/>
        <v>100</v>
      </c>
      <c r="AB64" s="10">
        <v>7</v>
      </c>
      <c r="AC64" s="10">
        <v>5</v>
      </c>
      <c r="AD64" s="19">
        <f t="shared" si="1"/>
        <v>71.428571428571431</v>
      </c>
      <c r="AE64" s="49">
        <v>2</v>
      </c>
      <c r="AF64" s="10">
        <v>2</v>
      </c>
      <c r="AG64" s="19">
        <f t="shared" si="2"/>
        <v>100</v>
      </c>
      <c r="AH64" s="10">
        <v>5</v>
      </c>
      <c r="AI64" s="10">
        <v>5</v>
      </c>
      <c r="AJ64" s="19">
        <f t="shared" si="3"/>
        <v>100</v>
      </c>
      <c r="AK64" s="49">
        <v>3</v>
      </c>
      <c r="AL64" s="49">
        <v>3</v>
      </c>
      <c r="AM64" s="19">
        <f t="shared" si="4"/>
        <v>100</v>
      </c>
      <c r="AN64" s="10">
        <v>8</v>
      </c>
      <c r="AO64" s="16">
        <v>5</v>
      </c>
      <c r="AP64" s="19">
        <f t="shared" si="12"/>
        <v>62.5</v>
      </c>
      <c r="AQ64" s="49">
        <v>3</v>
      </c>
      <c r="AR64" s="16">
        <v>2</v>
      </c>
      <c r="AS64" s="19">
        <f t="shared" si="13"/>
        <v>66.666666666666657</v>
      </c>
      <c r="AT64" s="10">
        <f t="shared" si="14"/>
        <v>34</v>
      </c>
      <c r="AU64" s="10">
        <f t="shared" si="15"/>
        <v>21</v>
      </c>
      <c r="AV64" s="26">
        <f t="shared" si="16"/>
        <v>61.764705882352942</v>
      </c>
      <c r="AW64" s="10">
        <f t="shared" si="17"/>
        <v>21</v>
      </c>
      <c r="AX64" s="10">
        <f t="shared" si="17"/>
        <v>14</v>
      </c>
      <c r="AY64" s="26">
        <f t="shared" si="18"/>
        <v>66.666666666666657</v>
      </c>
      <c r="AZ64" s="10">
        <f t="shared" si="19"/>
        <v>55</v>
      </c>
      <c r="BA64" s="10">
        <f t="shared" si="20"/>
        <v>35</v>
      </c>
      <c r="BB64" s="26">
        <f t="shared" si="21"/>
        <v>63.636363636363633</v>
      </c>
    </row>
    <row r="65" spans="1:54" s="47" customFormat="1">
      <c r="A65" s="48">
        <v>59</v>
      </c>
      <c r="B65" s="49">
        <v>1230321057</v>
      </c>
      <c r="C65" s="50" t="s">
        <v>80</v>
      </c>
      <c r="D65" s="10">
        <v>2</v>
      </c>
      <c r="E65" s="10">
        <v>2</v>
      </c>
      <c r="F65" s="19">
        <f t="shared" si="5"/>
        <v>100</v>
      </c>
      <c r="G65" s="49">
        <v>2</v>
      </c>
      <c r="H65" s="10">
        <v>2</v>
      </c>
      <c r="I65" s="19">
        <f t="shared" si="6"/>
        <v>100</v>
      </c>
      <c r="J65" s="10">
        <v>2</v>
      </c>
      <c r="K65" s="10">
        <v>2</v>
      </c>
      <c r="L65" s="19">
        <f t="shared" si="7"/>
        <v>100</v>
      </c>
      <c r="M65" s="10">
        <v>7</v>
      </c>
      <c r="N65" s="10">
        <v>5</v>
      </c>
      <c r="O65" s="19">
        <f t="shared" si="8"/>
        <v>71.428571428571431</v>
      </c>
      <c r="P65" s="10">
        <v>7</v>
      </c>
      <c r="Q65" s="10">
        <v>5</v>
      </c>
      <c r="R65" s="19">
        <f t="shared" si="9"/>
        <v>71.428571428571431</v>
      </c>
      <c r="S65" s="49">
        <v>3</v>
      </c>
      <c r="T65" s="10">
        <v>2</v>
      </c>
      <c r="U65" s="19">
        <f t="shared" si="10"/>
        <v>66.666666666666657</v>
      </c>
      <c r="V65" s="10">
        <v>3</v>
      </c>
      <c r="W65" s="10">
        <v>2</v>
      </c>
      <c r="X65" s="19">
        <f t="shared" si="0"/>
        <v>66.666666666666657</v>
      </c>
      <c r="Y65" s="49">
        <v>1</v>
      </c>
      <c r="Z65" s="49">
        <v>1</v>
      </c>
      <c r="AA65" s="49">
        <f t="shared" si="11"/>
        <v>100</v>
      </c>
      <c r="AB65" s="10">
        <v>7</v>
      </c>
      <c r="AC65" s="10">
        <v>6</v>
      </c>
      <c r="AD65" s="19">
        <f t="shared" si="1"/>
        <v>85.714285714285708</v>
      </c>
      <c r="AE65" s="49">
        <v>2</v>
      </c>
      <c r="AF65" s="10">
        <v>2</v>
      </c>
      <c r="AG65" s="19">
        <f t="shared" si="2"/>
        <v>100</v>
      </c>
      <c r="AH65" s="10">
        <v>5</v>
      </c>
      <c r="AI65" s="10">
        <v>4</v>
      </c>
      <c r="AJ65" s="19">
        <f t="shared" si="3"/>
        <v>80</v>
      </c>
      <c r="AK65" s="49">
        <v>3</v>
      </c>
      <c r="AL65" s="49">
        <v>3</v>
      </c>
      <c r="AM65" s="19">
        <f t="shared" si="4"/>
        <v>100</v>
      </c>
      <c r="AN65" s="10">
        <v>8</v>
      </c>
      <c r="AO65" s="10">
        <v>4</v>
      </c>
      <c r="AP65" s="19">
        <f t="shared" si="12"/>
        <v>50</v>
      </c>
      <c r="AQ65" s="49">
        <v>3</v>
      </c>
      <c r="AR65" s="10">
        <v>1</v>
      </c>
      <c r="AS65" s="19">
        <f t="shared" si="13"/>
        <v>33.333333333333329</v>
      </c>
      <c r="AT65" s="10">
        <f t="shared" si="14"/>
        <v>34</v>
      </c>
      <c r="AU65" s="10">
        <f t="shared" si="15"/>
        <v>25</v>
      </c>
      <c r="AV65" s="26">
        <f t="shared" si="16"/>
        <v>73.529411764705884</v>
      </c>
      <c r="AW65" s="10">
        <f t="shared" si="17"/>
        <v>21</v>
      </c>
      <c r="AX65" s="10">
        <f t="shared" si="17"/>
        <v>16</v>
      </c>
      <c r="AY65" s="26">
        <f t="shared" si="18"/>
        <v>76.19047619047619</v>
      </c>
      <c r="AZ65" s="10">
        <f t="shared" si="19"/>
        <v>55</v>
      </c>
      <c r="BA65" s="10">
        <f t="shared" si="20"/>
        <v>41</v>
      </c>
      <c r="BB65" s="26">
        <f t="shared" si="21"/>
        <v>74.545454545454547</v>
      </c>
    </row>
    <row r="66" spans="1:54" s="47" customFormat="1">
      <c r="A66" s="48">
        <v>60</v>
      </c>
      <c r="B66" s="49">
        <v>1230321058</v>
      </c>
      <c r="C66" s="50" t="s">
        <v>81</v>
      </c>
      <c r="D66" s="10">
        <v>2</v>
      </c>
      <c r="E66" s="10">
        <v>1</v>
      </c>
      <c r="F66" s="19">
        <f t="shared" si="5"/>
        <v>50</v>
      </c>
      <c r="G66" s="49">
        <v>2</v>
      </c>
      <c r="H66" s="10">
        <v>1</v>
      </c>
      <c r="I66" s="19">
        <f t="shared" si="6"/>
        <v>50</v>
      </c>
      <c r="J66" s="10">
        <v>2</v>
      </c>
      <c r="K66" s="10">
        <v>1</v>
      </c>
      <c r="L66" s="19">
        <f t="shared" si="7"/>
        <v>50</v>
      </c>
      <c r="M66" s="10">
        <v>7</v>
      </c>
      <c r="N66" s="10">
        <v>5</v>
      </c>
      <c r="O66" s="19">
        <f t="shared" si="8"/>
        <v>71.428571428571431</v>
      </c>
      <c r="P66" s="10">
        <v>7</v>
      </c>
      <c r="Q66" s="10">
        <v>7</v>
      </c>
      <c r="R66" s="19">
        <f t="shared" si="9"/>
        <v>100</v>
      </c>
      <c r="S66" s="49">
        <v>3</v>
      </c>
      <c r="T66" s="10">
        <v>3</v>
      </c>
      <c r="U66" s="19">
        <f t="shared" si="10"/>
        <v>100</v>
      </c>
      <c r="V66" s="10">
        <v>3</v>
      </c>
      <c r="W66" s="10">
        <v>2</v>
      </c>
      <c r="X66" s="19">
        <f t="shared" si="0"/>
        <v>66.666666666666657</v>
      </c>
      <c r="Y66" s="49">
        <v>1</v>
      </c>
      <c r="Z66" s="49">
        <v>1</v>
      </c>
      <c r="AA66" s="49">
        <f t="shared" si="11"/>
        <v>100</v>
      </c>
      <c r="AB66" s="10">
        <v>7</v>
      </c>
      <c r="AC66" s="10">
        <v>4</v>
      </c>
      <c r="AD66" s="19">
        <f t="shared" si="1"/>
        <v>57.142857142857139</v>
      </c>
      <c r="AE66" s="49">
        <v>2</v>
      </c>
      <c r="AF66" s="10">
        <v>2</v>
      </c>
      <c r="AG66" s="19">
        <f t="shared" si="2"/>
        <v>100</v>
      </c>
      <c r="AH66" s="10">
        <v>5</v>
      </c>
      <c r="AI66" s="10">
        <v>5</v>
      </c>
      <c r="AJ66" s="19">
        <f t="shared" si="3"/>
        <v>100</v>
      </c>
      <c r="AK66" s="49">
        <v>3</v>
      </c>
      <c r="AL66" s="49">
        <v>3</v>
      </c>
      <c r="AM66" s="19">
        <f t="shared" si="4"/>
        <v>100</v>
      </c>
      <c r="AN66" s="10">
        <v>8</v>
      </c>
      <c r="AO66" s="16">
        <v>8</v>
      </c>
      <c r="AP66" s="19">
        <f t="shared" si="12"/>
        <v>100</v>
      </c>
      <c r="AQ66" s="49">
        <v>3</v>
      </c>
      <c r="AR66" s="16">
        <v>3</v>
      </c>
      <c r="AS66" s="19">
        <f t="shared" si="13"/>
        <v>100</v>
      </c>
      <c r="AT66" s="10">
        <f t="shared" si="14"/>
        <v>34</v>
      </c>
      <c r="AU66" s="10">
        <f t="shared" si="15"/>
        <v>28</v>
      </c>
      <c r="AV66" s="26">
        <f t="shared" si="16"/>
        <v>82.35294117647058</v>
      </c>
      <c r="AW66" s="10">
        <f t="shared" si="17"/>
        <v>21</v>
      </c>
      <c r="AX66" s="10">
        <f t="shared" si="17"/>
        <v>18</v>
      </c>
      <c r="AY66" s="26">
        <f t="shared" si="18"/>
        <v>85.714285714285708</v>
      </c>
      <c r="AZ66" s="10">
        <f t="shared" si="19"/>
        <v>55</v>
      </c>
      <c r="BA66" s="10">
        <f t="shared" si="20"/>
        <v>46</v>
      </c>
      <c r="BB66" s="26">
        <f t="shared" si="21"/>
        <v>83.636363636363626</v>
      </c>
    </row>
    <row r="67" spans="1:54" s="47" customFormat="1">
      <c r="A67" s="48">
        <v>61</v>
      </c>
      <c r="B67" s="49">
        <v>1230321060</v>
      </c>
      <c r="C67" s="50" t="s">
        <v>82</v>
      </c>
      <c r="D67" s="10">
        <v>2</v>
      </c>
      <c r="E67" s="10">
        <v>1</v>
      </c>
      <c r="F67" s="19">
        <f t="shared" si="5"/>
        <v>50</v>
      </c>
      <c r="G67" s="49">
        <v>2</v>
      </c>
      <c r="H67" s="10">
        <v>1</v>
      </c>
      <c r="I67" s="19">
        <f t="shared" si="6"/>
        <v>50</v>
      </c>
      <c r="J67" s="10">
        <v>2</v>
      </c>
      <c r="K67" s="10">
        <v>1</v>
      </c>
      <c r="L67" s="19">
        <f t="shared" si="7"/>
        <v>50</v>
      </c>
      <c r="M67" s="10">
        <v>7</v>
      </c>
      <c r="N67" s="10">
        <v>1</v>
      </c>
      <c r="O67" s="19">
        <f t="shared" si="8"/>
        <v>14.285714285714285</v>
      </c>
      <c r="P67" s="10">
        <v>7</v>
      </c>
      <c r="Q67" s="10">
        <v>2</v>
      </c>
      <c r="R67" s="19">
        <f t="shared" si="9"/>
        <v>28.571428571428569</v>
      </c>
      <c r="S67" s="49">
        <v>3</v>
      </c>
      <c r="T67" s="10">
        <v>0</v>
      </c>
      <c r="U67" s="19">
        <f t="shared" si="10"/>
        <v>0</v>
      </c>
      <c r="V67" s="10">
        <v>3</v>
      </c>
      <c r="W67" s="10">
        <v>1</v>
      </c>
      <c r="X67" s="19">
        <f t="shared" si="0"/>
        <v>33.333333333333329</v>
      </c>
      <c r="Y67" s="49">
        <v>1</v>
      </c>
      <c r="Z67" s="49">
        <v>1</v>
      </c>
      <c r="AA67" s="49">
        <f t="shared" si="11"/>
        <v>100</v>
      </c>
      <c r="AB67" s="10">
        <v>7</v>
      </c>
      <c r="AC67" s="10">
        <v>4</v>
      </c>
      <c r="AD67" s="19">
        <f t="shared" si="1"/>
        <v>57.142857142857139</v>
      </c>
      <c r="AE67" s="49">
        <v>2</v>
      </c>
      <c r="AF67" s="10">
        <v>1</v>
      </c>
      <c r="AG67" s="19">
        <f t="shared" si="2"/>
        <v>50</v>
      </c>
      <c r="AH67" s="10">
        <v>5</v>
      </c>
      <c r="AI67" s="10">
        <v>1</v>
      </c>
      <c r="AJ67" s="19">
        <f t="shared" si="3"/>
        <v>20</v>
      </c>
      <c r="AK67" s="49">
        <v>3</v>
      </c>
      <c r="AL67" s="49">
        <v>0</v>
      </c>
      <c r="AM67" s="19">
        <f t="shared" si="4"/>
        <v>0</v>
      </c>
      <c r="AN67" s="10">
        <v>8</v>
      </c>
      <c r="AO67" s="16">
        <v>2</v>
      </c>
      <c r="AP67" s="19">
        <f t="shared" si="12"/>
        <v>25</v>
      </c>
      <c r="AQ67" s="49">
        <v>3</v>
      </c>
      <c r="AR67" s="16">
        <v>1</v>
      </c>
      <c r="AS67" s="19">
        <f t="shared" si="13"/>
        <v>33.333333333333329</v>
      </c>
      <c r="AT67" s="10">
        <f t="shared" si="14"/>
        <v>34</v>
      </c>
      <c r="AU67" s="10">
        <f t="shared" si="15"/>
        <v>12</v>
      </c>
      <c r="AV67" s="26">
        <f t="shared" si="16"/>
        <v>35.294117647058826</v>
      </c>
      <c r="AW67" s="10">
        <f t="shared" si="17"/>
        <v>21</v>
      </c>
      <c r="AX67" s="10">
        <f t="shared" si="17"/>
        <v>5</v>
      </c>
      <c r="AY67" s="26">
        <f t="shared" si="18"/>
        <v>23.809523809523807</v>
      </c>
      <c r="AZ67" s="10">
        <f t="shared" si="19"/>
        <v>55</v>
      </c>
      <c r="BA67" s="10">
        <f t="shared" si="20"/>
        <v>17</v>
      </c>
      <c r="BB67" s="26">
        <f t="shared" si="21"/>
        <v>30.909090909090907</v>
      </c>
    </row>
    <row r="68" spans="1:54" s="47" customFormat="1">
      <c r="A68" s="48">
        <v>62</v>
      </c>
      <c r="B68" s="49">
        <v>1230321061</v>
      </c>
      <c r="C68" s="50" t="s">
        <v>101</v>
      </c>
      <c r="D68" s="10">
        <v>2</v>
      </c>
      <c r="E68" s="10">
        <v>1</v>
      </c>
      <c r="F68" s="19">
        <f t="shared" si="5"/>
        <v>50</v>
      </c>
      <c r="G68" s="49">
        <v>2</v>
      </c>
      <c r="H68" s="10">
        <v>1</v>
      </c>
      <c r="I68" s="19">
        <f t="shared" si="6"/>
        <v>50</v>
      </c>
      <c r="J68" s="10">
        <v>2</v>
      </c>
      <c r="K68" s="10">
        <v>1</v>
      </c>
      <c r="L68" s="19">
        <f t="shared" si="7"/>
        <v>50</v>
      </c>
      <c r="M68" s="10">
        <v>7</v>
      </c>
      <c r="N68" s="10">
        <v>5</v>
      </c>
      <c r="O68" s="19">
        <f t="shared" si="8"/>
        <v>71.428571428571431</v>
      </c>
      <c r="P68" s="10">
        <v>7</v>
      </c>
      <c r="Q68" s="10">
        <v>0</v>
      </c>
      <c r="R68" s="19">
        <f t="shared" si="9"/>
        <v>0</v>
      </c>
      <c r="S68" s="49">
        <v>3</v>
      </c>
      <c r="T68" s="10">
        <v>0</v>
      </c>
      <c r="U68" s="19">
        <f t="shared" si="10"/>
        <v>0</v>
      </c>
      <c r="V68" s="10">
        <v>3</v>
      </c>
      <c r="W68" s="10">
        <v>1</v>
      </c>
      <c r="X68" s="19">
        <f t="shared" si="0"/>
        <v>33.333333333333329</v>
      </c>
      <c r="Y68" s="49">
        <v>1</v>
      </c>
      <c r="Z68" s="49">
        <v>1</v>
      </c>
      <c r="AA68" s="49">
        <f t="shared" si="11"/>
        <v>100</v>
      </c>
      <c r="AB68" s="10">
        <v>7</v>
      </c>
      <c r="AC68" s="10">
        <v>0</v>
      </c>
      <c r="AD68" s="19">
        <f t="shared" si="1"/>
        <v>0</v>
      </c>
      <c r="AE68" s="49">
        <v>2</v>
      </c>
      <c r="AF68" s="10">
        <v>0</v>
      </c>
      <c r="AG68" s="19">
        <f t="shared" si="2"/>
        <v>0</v>
      </c>
      <c r="AH68" s="10">
        <v>5</v>
      </c>
      <c r="AI68" s="10">
        <v>0</v>
      </c>
      <c r="AJ68" s="19">
        <f t="shared" si="3"/>
        <v>0</v>
      </c>
      <c r="AK68" s="49">
        <v>3</v>
      </c>
      <c r="AL68" s="49">
        <v>0</v>
      </c>
      <c r="AM68" s="19">
        <f t="shared" si="4"/>
        <v>0</v>
      </c>
      <c r="AN68" s="10">
        <v>8</v>
      </c>
      <c r="AO68" s="10">
        <v>0</v>
      </c>
      <c r="AP68" s="19">
        <f t="shared" si="12"/>
        <v>0</v>
      </c>
      <c r="AQ68" s="49">
        <v>3</v>
      </c>
      <c r="AR68" s="10">
        <v>0</v>
      </c>
      <c r="AS68" s="19">
        <f t="shared" si="13"/>
        <v>0</v>
      </c>
      <c r="AT68" s="10">
        <f t="shared" si="14"/>
        <v>34</v>
      </c>
      <c r="AU68" s="10">
        <f t="shared" si="15"/>
        <v>3</v>
      </c>
      <c r="AV68" s="26">
        <f t="shared" si="16"/>
        <v>8.8235294117647065</v>
      </c>
      <c r="AW68" s="10">
        <f t="shared" si="17"/>
        <v>21</v>
      </c>
      <c r="AX68" s="10">
        <f t="shared" si="17"/>
        <v>7</v>
      </c>
      <c r="AY68" s="26">
        <f t="shared" si="18"/>
        <v>33.333333333333329</v>
      </c>
      <c r="AZ68" s="10">
        <f t="shared" si="19"/>
        <v>55</v>
      </c>
      <c r="BA68" s="10">
        <f t="shared" si="20"/>
        <v>10</v>
      </c>
      <c r="BB68" s="26">
        <f t="shared" si="21"/>
        <v>18.181818181818183</v>
      </c>
    </row>
    <row r="69" spans="1:54" s="47" customFormat="1">
      <c r="A69" s="48">
        <v>63</v>
      </c>
      <c r="B69" s="49">
        <v>1230321062</v>
      </c>
      <c r="C69" s="50" t="s">
        <v>83</v>
      </c>
      <c r="D69" s="10">
        <v>2</v>
      </c>
      <c r="E69" s="10">
        <v>2</v>
      </c>
      <c r="F69" s="19">
        <f t="shared" si="5"/>
        <v>100</v>
      </c>
      <c r="G69" s="49">
        <v>2</v>
      </c>
      <c r="H69" s="10">
        <v>2</v>
      </c>
      <c r="I69" s="19">
        <f t="shared" si="6"/>
        <v>100</v>
      </c>
      <c r="J69" s="10">
        <v>2</v>
      </c>
      <c r="K69" s="10">
        <v>0</v>
      </c>
      <c r="L69" s="19">
        <f t="shared" si="7"/>
        <v>0</v>
      </c>
      <c r="M69" s="10">
        <v>7</v>
      </c>
      <c r="N69" s="10">
        <v>0</v>
      </c>
      <c r="O69" s="19">
        <f t="shared" si="8"/>
        <v>0</v>
      </c>
      <c r="P69" s="10">
        <v>7</v>
      </c>
      <c r="Q69" s="10">
        <v>6</v>
      </c>
      <c r="R69" s="19">
        <f t="shared" si="9"/>
        <v>85.714285714285708</v>
      </c>
      <c r="S69" s="49">
        <v>3</v>
      </c>
      <c r="T69" s="10">
        <v>2</v>
      </c>
      <c r="U69" s="19">
        <f t="shared" si="10"/>
        <v>66.666666666666657</v>
      </c>
      <c r="V69" s="10">
        <v>3</v>
      </c>
      <c r="W69" s="10">
        <v>2</v>
      </c>
      <c r="X69" s="19">
        <f t="shared" si="0"/>
        <v>66.666666666666657</v>
      </c>
      <c r="Y69" s="49">
        <v>1</v>
      </c>
      <c r="Z69" s="49">
        <v>1</v>
      </c>
      <c r="AA69" s="49">
        <f t="shared" si="11"/>
        <v>100</v>
      </c>
      <c r="AB69" s="10">
        <v>7</v>
      </c>
      <c r="AC69" s="10">
        <v>6</v>
      </c>
      <c r="AD69" s="19">
        <f t="shared" si="1"/>
        <v>85.714285714285708</v>
      </c>
      <c r="AE69" s="49">
        <v>2</v>
      </c>
      <c r="AF69" s="10">
        <v>1</v>
      </c>
      <c r="AG69" s="19">
        <f t="shared" si="2"/>
        <v>50</v>
      </c>
      <c r="AH69" s="10">
        <v>5</v>
      </c>
      <c r="AI69" s="10">
        <v>3</v>
      </c>
      <c r="AJ69" s="19">
        <f t="shared" si="3"/>
        <v>60</v>
      </c>
      <c r="AK69" s="49">
        <v>3</v>
      </c>
      <c r="AL69" s="49">
        <v>2</v>
      </c>
      <c r="AM69" s="19">
        <f t="shared" si="4"/>
        <v>66.666666666666657</v>
      </c>
      <c r="AN69" s="10">
        <v>8</v>
      </c>
      <c r="AO69" s="16">
        <v>7</v>
      </c>
      <c r="AP69" s="19">
        <f t="shared" si="12"/>
        <v>87.5</v>
      </c>
      <c r="AQ69" s="49">
        <v>3</v>
      </c>
      <c r="AR69" s="16">
        <v>3</v>
      </c>
      <c r="AS69" s="19">
        <f t="shared" si="13"/>
        <v>100</v>
      </c>
      <c r="AT69" s="10">
        <f t="shared" si="14"/>
        <v>34</v>
      </c>
      <c r="AU69" s="10">
        <f t="shared" si="15"/>
        <v>26</v>
      </c>
      <c r="AV69" s="26">
        <f t="shared" si="16"/>
        <v>76.470588235294116</v>
      </c>
      <c r="AW69" s="10">
        <f t="shared" si="17"/>
        <v>21</v>
      </c>
      <c r="AX69" s="10">
        <f t="shared" si="17"/>
        <v>11</v>
      </c>
      <c r="AY69" s="26">
        <f t="shared" si="18"/>
        <v>52.380952380952387</v>
      </c>
      <c r="AZ69" s="10">
        <f t="shared" si="19"/>
        <v>55</v>
      </c>
      <c r="BA69" s="10">
        <f t="shared" si="20"/>
        <v>37</v>
      </c>
      <c r="BB69" s="26">
        <f t="shared" si="21"/>
        <v>67.272727272727266</v>
      </c>
    </row>
    <row r="70" spans="1:54" s="47" customFormat="1">
      <c r="A70" s="48">
        <v>64</v>
      </c>
      <c r="B70" s="49">
        <v>1230321063</v>
      </c>
      <c r="C70" s="50" t="s">
        <v>84</v>
      </c>
      <c r="D70" s="10">
        <v>2</v>
      </c>
      <c r="E70" s="10">
        <v>2</v>
      </c>
      <c r="F70" s="19">
        <f t="shared" si="5"/>
        <v>100</v>
      </c>
      <c r="G70" s="49">
        <v>2</v>
      </c>
      <c r="H70" s="10">
        <v>2</v>
      </c>
      <c r="I70" s="19">
        <f t="shared" si="6"/>
        <v>100</v>
      </c>
      <c r="J70" s="10">
        <v>2</v>
      </c>
      <c r="K70" s="10">
        <v>2</v>
      </c>
      <c r="L70" s="19">
        <f t="shared" si="7"/>
        <v>100</v>
      </c>
      <c r="M70" s="10">
        <v>7</v>
      </c>
      <c r="N70" s="10">
        <v>4</v>
      </c>
      <c r="O70" s="19">
        <f t="shared" si="8"/>
        <v>57.142857142857139</v>
      </c>
      <c r="P70" s="10">
        <v>7</v>
      </c>
      <c r="Q70" s="10">
        <v>6</v>
      </c>
      <c r="R70" s="19">
        <f t="shared" si="9"/>
        <v>85.714285714285708</v>
      </c>
      <c r="S70" s="49">
        <v>3</v>
      </c>
      <c r="T70" s="10">
        <v>2</v>
      </c>
      <c r="U70" s="19">
        <f t="shared" si="10"/>
        <v>66.666666666666657</v>
      </c>
      <c r="V70" s="10">
        <v>3</v>
      </c>
      <c r="W70" s="10">
        <v>1</v>
      </c>
      <c r="X70" s="19">
        <f t="shared" si="0"/>
        <v>33.333333333333329</v>
      </c>
      <c r="Y70" s="49">
        <v>1</v>
      </c>
      <c r="Z70" s="49">
        <v>1</v>
      </c>
      <c r="AA70" s="49">
        <f t="shared" si="11"/>
        <v>100</v>
      </c>
      <c r="AB70" s="10">
        <v>7</v>
      </c>
      <c r="AC70" s="10">
        <v>6</v>
      </c>
      <c r="AD70" s="19">
        <f t="shared" si="1"/>
        <v>85.714285714285708</v>
      </c>
      <c r="AE70" s="49">
        <v>2</v>
      </c>
      <c r="AF70" s="10">
        <v>2</v>
      </c>
      <c r="AG70" s="19">
        <f t="shared" si="2"/>
        <v>100</v>
      </c>
      <c r="AH70" s="10">
        <v>5</v>
      </c>
      <c r="AI70" s="10">
        <v>4</v>
      </c>
      <c r="AJ70" s="19">
        <f t="shared" si="3"/>
        <v>80</v>
      </c>
      <c r="AK70" s="49">
        <v>3</v>
      </c>
      <c r="AL70" s="49">
        <v>3</v>
      </c>
      <c r="AM70" s="19">
        <f t="shared" si="4"/>
        <v>100</v>
      </c>
      <c r="AN70" s="10">
        <v>8</v>
      </c>
      <c r="AO70" s="16">
        <v>8</v>
      </c>
      <c r="AP70" s="19">
        <f t="shared" si="12"/>
        <v>100</v>
      </c>
      <c r="AQ70" s="49">
        <v>3</v>
      </c>
      <c r="AR70" s="16">
        <v>2</v>
      </c>
      <c r="AS70" s="19">
        <f t="shared" si="13"/>
        <v>66.666666666666657</v>
      </c>
      <c r="AT70" s="10">
        <f t="shared" si="14"/>
        <v>34</v>
      </c>
      <c r="AU70" s="10">
        <f t="shared" si="15"/>
        <v>29</v>
      </c>
      <c r="AV70" s="26">
        <f t="shared" si="16"/>
        <v>85.294117647058826</v>
      </c>
      <c r="AW70" s="10">
        <f t="shared" si="17"/>
        <v>21</v>
      </c>
      <c r="AX70" s="10">
        <f t="shared" si="17"/>
        <v>16</v>
      </c>
      <c r="AY70" s="26">
        <f t="shared" si="18"/>
        <v>76.19047619047619</v>
      </c>
      <c r="AZ70" s="10">
        <f t="shared" si="19"/>
        <v>55</v>
      </c>
      <c r="BA70" s="10">
        <f t="shared" si="20"/>
        <v>45</v>
      </c>
      <c r="BB70" s="26">
        <f t="shared" si="21"/>
        <v>81.818181818181827</v>
      </c>
    </row>
    <row r="71" spans="1:54" s="47" customFormat="1">
      <c r="A71" s="48">
        <v>65</v>
      </c>
      <c r="B71" s="49">
        <v>1230321064</v>
      </c>
      <c r="C71" s="50" t="s">
        <v>102</v>
      </c>
      <c r="D71" s="10">
        <v>2</v>
      </c>
      <c r="E71" s="10">
        <v>1</v>
      </c>
      <c r="F71" s="19">
        <f t="shared" si="5"/>
        <v>50</v>
      </c>
      <c r="G71" s="49">
        <v>2</v>
      </c>
      <c r="H71" s="10">
        <v>1</v>
      </c>
      <c r="I71" s="19">
        <f t="shared" si="6"/>
        <v>50</v>
      </c>
      <c r="J71" s="10">
        <v>2</v>
      </c>
      <c r="K71" s="10">
        <v>1</v>
      </c>
      <c r="L71" s="19">
        <f t="shared" si="7"/>
        <v>50</v>
      </c>
      <c r="M71" s="10">
        <v>7</v>
      </c>
      <c r="N71" s="10">
        <v>4</v>
      </c>
      <c r="O71" s="19">
        <f t="shared" si="8"/>
        <v>57.142857142857139</v>
      </c>
      <c r="P71" s="10">
        <v>7</v>
      </c>
      <c r="Q71" s="10">
        <v>4</v>
      </c>
      <c r="R71" s="19">
        <f t="shared" si="9"/>
        <v>57.142857142857139</v>
      </c>
      <c r="S71" s="49">
        <v>3</v>
      </c>
      <c r="T71" s="10">
        <v>2</v>
      </c>
      <c r="U71" s="19">
        <f t="shared" si="10"/>
        <v>66.666666666666657</v>
      </c>
      <c r="V71" s="10">
        <v>3</v>
      </c>
      <c r="W71" s="10">
        <v>2</v>
      </c>
      <c r="X71" s="19">
        <f t="shared" ref="X71:X88" si="22">W71/V71*100</f>
        <v>66.666666666666657</v>
      </c>
      <c r="Y71" s="49">
        <v>1</v>
      </c>
      <c r="Z71" s="49">
        <v>1</v>
      </c>
      <c r="AA71" s="49">
        <f t="shared" si="11"/>
        <v>100</v>
      </c>
      <c r="AB71" s="10">
        <v>7</v>
      </c>
      <c r="AC71" s="10">
        <v>5</v>
      </c>
      <c r="AD71" s="19">
        <f t="shared" ref="AD71:AD83" si="23">AC71/AB71*100</f>
        <v>71.428571428571431</v>
      </c>
      <c r="AE71" s="49">
        <v>2</v>
      </c>
      <c r="AF71" s="10">
        <v>1</v>
      </c>
      <c r="AG71" s="19">
        <f t="shared" ref="AG71:AG83" si="24">AF71/AE71*100</f>
        <v>50</v>
      </c>
      <c r="AH71" s="10">
        <v>5</v>
      </c>
      <c r="AI71" s="10">
        <v>4</v>
      </c>
      <c r="AJ71" s="19">
        <f t="shared" ref="AJ71:AJ83" si="25">AI71/AH71*100</f>
        <v>80</v>
      </c>
      <c r="AK71" s="49">
        <v>3</v>
      </c>
      <c r="AL71" s="49">
        <v>2</v>
      </c>
      <c r="AM71" s="19">
        <f t="shared" ref="AM71:AM83" si="26">AL71/AK71*100</f>
        <v>66.666666666666657</v>
      </c>
      <c r="AN71" s="10">
        <v>8</v>
      </c>
      <c r="AO71" s="10">
        <v>5</v>
      </c>
      <c r="AP71" s="19">
        <f t="shared" si="12"/>
        <v>62.5</v>
      </c>
      <c r="AQ71" s="49">
        <v>3</v>
      </c>
      <c r="AR71" s="10">
        <v>2</v>
      </c>
      <c r="AS71" s="19">
        <f t="shared" si="13"/>
        <v>66.666666666666657</v>
      </c>
      <c r="AT71" s="10">
        <f t="shared" si="14"/>
        <v>34</v>
      </c>
      <c r="AU71" s="10">
        <f t="shared" si="15"/>
        <v>22</v>
      </c>
      <c r="AV71" s="26">
        <f t="shared" si="16"/>
        <v>64.705882352941174</v>
      </c>
      <c r="AW71" s="10">
        <f t="shared" si="17"/>
        <v>21</v>
      </c>
      <c r="AX71" s="10">
        <f t="shared" si="17"/>
        <v>13</v>
      </c>
      <c r="AY71" s="26">
        <f t="shared" si="18"/>
        <v>61.904761904761905</v>
      </c>
      <c r="AZ71" s="10">
        <f t="shared" si="19"/>
        <v>55</v>
      </c>
      <c r="BA71" s="10">
        <f t="shared" si="20"/>
        <v>35</v>
      </c>
      <c r="BB71" s="26">
        <f t="shared" si="21"/>
        <v>63.636363636363633</v>
      </c>
    </row>
    <row r="72" spans="1:54" s="47" customFormat="1">
      <c r="A72" s="48">
        <v>66</v>
      </c>
      <c r="B72" s="49">
        <v>1230321065</v>
      </c>
      <c r="C72" s="50" t="s">
        <v>85</v>
      </c>
      <c r="D72" s="10">
        <v>2</v>
      </c>
      <c r="E72" s="10">
        <v>1</v>
      </c>
      <c r="F72" s="19">
        <f t="shared" ref="F72:F83" si="27">E72/D72*100</f>
        <v>50</v>
      </c>
      <c r="G72" s="49">
        <v>2</v>
      </c>
      <c r="H72" s="10">
        <v>1</v>
      </c>
      <c r="I72" s="19">
        <f t="shared" ref="I72:I83" si="28">H72/G72*100</f>
        <v>50</v>
      </c>
      <c r="J72" s="10">
        <v>2</v>
      </c>
      <c r="K72" s="10">
        <v>2</v>
      </c>
      <c r="L72" s="19">
        <f t="shared" ref="L72:L83" si="29">K72/J72*100</f>
        <v>100</v>
      </c>
      <c r="M72" s="10">
        <v>7</v>
      </c>
      <c r="N72" s="10">
        <v>2</v>
      </c>
      <c r="O72" s="19">
        <f t="shared" ref="O72:O83" si="30">N72/M72*100</f>
        <v>28.571428571428569</v>
      </c>
      <c r="P72" s="10">
        <v>7</v>
      </c>
      <c r="Q72" s="10">
        <v>6</v>
      </c>
      <c r="R72" s="19">
        <f t="shared" ref="R72:R83" si="31">Q72/P72*100</f>
        <v>85.714285714285708</v>
      </c>
      <c r="S72" s="49">
        <v>3</v>
      </c>
      <c r="T72" s="10">
        <v>2</v>
      </c>
      <c r="U72" s="19">
        <f t="shared" ref="U72:U83" si="32">T72/S72*100</f>
        <v>66.666666666666657</v>
      </c>
      <c r="V72" s="10">
        <v>3</v>
      </c>
      <c r="W72" s="10">
        <v>2</v>
      </c>
      <c r="X72" s="19">
        <f t="shared" si="22"/>
        <v>66.666666666666657</v>
      </c>
      <c r="Y72" s="49">
        <v>1</v>
      </c>
      <c r="Z72" s="49">
        <v>1</v>
      </c>
      <c r="AA72" s="49">
        <f t="shared" ref="AA72:AA83" si="33">Z72/Y72*100</f>
        <v>100</v>
      </c>
      <c r="AB72" s="10">
        <v>7</v>
      </c>
      <c r="AC72" s="10">
        <v>1</v>
      </c>
      <c r="AD72" s="19">
        <f t="shared" si="23"/>
        <v>14.285714285714285</v>
      </c>
      <c r="AE72" s="49">
        <v>2</v>
      </c>
      <c r="AF72" s="10">
        <v>0</v>
      </c>
      <c r="AG72" s="19">
        <f t="shared" si="24"/>
        <v>0</v>
      </c>
      <c r="AH72" s="10">
        <v>5</v>
      </c>
      <c r="AI72" s="10">
        <v>3</v>
      </c>
      <c r="AJ72" s="19">
        <f t="shared" si="25"/>
        <v>60</v>
      </c>
      <c r="AK72" s="49">
        <v>3</v>
      </c>
      <c r="AL72" s="49">
        <v>0</v>
      </c>
      <c r="AM72" s="19">
        <f t="shared" si="26"/>
        <v>0</v>
      </c>
      <c r="AN72" s="10">
        <v>8</v>
      </c>
      <c r="AO72" s="16">
        <v>4</v>
      </c>
      <c r="AP72" s="19">
        <f t="shared" ref="AP72:AP83" si="34">AO72/AN72*100</f>
        <v>50</v>
      </c>
      <c r="AQ72" s="49">
        <v>3</v>
      </c>
      <c r="AR72" s="16">
        <v>2</v>
      </c>
      <c r="AS72" s="19">
        <f t="shared" ref="AS72:AS83" si="35">AR72/AQ72*100</f>
        <v>66.666666666666657</v>
      </c>
      <c r="AT72" s="10">
        <f t="shared" ref="AT72:AT83" si="36">SUM(D72,J72,P72,V72,AB72,AH72,AN72)</f>
        <v>34</v>
      </c>
      <c r="AU72" s="10">
        <f t="shared" ref="AU72:AU83" si="37">SUM(E72,K72,Q72,W72,AC72,AI72,AO72)</f>
        <v>19</v>
      </c>
      <c r="AV72" s="26">
        <f t="shared" ref="AV72:AV83" si="38">AU72/AT72*100</f>
        <v>55.882352941176471</v>
      </c>
      <c r="AW72" s="10">
        <f t="shared" ref="AW72:AX83" si="39">SUM(G72,M72,S72,Y72,AE72,AK72,AQ72)</f>
        <v>21</v>
      </c>
      <c r="AX72" s="10">
        <f t="shared" si="39"/>
        <v>8</v>
      </c>
      <c r="AY72" s="26">
        <f t="shared" ref="AY72:AY83" si="40">AX72/AW72*100</f>
        <v>38.095238095238095</v>
      </c>
      <c r="AZ72" s="10">
        <f t="shared" ref="AZ72:AZ83" si="41">SUM(AT72,AW72)</f>
        <v>55</v>
      </c>
      <c r="BA72" s="10">
        <f t="shared" ref="BA72:BA83" si="42">SUM(AU72,AX72)</f>
        <v>27</v>
      </c>
      <c r="BB72" s="26">
        <f t="shared" ref="BB72:BB83" si="43">BA72/AZ72*100</f>
        <v>49.090909090909093</v>
      </c>
    </row>
    <row r="73" spans="1:54" s="47" customFormat="1">
      <c r="A73" s="48">
        <v>67</v>
      </c>
      <c r="B73" s="49">
        <v>1230321066</v>
      </c>
      <c r="C73" s="50" t="s">
        <v>86</v>
      </c>
      <c r="D73" s="10">
        <v>2</v>
      </c>
      <c r="E73" s="10">
        <v>2</v>
      </c>
      <c r="F73" s="19">
        <f t="shared" si="27"/>
        <v>100</v>
      </c>
      <c r="G73" s="49">
        <v>2</v>
      </c>
      <c r="H73" s="10">
        <v>2</v>
      </c>
      <c r="I73" s="19">
        <f t="shared" si="28"/>
        <v>100</v>
      </c>
      <c r="J73" s="10">
        <v>2</v>
      </c>
      <c r="K73" s="10">
        <v>2</v>
      </c>
      <c r="L73" s="19">
        <f t="shared" si="29"/>
        <v>100</v>
      </c>
      <c r="M73" s="10">
        <v>7</v>
      </c>
      <c r="N73" s="10">
        <v>5</v>
      </c>
      <c r="O73" s="19">
        <f t="shared" si="30"/>
        <v>71.428571428571431</v>
      </c>
      <c r="P73" s="10">
        <v>7</v>
      </c>
      <c r="Q73" s="10">
        <v>5</v>
      </c>
      <c r="R73" s="19">
        <f t="shared" si="31"/>
        <v>71.428571428571431</v>
      </c>
      <c r="S73" s="49">
        <v>3</v>
      </c>
      <c r="T73" s="10">
        <v>1</v>
      </c>
      <c r="U73" s="19">
        <f t="shared" si="32"/>
        <v>33.333333333333329</v>
      </c>
      <c r="V73" s="10">
        <v>3</v>
      </c>
      <c r="W73" s="10">
        <v>2</v>
      </c>
      <c r="X73" s="19">
        <f t="shared" si="22"/>
        <v>66.666666666666657</v>
      </c>
      <c r="Y73" s="49">
        <v>1</v>
      </c>
      <c r="Z73" s="49">
        <v>1</v>
      </c>
      <c r="AA73" s="49">
        <f t="shared" si="33"/>
        <v>100</v>
      </c>
      <c r="AB73" s="10">
        <v>7</v>
      </c>
      <c r="AC73" s="10">
        <v>7</v>
      </c>
      <c r="AD73" s="19">
        <f t="shared" si="23"/>
        <v>100</v>
      </c>
      <c r="AE73" s="49">
        <v>2</v>
      </c>
      <c r="AF73" s="10">
        <v>2</v>
      </c>
      <c r="AG73" s="19">
        <f t="shared" si="24"/>
        <v>100</v>
      </c>
      <c r="AH73" s="10">
        <v>5</v>
      </c>
      <c r="AI73" s="10">
        <v>5</v>
      </c>
      <c r="AJ73" s="19">
        <f t="shared" si="25"/>
        <v>100</v>
      </c>
      <c r="AK73" s="49">
        <v>3</v>
      </c>
      <c r="AL73" s="49">
        <v>3</v>
      </c>
      <c r="AM73" s="19">
        <f t="shared" si="26"/>
        <v>100</v>
      </c>
      <c r="AN73" s="10">
        <v>8</v>
      </c>
      <c r="AO73" s="16">
        <v>6</v>
      </c>
      <c r="AP73" s="19">
        <f t="shared" si="34"/>
        <v>75</v>
      </c>
      <c r="AQ73" s="49">
        <v>3</v>
      </c>
      <c r="AR73" s="16">
        <v>1</v>
      </c>
      <c r="AS73" s="19">
        <f t="shared" si="35"/>
        <v>33.333333333333329</v>
      </c>
      <c r="AT73" s="10">
        <f t="shared" si="36"/>
        <v>34</v>
      </c>
      <c r="AU73" s="10">
        <f t="shared" si="37"/>
        <v>29</v>
      </c>
      <c r="AV73" s="26">
        <f t="shared" si="38"/>
        <v>85.294117647058826</v>
      </c>
      <c r="AW73" s="10">
        <f t="shared" si="39"/>
        <v>21</v>
      </c>
      <c r="AX73" s="10">
        <f t="shared" si="39"/>
        <v>15</v>
      </c>
      <c r="AY73" s="26">
        <f t="shared" si="40"/>
        <v>71.428571428571431</v>
      </c>
      <c r="AZ73" s="10">
        <f t="shared" si="41"/>
        <v>55</v>
      </c>
      <c r="BA73" s="10">
        <f t="shared" si="42"/>
        <v>44</v>
      </c>
      <c r="BB73" s="26">
        <f t="shared" si="43"/>
        <v>80</v>
      </c>
    </row>
    <row r="74" spans="1:54" s="47" customFormat="1">
      <c r="A74" s="48">
        <v>68</v>
      </c>
      <c r="B74" s="49">
        <v>1230321067</v>
      </c>
      <c r="C74" s="50" t="s">
        <v>87</v>
      </c>
      <c r="D74" s="10">
        <v>2</v>
      </c>
      <c r="E74" s="10">
        <v>1</v>
      </c>
      <c r="F74" s="19">
        <f t="shared" si="27"/>
        <v>50</v>
      </c>
      <c r="G74" s="49">
        <v>2</v>
      </c>
      <c r="H74" s="10">
        <v>1</v>
      </c>
      <c r="I74" s="19">
        <f t="shared" si="28"/>
        <v>50</v>
      </c>
      <c r="J74" s="10">
        <v>2</v>
      </c>
      <c r="K74" s="10">
        <v>1</v>
      </c>
      <c r="L74" s="19">
        <f t="shared" si="29"/>
        <v>50</v>
      </c>
      <c r="M74" s="10">
        <v>7</v>
      </c>
      <c r="N74" s="10">
        <v>2</v>
      </c>
      <c r="O74" s="19">
        <f t="shared" si="30"/>
        <v>28.571428571428569</v>
      </c>
      <c r="P74" s="10">
        <v>7</v>
      </c>
      <c r="Q74" s="10">
        <v>6</v>
      </c>
      <c r="R74" s="19">
        <f t="shared" si="31"/>
        <v>85.714285714285708</v>
      </c>
      <c r="S74" s="49">
        <v>3</v>
      </c>
      <c r="T74" s="10">
        <v>2</v>
      </c>
      <c r="U74" s="19">
        <f t="shared" si="32"/>
        <v>66.666666666666657</v>
      </c>
      <c r="V74" s="10">
        <v>3</v>
      </c>
      <c r="W74" s="10">
        <v>2</v>
      </c>
      <c r="X74" s="19">
        <f t="shared" si="22"/>
        <v>66.666666666666657</v>
      </c>
      <c r="Y74" s="49">
        <v>1</v>
      </c>
      <c r="Z74" s="49">
        <v>1</v>
      </c>
      <c r="AA74" s="49">
        <f t="shared" si="33"/>
        <v>100</v>
      </c>
      <c r="AB74" s="10">
        <v>7</v>
      </c>
      <c r="AC74" s="10">
        <v>7</v>
      </c>
      <c r="AD74" s="19">
        <f t="shared" si="23"/>
        <v>100</v>
      </c>
      <c r="AE74" s="49">
        <v>2</v>
      </c>
      <c r="AF74" s="10">
        <v>2</v>
      </c>
      <c r="AG74" s="19">
        <f t="shared" si="24"/>
        <v>100</v>
      </c>
      <c r="AH74" s="10">
        <v>5</v>
      </c>
      <c r="AI74" s="10">
        <v>5</v>
      </c>
      <c r="AJ74" s="19">
        <f t="shared" si="25"/>
        <v>100</v>
      </c>
      <c r="AK74" s="49">
        <v>3</v>
      </c>
      <c r="AL74" s="10">
        <v>3</v>
      </c>
      <c r="AM74" s="19">
        <f t="shared" si="26"/>
        <v>100</v>
      </c>
      <c r="AN74" s="10">
        <v>8</v>
      </c>
      <c r="AO74" s="16">
        <v>6</v>
      </c>
      <c r="AP74" s="19">
        <f t="shared" si="34"/>
        <v>75</v>
      </c>
      <c r="AQ74" s="49">
        <v>3</v>
      </c>
      <c r="AR74" s="16">
        <v>2</v>
      </c>
      <c r="AS74" s="19">
        <f t="shared" si="35"/>
        <v>66.666666666666657</v>
      </c>
      <c r="AT74" s="10">
        <f t="shared" si="36"/>
        <v>34</v>
      </c>
      <c r="AU74" s="10">
        <f t="shared" si="37"/>
        <v>28</v>
      </c>
      <c r="AV74" s="26">
        <f t="shared" si="38"/>
        <v>82.35294117647058</v>
      </c>
      <c r="AW74" s="10">
        <f t="shared" si="39"/>
        <v>21</v>
      </c>
      <c r="AX74" s="10">
        <f t="shared" si="39"/>
        <v>13</v>
      </c>
      <c r="AY74" s="26">
        <f t="shared" si="40"/>
        <v>61.904761904761905</v>
      </c>
      <c r="AZ74" s="10">
        <f t="shared" si="41"/>
        <v>55</v>
      </c>
      <c r="BA74" s="10">
        <f t="shared" si="42"/>
        <v>41</v>
      </c>
      <c r="BB74" s="26">
        <f t="shared" si="43"/>
        <v>74.545454545454547</v>
      </c>
    </row>
    <row r="75" spans="1:54" s="47" customFormat="1">
      <c r="A75" s="48">
        <v>69</v>
      </c>
      <c r="B75" s="49">
        <v>1230321068</v>
      </c>
      <c r="C75" s="50" t="s">
        <v>88</v>
      </c>
      <c r="D75" s="10">
        <v>2</v>
      </c>
      <c r="E75" s="10">
        <v>2</v>
      </c>
      <c r="F75" s="19">
        <f t="shared" si="27"/>
        <v>100</v>
      </c>
      <c r="G75" s="49">
        <v>2</v>
      </c>
      <c r="H75" s="10">
        <v>2</v>
      </c>
      <c r="I75" s="19">
        <f t="shared" si="28"/>
        <v>100</v>
      </c>
      <c r="J75" s="10">
        <v>2</v>
      </c>
      <c r="K75" s="10">
        <v>1</v>
      </c>
      <c r="L75" s="19">
        <f t="shared" si="29"/>
        <v>50</v>
      </c>
      <c r="M75" s="10">
        <v>7</v>
      </c>
      <c r="N75" s="10">
        <v>4</v>
      </c>
      <c r="O75" s="19">
        <f t="shared" si="30"/>
        <v>57.142857142857139</v>
      </c>
      <c r="P75" s="10">
        <v>7</v>
      </c>
      <c r="Q75" s="10">
        <v>6</v>
      </c>
      <c r="R75" s="19">
        <f t="shared" si="31"/>
        <v>85.714285714285708</v>
      </c>
      <c r="S75" s="49">
        <v>3</v>
      </c>
      <c r="T75" s="10">
        <v>3</v>
      </c>
      <c r="U75" s="19">
        <f t="shared" si="32"/>
        <v>100</v>
      </c>
      <c r="V75" s="10">
        <v>3</v>
      </c>
      <c r="W75" s="10">
        <v>1</v>
      </c>
      <c r="X75" s="19">
        <f t="shared" si="22"/>
        <v>33.333333333333329</v>
      </c>
      <c r="Y75" s="49">
        <v>1</v>
      </c>
      <c r="Z75" s="49">
        <v>1</v>
      </c>
      <c r="AA75" s="49">
        <f t="shared" si="33"/>
        <v>100</v>
      </c>
      <c r="AB75" s="10">
        <v>7</v>
      </c>
      <c r="AC75" s="10">
        <v>5</v>
      </c>
      <c r="AD75" s="19">
        <f t="shared" si="23"/>
        <v>71.428571428571431</v>
      </c>
      <c r="AE75" s="49">
        <v>2</v>
      </c>
      <c r="AF75" s="10">
        <v>2</v>
      </c>
      <c r="AG75" s="19">
        <f t="shared" si="24"/>
        <v>100</v>
      </c>
      <c r="AH75" s="10">
        <v>5</v>
      </c>
      <c r="AI75" s="10">
        <v>3</v>
      </c>
      <c r="AJ75" s="19">
        <f t="shared" si="25"/>
        <v>60</v>
      </c>
      <c r="AK75" s="49">
        <v>3</v>
      </c>
      <c r="AL75" s="10">
        <v>2</v>
      </c>
      <c r="AM75" s="19">
        <f t="shared" si="26"/>
        <v>66.666666666666657</v>
      </c>
      <c r="AN75" s="10">
        <v>8</v>
      </c>
      <c r="AO75" s="16">
        <v>6</v>
      </c>
      <c r="AP75" s="19">
        <f t="shared" si="34"/>
        <v>75</v>
      </c>
      <c r="AQ75" s="49">
        <v>3</v>
      </c>
      <c r="AR75" s="16">
        <v>2</v>
      </c>
      <c r="AS75" s="19">
        <f t="shared" si="35"/>
        <v>66.666666666666657</v>
      </c>
      <c r="AT75" s="10">
        <f t="shared" si="36"/>
        <v>34</v>
      </c>
      <c r="AU75" s="10">
        <f t="shared" si="37"/>
        <v>24</v>
      </c>
      <c r="AV75" s="26">
        <f t="shared" si="38"/>
        <v>70.588235294117652</v>
      </c>
      <c r="AW75" s="10">
        <f t="shared" si="39"/>
        <v>21</v>
      </c>
      <c r="AX75" s="10">
        <f t="shared" si="39"/>
        <v>16</v>
      </c>
      <c r="AY75" s="26">
        <f t="shared" si="40"/>
        <v>76.19047619047619</v>
      </c>
      <c r="AZ75" s="10">
        <f t="shared" si="41"/>
        <v>55</v>
      </c>
      <c r="BA75" s="10">
        <f t="shared" si="42"/>
        <v>40</v>
      </c>
      <c r="BB75" s="26">
        <f t="shared" si="43"/>
        <v>72.727272727272734</v>
      </c>
    </row>
    <row r="76" spans="1:54" s="47" customFormat="1">
      <c r="A76" s="48">
        <v>70</v>
      </c>
      <c r="B76" s="49">
        <v>1230321069</v>
      </c>
      <c r="C76" s="50" t="s">
        <v>89</v>
      </c>
      <c r="D76" s="10">
        <v>2</v>
      </c>
      <c r="E76" s="10">
        <v>1</v>
      </c>
      <c r="F76" s="19">
        <f t="shared" si="27"/>
        <v>50</v>
      </c>
      <c r="G76" s="49">
        <v>2</v>
      </c>
      <c r="H76" s="10">
        <v>1</v>
      </c>
      <c r="I76" s="19">
        <f t="shared" si="28"/>
        <v>50</v>
      </c>
      <c r="J76" s="10">
        <v>2</v>
      </c>
      <c r="K76" s="10">
        <v>0</v>
      </c>
      <c r="L76" s="19">
        <f t="shared" si="29"/>
        <v>0</v>
      </c>
      <c r="M76" s="10">
        <v>7</v>
      </c>
      <c r="N76" s="10">
        <v>0</v>
      </c>
      <c r="O76" s="19">
        <f t="shared" si="30"/>
        <v>0</v>
      </c>
      <c r="P76" s="10">
        <v>7</v>
      </c>
      <c r="Q76" s="10">
        <v>6</v>
      </c>
      <c r="R76" s="19">
        <f t="shared" si="31"/>
        <v>85.714285714285708</v>
      </c>
      <c r="S76" s="49">
        <v>3</v>
      </c>
      <c r="T76" s="10">
        <v>3</v>
      </c>
      <c r="U76" s="19">
        <f t="shared" si="32"/>
        <v>100</v>
      </c>
      <c r="V76" s="10">
        <v>3</v>
      </c>
      <c r="W76" s="10">
        <v>2</v>
      </c>
      <c r="X76" s="19">
        <f t="shared" si="22"/>
        <v>66.666666666666657</v>
      </c>
      <c r="Y76" s="49">
        <v>1</v>
      </c>
      <c r="Z76" s="49">
        <v>1</v>
      </c>
      <c r="AA76" s="49">
        <f t="shared" si="33"/>
        <v>100</v>
      </c>
      <c r="AB76" s="10">
        <v>7</v>
      </c>
      <c r="AC76" s="10">
        <v>4</v>
      </c>
      <c r="AD76" s="19">
        <f t="shared" si="23"/>
        <v>57.142857142857139</v>
      </c>
      <c r="AE76" s="49">
        <v>2</v>
      </c>
      <c r="AF76" s="10">
        <v>2</v>
      </c>
      <c r="AG76" s="19">
        <f t="shared" si="24"/>
        <v>100</v>
      </c>
      <c r="AH76" s="10">
        <v>5</v>
      </c>
      <c r="AI76" s="10">
        <v>3</v>
      </c>
      <c r="AJ76" s="19">
        <f t="shared" si="25"/>
        <v>60</v>
      </c>
      <c r="AK76" s="49">
        <v>3</v>
      </c>
      <c r="AL76" s="10">
        <v>2</v>
      </c>
      <c r="AM76" s="19">
        <f t="shared" si="26"/>
        <v>66.666666666666657</v>
      </c>
      <c r="AN76" s="10">
        <v>8</v>
      </c>
      <c r="AO76" s="16">
        <v>6</v>
      </c>
      <c r="AP76" s="19">
        <f t="shared" si="34"/>
        <v>75</v>
      </c>
      <c r="AQ76" s="49">
        <v>3</v>
      </c>
      <c r="AR76" s="16">
        <v>3</v>
      </c>
      <c r="AS76" s="19">
        <f t="shared" si="35"/>
        <v>100</v>
      </c>
      <c r="AT76" s="10">
        <f t="shared" si="36"/>
        <v>34</v>
      </c>
      <c r="AU76" s="10">
        <f t="shared" si="37"/>
        <v>22</v>
      </c>
      <c r="AV76" s="26">
        <f t="shared" si="38"/>
        <v>64.705882352941174</v>
      </c>
      <c r="AW76" s="10">
        <f t="shared" si="39"/>
        <v>21</v>
      </c>
      <c r="AX76" s="10">
        <f t="shared" si="39"/>
        <v>12</v>
      </c>
      <c r="AY76" s="26">
        <f t="shared" si="40"/>
        <v>57.142857142857139</v>
      </c>
      <c r="AZ76" s="10">
        <f t="shared" si="41"/>
        <v>55</v>
      </c>
      <c r="BA76" s="10">
        <f t="shared" si="42"/>
        <v>34</v>
      </c>
      <c r="BB76" s="26">
        <f t="shared" si="43"/>
        <v>61.818181818181813</v>
      </c>
    </row>
    <row r="77" spans="1:54" s="47" customFormat="1">
      <c r="A77" s="48">
        <v>71</v>
      </c>
      <c r="B77" s="49">
        <v>1230321070</v>
      </c>
      <c r="C77" s="50" t="s">
        <v>90</v>
      </c>
      <c r="D77" s="10">
        <v>2</v>
      </c>
      <c r="E77" s="10">
        <v>1</v>
      </c>
      <c r="F77" s="19">
        <f t="shared" si="27"/>
        <v>50</v>
      </c>
      <c r="G77" s="49">
        <v>2</v>
      </c>
      <c r="H77" s="10">
        <v>2</v>
      </c>
      <c r="I77" s="19">
        <f t="shared" si="28"/>
        <v>100</v>
      </c>
      <c r="J77" s="10">
        <v>2</v>
      </c>
      <c r="K77" s="10">
        <v>0</v>
      </c>
      <c r="L77" s="19">
        <f t="shared" si="29"/>
        <v>0</v>
      </c>
      <c r="M77" s="10">
        <v>7</v>
      </c>
      <c r="N77" s="10">
        <v>0</v>
      </c>
      <c r="O77" s="19">
        <f t="shared" si="30"/>
        <v>0</v>
      </c>
      <c r="P77" s="10">
        <v>7</v>
      </c>
      <c r="Q77" s="10">
        <v>5</v>
      </c>
      <c r="R77" s="19">
        <f t="shared" si="31"/>
        <v>71.428571428571431</v>
      </c>
      <c r="S77" s="49">
        <v>3</v>
      </c>
      <c r="T77" s="10">
        <v>3</v>
      </c>
      <c r="U77" s="19">
        <f t="shared" si="32"/>
        <v>100</v>
      </c>
      <c r="V77" s="10">
        <v>3</v>
      </c>
      <c r="W77" s="10">
        <v>1</v>
      </c>
      <c r="X77" s="19">
        <f t="shared" si="22"/>
        <v>33.333333333333329</v>
      </c>
      <c r="Y77" s="49">
        <v>1</v>
      </c>
      <c r="Z77" s="49">
        <v>1</v>
      </c>
      <c r="AA77" s="49">
        <f t="shared" si="33"/>
        <v>100</v>
      </c>
      <c r="AB77" s="10">
        <v>7</v>
      </c>
      <c r="AC77" s="10">
        <v>4</v>
      </c>
      <c r="AD77" s="19">
        <f t="shared" si="23"/>
        <v>57.142857142857139</v>
      </c>
      <c r="AE77" s="49">
        <v>2</v>
      </c>
      <c r="AF77" s="10">
        <v>2</v>
      </c>
      <c r="AG77" s="19">
        <f t="shared" si="24"/>
        <v>100</v>
      </c>
      <c r="AH77" s="10">
        <v>5</v>
      </c>
      <c r="AI77" s="10">
        <v>3</v>
      </c>
      <c r="AJ77" s="19">
        <f t="shared" si="25"/>
        <v>60</v>
      </c>
      <c r="AK77" s="49">
        <v>3</v>
      </c>
      <c r="AL77" s="10">
        <v>2</v>
      </c>
      <c r="AM77" s="19">
        <f t="shared" si="26"/>
        <v>66.666666666666657</v>
      </c>
      <c r="AN77" s="10">
        <v>8</v>
      </c>
      <c r="AO77" s="10">
        <v>5</v>
      </c>
      <c r="AP77" s="19">
        <f t="shared" si="34"/>
        <v>62.5</v>
      </c>
      <c r="AQ77" s="49">
        <v>3</v>
      </c>
      <c r="AR77" s="10">
        <v>2</v>
      </c>
      <c r="AS77" s="19">
        <f t="shared" si="35"/>
        <v>66.666666666666657</v>
      </c>
      <c r="AT77" s="10">
        <f t="shared" si="36"/>
        <v>34</v>
      </c>
      <c r="AU77" s="10">
        <f t="shared" si="37"/>
        <v>19</v>
      </c>
      <c r="AV77" s="26">
        <f t="shared" si="38"/>
        <v>55.882352941176471</v>
      </c>
      <c r="AW77" s="10">
        <f t="shared" si="39"/>
        <v>21</v>
      </c>
      <c r="AX77" s="10">
        <f t="shared" si="39"/>
        <v>12</v>
      </c>
      <c r="AY77" s="26">
        <f t="shared" si="40"/>
        <v>57.142857142857139</v>
      </c>
      <c r="AZ77" s="10">
        <f t="shared" si="41"/>
        <v>55</v>
      </c>
      <c r="BA77" s="10">
        <f t="shared" si="42"/>
        <v>31</v>
      </c>
      <c r="BB77" s="26">
        <f t="shared" si="43"/>
        <v>56.36363636363636</v>
      </c>
    </row>
    <row r="78" spans="1:54" s="47" customFormat="1">
      <c r="A78" s="48">
        <v>72</v>
      </c>
      <c r="B78" s="49">
        <v>1230321071</v>
      </c>
      <c r="C78" s="50" t="s">
        <v>91</v>
      </c>
      <c r="D78" s="10">
        <v>2</v>
      </c>
      <c r="E78" s="10">
        <v>2</v>
      </c>
      <c r="F78" s="19">
        <f t="shared" si="27"/>
        <v>100</v>
      </c>
      <c r="G78" s="49">
        <v>2</v>
      </c>
      <c r="H78" s="10">
        <v>2</v>
      </c>
      <c r="I78" s="19">
        <f t="shared" si="28"/>
        <v>100</v>
      </c>
      <c r="J78" s="10">
        <v>2</v>
      </c>
      <c r="K78" s="10">
        <v>1</v>
      </c>
      <c r="L78" s="19">
        <f t="shared" si="29"/>
        <v>50</v>
      </c>
      <c r="M78" s="10">
        <v>7</v>
      </c>
      <c r="N78" s="10">
        <v>2</v>
      </c>
      <c r="O78" s="19">
        <f t="shared" si="30"/>
        <v>28.571428571428569</v>
      </c>
      <c r="P78" s="10">
        <v>7</v>
      </c>
      <c r="Q78" s="10">
        <v>5</v>
      </c>
      <c r="R78" s="19">
        <f t="shared" si="31"/>
        <v>71.428571428571431</v>
      </c>
      <c r="S78" s="49">
        <v>3</v>
      </c>
      <c r="T78" s="10">
        <v>3</v>
      </c>
      <c r="U78" s="19">
        <f t="shared" si="32"/>
        <v>100</v>
      </c>
      <c r="V78" s="10">
        <v>3</v>
      </c>
      <c r="W78" s="10">
        <v>2</v>
      </c>
      <c r="X78" s="19">
        <f t="shared" si="22"/>
        <v>66.666666666666657</v>
      </c>
      <c r="Y78" s="49">
        <v>1</v>
      </c>
      <c r="Z78" s="49">
        <v>1</v>
      </c>
      <c r="AA78" s="49">
        <f t="shared" si="33"/>
        <v>100</v>
      </c>
      <c r="AB78" s="10">
        <v>7</v>
      </c>
      <c r="AC78" s="10">
        <v>5</v>
      </c>
      <c r="AD78" s="19">
        <f t="shared" si="23"/>
        <v>71.428571428571431</v>
      </c>
      <c r="AE78" s="49">
        <v>2</v>
      </c>
      <c r="AF78" s="10">
        <v>2</v>
      </c>
      <c r="AG78" s="19">
        <f t="shared" si="24"/>
        <v>100</v>
      </c>
      <c r="AH78" s="10">
        <v>5</v>
      </c>
      <c r="AI78" s="10">
        <v>3</v>
      </c>
      <c r="AJ78" s="19">
        <f t="shared" si="25"/>
        <v>60</v>
      </c>
      <c r="AK78" s="49">
        <v>3</v>
      </c>
      <c r="AL78" s="10">
        <v>2</v>
      </c>
      <c r="AM78" s="19">
        <f t="shared" si="26"/>
        <v>66.666666666666657</v>
      </c>
      <c r="AN78" s="10">
        <v>8</v>
      </c>
      <c r="AO78" s="16">
        <v>5</v>
      </c>
      <c r="AP78" s="19">
        <f t="shared" si="34"/>
        <v>62.5</v>
      </c>
      <c r="AQ78" s="49">
        <v>3</v>
      </c>
      <c r="AR78" s="16">
        <v>2</v>
      </c>
      <c r="AS78" s="19">
        <f t="shared" si="35"/>
        <v>66.666666666666657</v>
      </c>
      <c r="AT78" s="10">
        <f t="shared" si="36"/>
        <v>34</v>
      </c>
      <c r="AU78" s="10">
        <f t="shared" si="37"/>
        <v>23</v>
      </c>
      <c r="AV78" s="26">
        <f t="shared" si="38"/>
        <v>67.64705882352942</v>
      </c>
      <c r="AW78" s="10">
        <f t="shared" si="39"/>
        <v>21</v>
      </c>
      <c r="AX78" s="10">
        <f t="shared" si="39"/>
        <v>14</v>
      </c>
      <c r="AY78" s="26">
        <f t="shared" si="40"/>
        <v>66.666666666666657</v>
      </c>
      <c r="AZ78" s="10">
        <f t="shared" si="41"/>
        <v>55</v>
      </c>
      <c r="BA78" s="10">
        <f t="shared" si="42"/>
        <v>37</v>
      </c>
      <c r="BB78" s="26">
        <f t="shared" si="43"/>
        <v>67.272727272727266</v>
      </c>
    </row>
    <row r="79" spans="1:54" s="47" customFormat="1">
      <c r="A79" s="48">
        <v>73</v>
      </c>
      <c r="B79" s="49">
        <v>1230321072</v>
      </c>
      <c r="C79" s="50" t="s">
        <v>92</v>
      </c>
      <c r="D79" s="10">
        <v>2</v>
      </c>
      <c r="E79" s="10">
        <v>1</v>
      </c>
      <c r="F79" s="19">
        <f t="shared" si="27"/>
        <v>50</v>
      </c>
      <c r="G79" s="49">
        <v>2</v>
      </c>
      <c r="H79" s="10">
        <v>1</v>
      </c>
      <c r="I79" s="19">
        <f t="shared" si="28"/>
        <v>50</v>
      </c>
      <c r="J79" s="10">
        <v>2</v>
      </c>
      <c r="K79" s="10">
        <v>1</v>
      </c>
      <c r="L79" s="19">
        <f t="shared" si="29"/>
        <v>50</v>
      </c>
      <c r="M79" s="10">
        <v>7</v>
      </c>
      <c r="N79" s="10">
        <v>5</v>
      </c>
      <c r="O79" s="19">
        <f t="shared" si="30"/>
        <v>71.428571428571431</v>
      </c>
      <c r="P79" s="10">
        <v>7</v>
      </c>
      <c r="Q79" s="10">
        <v>5</v>
      </c>
      <c r="R79" s="19">
        <f t="shared" si="31"/>
        <v>71.428571428571431</v>
      </c>
      <c r="S79" s="49">
        <v>3</v>
      </c>
      <c r="T79" s="10">
        <v>3</v>
      </c>
      <c r="U79" s="19">
        <f t="shared" si="32"/>
        <v>100</v>
      </c>
      <c r="V79" s="10">
        <v>3</v>
      </c>
      <c r="W79" s="10">
        <v>1</v>
      </c>
      <c r="X79" s="19">
        <f t="shared" si="22"/>
        <v>33.333333333333329</v>
      </c>
      <c r="Y79" s="49">
        <v>1</v>
      </c>
      <c r="Z79" s="49">
        <v>1</v>
      </c>
      <c r="AA79" s="49">
        <f t="shared" si="33"/>
        <v>100</v>
      </c>
      <c r="AB79" s="10">
        <v>7</v>
      </c>
      <c r="AC79" s="10">
        <v>3</v>
      </c>
      <c r="AD79" s="19">
        <f t="shared" si="23"/>
        <v>42.857142857142854</v>
      </c>
      <c r="AE79" s="49">
        <v>2</v>
      </c>
      <c r="AF79" s="10">
        <v>2</v>
      </c>
      <c r="AG79" s="19">
        <f t="shared" si="24"/>
        <v>100</v>
      </c>
      <c r="AH79" s="10">
        <v>5</v>
      </c>
      <c r="AI79" s="10">
        <v>5</v>
      </c>
      <c r="AJ79" s="19">
        <f t="shared" si="25"/>
        <v>100</v>
      </c>
      <c r="AK79" s="49">
        <v>3</v>
      </c>
      <c r="AL79" s="10">
        <v>2</v>
      </c>
      <c r="AM79" s="19">
        <f t="shared" si="26"/>
        <v>66.666666666666657</v>
      </c>
      <c r="AN79" s="10">
        <v>8</v>
      </c>
      <c r="AO79" s="16">
        <v>6</v>
      </c>
      <c r="AP79" s="19">
        <f t="shared" si="34"/>
        <v>75</v>
      </c>
      <c r="AQ79" s="49">
        <v>3</v>
      </c>
      <c r="AR79" s="16">
        <v>1</v>
      </c>
      <c r="AS79" s="19">
        <f t="shared" si="35"/>
        <v>33.333333333333329</v>
      </c>
      <c r="AT79" s="10">
        <f t="shared" si="36"/>
        <v>34</v>
      </c>
      <c r="AU79" s="10">
        <f t="shared" si="37"/>
        <v>22</v>
      </c>
      <c r="AV79" s="26">
        <f t="shared" si="38"/>
        <v>64.705882352941174</v>
      </c>
      <c r="AW79" s="10">
        <f t="shared" si="39"/>
        <v>21</v>
      </c>
      <c r="AX79" s="10">
        <f t="shared" si="39"/>
        <v>15</v>
      </c>
      <c r="AY79" s="26">
        <f t="shared" si="40"/>
        <v>71.428571428571431</v>
      </c>
      <c r="AZ79" s="10">
        <f t="shared" si="41"/>
        <v>55</v>
      </c>
      <c r="BA79" s="10">
        <f t="shared" si="42"/>
        <v>37</v>
      </c>
      <c r="BB79" s="26">
        <f t="shared" si="43"/>
        <v>67.272727272727266</v>
      </c>
    </row>
    <row r="80" spans="1:54" s="47" customFormat="1">
      <c r="A80" s="48">
        <v>74</v>
      </c>
      <c r="B80" s="49">
        <v>1230321073</v>
      </c>
      <c r="C80" s="50" t="s">
        <v>93</v>
      </c>
      <c r="D80" s="10">
        <v>2</v>
      </c>
      <c r="E80" s="10">
        <v>1</v>
      </c>
      <c r="F80" s="19">
        <f t="shared" si="27"/>
        <v>50</v>
      </c>
      <c r="G80" s="49">
        <v>2</v>
      </c>
      <c r="H80" s="10">
        <v>1</v>
      </c>
      <c r="I80" s="19">
        <f t="shared" si="28"/>
        <v>50</v>
      </c>
      <c r="J80" s="10">
        <v>2</v>
      </c>
      <c r="K80" s="10">
        <v>0</v>
      </c>
      <c r="L80" s="19">
        <f t="shared" si="29"/>
        <v>0</v>
      </c>
      <c r="M80" s="10">
        <v>7</v>
      </c>
      <c r="N80" s="10">
        <v>0</v>
      </c>
      <c r="O80" s="19">
        <f t="shared" si="30"/>
        <v>0</v>
      </c>
      <c r="P80" s="10">
        <v>7</v>
      </c>
      <c r="Q80" s="10">
        <v>4</v>
      </c>
      <c r="R80" s="19">
        <f t="shared" si="31"/>
        <v>57.142857142857139</v>
      </c>
      <c r="S80" s="49">
        <v>3</v>
      </c>
      <c r="T80" s="10">
        <v>3</v>
      </c>
      <c r="U80" s="19">
        <f t="shared" si="32"/>
        <v>100</v>
      </c>
      <c r="V80" s="10">
        <v>3</v>
      </c>
      <c r="W80" s="10">
        <v>2</v>
      </c>
      <c r="X80" s="19">
        <f t="shared" si="22"/>
        <v>66.666666666666657</v>
      </c>
      <c r="Y80" s="49">
        <v>1</v>
      </c>
      <c r="Z80" s="49">
        <v>1</v>
      </c>
      <c r="AA80" s="49">
        <f t="shared" si="33"/>
        <v>100</v>
      </c>
      <c r="AB80" s="10">
        <v>7</v>
      </c>
      <c r="AC80" s="10">
        <v>3</v>
      </c>
      <c r="AD80" s="19">
        <f t="shared" si="23"/>
        <v>42.857142857142854</v>
      </c>
      <c r="AE80" s="49">
        <v>2</v>
      </c>
      <c r="AF80" s="10">
        <v>1</v>
      </c>
      <c r="AG80" s="19">
        <f t="shared" si="24"/>
        <v>50</v>
      </c>
      <c r="AH80" s="10">
        <v>5</v>
      </c>
      <c r="AI80" s="10">
        <v>4</v>
      </c>
      <c r="AJ80" s="19">
        <f t="shared" si="25"/>
        <v>80</v>
      </c>
      <c r="AK80" s="49">
        <v>3</v>
      </c>
      <c r="AL80" s="10">
        <v>2</v>
      </c>
      <c r="AM80" s="19">
        <f t="shared" si="26"/>
        <v>66.666666666666657</v>
      </c>
      <c r="AN80" s="10">
        <v>8</v>
      </c>
      <c r="AO80" s="16">
        <v>8</v>
      </c>
      <c r="AP80" s="19">
        <f t="shared" si="34"/>
        <v>100</v>
      </c>
      <c r="AQ80" s="49">
        <v>3</v>
      </c>
      <c r="AR80" s="16">
        <v>3</v>
      </c>
      <c r="AS80" s="19">
        <f t="shared" si="35"/>
        <v>100</v>
      </c>
      <c r="AT80" s="10">
        <f t="shared" si="36"/>
        <v>34</v>
      </c>
      <c r="AU80" s="10">
        <f t="shared" si="37"/>
        <v>22</v>
      </c>
      <c r="AV80" s="26">
        <f t="shared" si="38"/>
        <v>64.705882352941174</v>
      </c>
      <c r="AW80" s="10">
        <f t="shared" si="39"/>
        <v>21</v>
      </c>
      <c r="AX80" s="10">
        <f t="shared" si="39"/>
        <v>11</v>
      </c>
      <c r="AY80" s="26">
        <f t="shared" si="40"/>
        <v>52.380952380952387</v>
      </c>
      <c r="AZ80" s="10">
        <f t="shared" si="41"/>
        <v>55</v>
      </c>
      <c r="BA80" s="10">
        <f t="shared" si="42"/>
        <v>33</v>
      </c>
      <c r="BB80" s="26">
        <f t="shared" si="43"/>
        <v>60</v>
      </c>
    </row>
    <row r="81" spans="1:54" s="47" customFormat="1">
      <c r="A81" s="48">
        <v>75</v>
      </c>
      <c r="B81" s="49">
        <v>1230321074</v>
      </c>
      <c r="C81" s="50" t="s">
        <v>94</v>
      </c>
      <c r="D81" s="10">
        <v>2</v>
      </c>
      <c r="E81" s="10">
        <v>2</v>
      </c>
      <c r="F81" s="19">
        <f t="shared" si="27"/>
        <v>100</v>
      </c>
      <c r="G81" s="49">
        <v>2</v>
      </c>
      <c r="H81" s="10">
        <v>2</v>
      </c>
      <c r="I81" s="19">
        <f t="shared" si="28"/>
        <v>100</v>
      </c>
      <c r="J81" s="10">
        <v>2</v>
      </c>
      <c r="K81" s="10">
        <v>1</v>
      </c>
      <c r="L81" s="19">
        <f t="shared" si="29"/>
        <v>50</v>
      </c>
      <c r="M81" s="10">
        <v>7</v>
      </c>
      <c r="N81" s="10">
        <v>4</v>
      </c>
      <c r="O81" s="19">
        <f t="shared" si="30"/>
        <v>57.142857142857139</v>
      </c>
      <c r="P81" s="10">
        <v>7</v>
      </c>
      <c r="Q81" s="10">
        <v>3</v>
      </c>
      <c r="R81" s="19">
        <f t="shared" si="31"/>
        <v>42.857142857142854</v>
      </c>
      <c r="S81" s="49">
        <v>3</v>
      </c>
      <c r="T81" s="10">
        <v>0</v>
      </c>
      <c r="U81" s="19">
        <f t="shared" si="32"/>
        <v>0</v>
      </c>
      <c r="V81" s="10">
        <v>3</v>
      </c>
      <c r="W81" s="10">
        <v>2</v>
      </c>
      <c r="X81" s="19">
        <f t="shared" si="22"/>
        <v>66.666666666666657</v>
      </c>
      <c r="Y81" s="49">
        <v>1</v>
      </c>
      <c r="Z81" s="49">
        <v>1</v>
      </c>
      <c r="AA81" s="49">
        <f t="shared" si="33"/>
        <v>100</v>
      </c>
      <c r="AB81" s="10">
        <v>7</v>
      </c>
      <c r="AC81" s="10">
        <v>0</v>
      </c>
      <c r="AD81" s="19">
        <f t="shared" si="23"/>
        <v>0</v>
      </c>
      <c r="AE81" s="49">
        <v>2</v>
      </c>
      <c r="AF81" s="10">
        <v>0</v>
      </c>
      <c r="AG81" s="19">
        <f t="shared" si="24"/>
        <v>0</v>
      </c>
      <c r="AH81" s="10">
        <v>5</v>
      </c>
      <c r="AI81" s="10">
        <v>2</v>
      </c>
      <c r="AJ81" s="19">
        <f t="shared" si="25"/>
        <v>40</v>
      </c>
      <c r="AK81" s="49">
        <v>3</v>
      </c>
      <c r="AL81" s="10">
        <v>1</v>
      </c>
      <c r="AM81" s="19">
        <f t="shared" si="26"/>
        <v>33.333333333333329</v>
      </c>
      <c r="AN81" s="10">
        <v>8</v>
      </c>
      <c r="AO81" s="16">
        <v>4</v>
      </c>
      <c r="AP81" s="19">
        <f t="shared" si="34"/>
        <v>50</v>
      </c>
      <c r="AQ81" s="49">
        <v>3</v>
      </c>
      <c r="AR81" s="16">
        <v>1</v>
      </c>
      <c r="AS81" s="19">
        <f t="shared" si="35"/>
        <v>33.333333333333329</v>
      </c>
      <c r="AT81" s="10">
        <f t="shared" si="36"/>
        <v>34</v>
      </c>
      <c r="AU81" s="10">
        <f t="shared" si="37"/>
        <v>14</v>
      </c>
      <c r="AV81" s="26">
        <f t="shared" si="38"/>
        <v>41.17647058823529</v>
      </c>
      <c r="AW81" s="10">
        <f t="shared" si="39"/>
        <v>21</v>
      </c>
      <c r="AX81" s="10">
        <f t="shared" si="39"/>
        <v>9</v>
      </c>
      <c r="AY81" s="26">
        <f t="shared" si="40"/>
        <v>42.857142857142854</v>
      </c>
      <c r="AZ81" s="10">
        <f t="shared" si="41"/>
        <v>55</v>
      </c>
      <c r="BA81" s="10">
        <f t="shared" si="42"/>
        <v>23</v>
      </c>
      <c r="BB81" s="26">
        <f t="shared" si="43"/>
        <v>41.818181818181813</v>
      </c>
    </row>
    <row r="82" spans="1:54" s="47" customFormat="1">
      <c r="A82" s="48">
        <v>76</v>
      </c>
      <c r="B82" s="49">
        <v>1230321075</v>
      </c>
      <c r="C82" s="50" t="s">
        <v>95</v>
      </c>
      <c r="D82" s="10">
        <v>2</v>
      </c>
      <c r="E82" s="10">
        <v>0</v>
      </c>
      <c r="F82" s="19">
        <f t="shared" si="27"/>
        <v>0</v>
      </c>
      <c r="G82" s="49">
        <v>2</v>
      </c>
      <c r="H82" s="10">
        <v>0</v>
      </c>
      <c r="I82" s="19">
        <f t="shared" si="28"/>
        <v>0</v>
      </c>
      <c r="J82" s="10">
        <v>2</v>
      </c>
      <c r="K82" s="10">
        <v>1</v>
      </c>
      <c r="L82" s="19">
        <f t="shared" si="29"/>
        <v>50</v>
      </c>
      <c r="M82" s="10">
        <v>7</v>
      </c>
      <c r="N82" s="10">
        <v>4</v>
      </c>
      <c r="O82" s="19">
        <f t="shared" si="30"/>
        <v>57.142857142857139</v>
      </c>
      <c r="P82" s="10">
        <v>7</v>
      </c>
      <c r="Q82" s="10">
        <v>5</v>
      </c>
      <c r="R82" s="19">
        <f t="shared" si="31"/>
        <v>71.428571428571431</v>
      </c>
      <c r="S82" s="49">
        <v>3</v>
      </c>
      <c r="T82" s="10">
        <v>1</v>
      </c>
      <c r="U82" s="19">
        <f t="shared" si="32"/>
        <v>33.333333333333329</v>
      </c>
      <c r="V82" s="10">
        <v>3</v>
      </c>
      <c r="W82" s="10">
        <v>1</v>
      </c>
      <c r="X82" s="19">
        <f t="shared" si="22"/>
        <v>33.333333333333329</v>
      </c>
      <c r="Y82" s="49">
        <v>1</v>
      </c>
      <c r="Z82" s="49">
        <v>1</v>
      </c>
      <c r="AA82" s="49">
        <f t="shared" si="33"/>
        <v>100</v>
      </c>
      <c r="AB82" s="10">
        <v>7</v>
      </c>
      <c r="AC82" s="10">
        <v>6</v>
      </c>
      <c r="AD82" s="19">
        <f t="shared" si="23"/>
        <v>85.714285714285708</v>
      </c>
      <c r="AE82" s="49">
        <v>2</v>
      </c>
      <c r="AF82" s="10">
        <v>2</v>
      </c>
      <c r="AG82" s="19">
        <f t="shared" si="24"/>
        <v>100</v>
      </c>
      <c r="AH82" s="10">
        <v>5</v>
      </c>
      <c r="AI82" s="10">
        <v>3</v>
      </c>
      <c r="AJ82" s="19">
        <f t="shared" si="25"/>
        <v>60</v>
      </c>
      <c r="AK82" s="49">
        <v>3</v>
      </c>
      <c r="AL82" s="10">
        <v>2</v>
      </c>
      <c r="AM82" s="19">
        <f t="shared" si="26"/>
        <v>66.666666666666657</v>
      </c>
      <c r="AN82" s="10">
        <v>8</v>
      </c>
      <c r="AO82" s="16">
        <v>7</v>
      </c>
      <c r="AP82" s="19">
        <f t="shared" si="34"/>
        <v>87.5</v>
      </c>
      <c r="AQ82" s="49">
        <v>3</v>
      </c>
      <c r="AR82" s="16">
        <v>2</v>
      </c>
      <c r="AS82" s="19">
        <f t="shared" si="35"/>
        <v>66.666666666666657</v>
      </c>
      <c r="AT82" s="10">
        <f t="shared" si="36"/>
        <v>34</v>
      </c>
      <c r="AU82" s="10">
        <f t="shared" si="37"/>
        <v>23</v>
      </c>
      <c r="AV82" s="26">
        <f t="shared" si="38"/>
        <v>67.64705882352942</v>
      </c>
      <c r="AW82" s="10">
        <f t="shared" si="39"/>
        <v>21</v>
      </c>
      <c r="AX82" s="10">
        <f t="shared" si="39"/>
        <v>12</v>
      </c>
      <c r="AY82" s="26">
        <f t="shared" si="40"/>
        <v>57.142857142857139</v>
      </c>
      <c r="AZ82" s="10">
        <f t="shared" si="41"/>
        <v>55</v>
      </c>
      <c r="BA82" s="10">
        <f t="shared" si="42"/>
        <v>35</v>
      </c>
      <c r="BB82" s="26">
        <f t="shared" si="43"/>
        <v>63.636363636363633</v>
      </c>
    </row>
    <row r="83" spans="1:54" s="47" customFormat="1">
      <c r="A83" s="48">
        <v>77</v>
      </c>
      <c r="B83" s="49">
        <v>1230321076</v>
      </c>
      <c r="C83" s="50" t="s">
        <v>96</v>
      </c>
      <c r="D83" s="10">
        <v>2</v>
      </c>
      <c r="E83" s="10">
        <v>2</v>
      </c>
      <c r="F83" s="19">
        <f t="shared" si="27"/>
        <v>100</v>
      </c>
      <c r="G83" s="49">
        <v>2</v>
      </c>
      <c r="H83" s="10">
        <v>2</v>
      </c>
      <c r="I83" s="19">
        <f t="shared" si="28"/>
        <v>100</v>
      </c>
      <c r="J83" s="10">
        <v>2</v>
      </c>
      <c r="K83" s="10">
        <v>1</v>
      </c>
      <c r="L83" s="19">
        <f t="shared" si="29"/>
        <v>50</v>
      </c>
      <c r="M83" s="10">
        <v>7</v>
      </c>
      <c r="N83" s="10">
        <v>6</v>
      </c>
      <c r="O83" s="19">
        <f t="shared" si="30"/>
        <v>85.714285714285708</v>
      </c>
      <c r="P83" s="10">
        <v>7</v>
      </c>
      <c r="Q83" s="10">
        <v>6</v>
      </c>
      <c r="R83" s="19">
        <f t="shared" si="31"/>
        <v>85.714285714285708</v>
      </c>
      <c r="S83" s="49">
        <v>3</v>
      </c>
      <c r="T83" s="10">
        <v>2</v>
      </c>
      <c r="U83" s="19">
        <f t="shared" si="32"/>
        <v>66.666666666666657</v>
      </c>
      <c r="V83" s="10">
        <v>3</v>
      </c>
      <c r="W83" s="10">
        <v>2</v>
      </c>
      <c r="X83" s="19">
        <f t="shared" si="22"/>
        <v>66.666666666666657</v>
      </c>
      <c r="Y83" s="49">
        <v>1</v>
      </c>
      <c r="Z83" s="49">
        <v>1</v>
      </c>
      <c r="AA83" s="49">
        <f t="shared" si="33"/>
        <v>100</v>
      </c>
      <c r="AB83" s="10">
        <v>7</v>
      </c>
      <c r="AC83" s="10">
        <v>5</v>
      </c>
      <c r="AD83" s="19">
        <f t="shared" si="23"/>
        <v>71.428571428571431</v>
      </c>
      <c r="AE83" s="49">
        <v>2</v>
      </c>
      <c r="AF83" s="10">
        <v>1</v>
      </c>
      <c r="AG83" s="19">
        <f t="shared" si="24"/>
        <v>50</v>
      </c>
      <c r="AH83" s="10">
        <v>5</v>
      </c>
      <c r="AI83" s="10">
        <v>5</v>
      </c>
      <c r="AJ83" s="19">
        <f t="shared" si="25"/>
        <v>100</v>
      </c>
      <c r="AK83" s="49">
        <v>3</v>
      </c>
      <c r="AL83" s="10">
        <v>2</v>
      </c>
      <c r="AM83" s="19">
        <f t="shared" si="26"/>
        <v>66.666666666666657</v>
      </c>
      <c r="AN83" s="10">
        <v>8</v>
      </c>
      <c r="AO83" s="16">
        <v>7</v>
      </c>
      <c r="AP83" s="19">
        <f t="shared" si="34"/>
        <v>87.5</v>
      </c>
      <c r="AQ83" s="49">
        <v>3</v>
      </c>
      <c r="AR83" s="16">
        <v>3</v>
      </c>
      <c r="AS83" s="19">
        <f t="shared" si="35"/>
        <v>100</v>
      </c>
      <c r="AT83" s="10">
        <f t="shared" si="36"/>
        <v>34</v>
      </c>
      <c r="AU83" s="10">
        <f t="shared" si="37"/>
        <v>28</v>
      </c>
      <c r="AV83" s="26">
        <f t="shared" si="38"/>
        <v>82.35294117647058</v>
      </c>
      <c r="AW83" s="10">
        <f t="shared" si="39"/>
        <v>21</v>
      </c>
      <c r="AX83" s="10">
        <f t="shared" si="39"/>
        <v>17</v>
      </c>
      <c r="AY83" s="26">
        <f t="shared" si="40"/>
        <v>80.952380952380949</v>
      </c>
      <c r="AZ83" s="10">
        <f t="shared" si="41"/>
        <v>55</v>
      </c>
      <c r="BA83" s="10">
        <f t="shared" si="42"/>
        <v>45</v>
      </c>
      <c r="BB83" s="26">
        <f t="shared" si="43"/>
        <v>81.818181818181827</v>
      </c>
    </row>
    <row r="84" spans="1:54" ht="16.5" customHeight="1">
      <c r="A84" s="65" t="s">
        <v>97</v>
      </c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7"/>
    </row>
    <row r="85" spans="1:54">
      <c r="A85" s="12">
        <v>78</v>
      </c>
      <c r="B85" s="13" t="s">
        <v>0</v>
      </c>
      <c r="C85" s="14" t="s">
        <v>103</v>
      </c>
      <c r="D85" s="10">
        <v>2</v>
      </c>
      <c r="E85" s="7">
        <v>0</v>
      </c>
      <c r="F85" s="7">
        <v>0</v>
      </c>
      <c r="G85" s="49">
        <v>2</v>
      </c>
      <c r="H85" s="7">
        <v>0</v>
      </c>
      <c r="I85" s="7">
        <v>0</v>
      </c>
      <c r="J85" s="10">
        <v>2</v>
      </c>
      <c r="K85" s="7">
        <v>0</v>
      </c>
      <c r="L85" s="7">
        <v>0</v>
      </c>
      <c r="M85" s="10">
        <v>7</v>
      </c>
      <c r="N85" s="7">
        <v>0</v>
      </c>
      <c r="O85" s="7">
        <v>0</v>
      </c>
      <c r="P85" s="10">
        <v>7</v>
      </c>
      <c r="Q85" s="7">
        <v>0</v>
      </c>
      <c r="R85" s="7">
        <v>0</v>
      </c>
      <c r="S85" s="49">
        <v>3</v>
      </c>
      <c r="T85" s="7">
        <v>0</v>
      </c>
      <c r="U85" s="7">
        <v>0</v>
      </c>
      <c r="V85" s="10">
        <v>3</v>
      </c>
      <c r="W85" s="7">
        <v>0</v>
      </c>
      <c r="X85" s="19">
        <f t="shared" si="22"/>
        <v>0</v>
      </c>
      <c r="Y85" s="49">
        <v>1</v>
      </c>
      <c r="Z85" s="9">
        <v>1</v>
      </c>
      <c r="AA85" s="9">
        <f t="shared" ref="AA85" si="44">Z85/Y85*100</f>
        <v>100</v>
      </c>
      <c r="AB85" s="7">
        <v>7</v>
      </c>
      <c r="AC85" s="7">
        <v>0</v>
      </c>
      <c r="AD85" s="7">
        <v>0</v>
      </c>
      <c r="AE85" s="7">
        <v>2</v>
      </c>
      <c r="AF85" s="7">
        <v>0</v>
      </c>
      <c r="AG85" s="7">
        <v>0</v>
      </c>
      <c r="AH85" s="7">
        <v>5</v>
      </c>
      <c r="AI85" s="7">
        <v>0</v>
      </c>
      <c r="AJ85" s="7">
        <v>0</v>
      </c>
      <c r="AK85" s="7">
        <v>3</v>
      </c>
      <c r="AL85" s="7">
        <v>0</v>
      </c>
      <c r="AM85" s="7">
        <v>0</v>
      </c>
      <c r="AN85" s="7">
        <v>8</v>
      </c>
      <c r="AO85" s="7">
        <v>0</v>
      </c>
      <c r="AP85" s="7">
        <v>0</v>
      </c>
      <c r="AQ85" s="7">
        <v>3</v>
      </c>
      <c r="AR85" s="7">
        <v>0</v>
      </c>
      <c r="AS85" s="7">
        <v>0</v>
      </c>
      <c r="AT85" s="10">
        <f t="shared" ref="AT85:AT88" si="45">SUM(D85,J85,P85,V85,AB85,AH85,AN85)</f>
        <v>34</v>
      </c>
      <c r="AU85" s="10">
        <f t="shared" ref="AU85:AU88" si="46">SUM(E85,K85,Q85,W85,AC85,AI85,AO85)</f>
        <v>0</v>
      </c>
      <c r="AV85" s="26">
        <f t="shared" ref="AV85:AV88" si="47">AU85/AT85*100</f>
        <v>0</v>
      </c>
      <c r="AW85" s="10">
        <f t="shared" ref="AW85:AW88" si="48">SUM(G85,M85,S85,Y85,AE85,AK85,AQ85)</f>
        <v>21</v>
      </c>
      <c r="AX85" s="10">
        <f t="shared" ref="AX85:AX88" si="49">SUM(H85,N85,T85,Z85,AF85,AL85,AR85)</f>
        <v>1</v>
      </c>
      <c r="AY85" s="26">
        <f t="shared" ref="AY85:AY88" si="50">AX85/AW85*100</f>
        <v>4.7619047619047619</v>
      </c>
      <c r="AZ85" s="10">
        <f t="shared" ref="AZ85:AZ88" si="51">SUM(AT85,AW85)</f>
        <v>55</v>
      </c>
      <c r="BA85" s="10">
        <f t="shared" ref="BA85:BA88" si="52">SUM(AU85,AX85)</f>
        <v>1</v>
      </c>
      <c r="BB85" s="26">
        <f t="shared" ref="BB85:BB88" si="53">BA85/AZ85*100</f>
        <v>1.8181818181818181</v>
      </c>
    </row>
    <row r="86" spans="1:54">
      <c r="A86" s="65" t="s">
        <v>98</v>
      </c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7"/>
    </row>
    <row r="87" spans="1:54">
      <c r="A87" s="12">
        <v>1</v>
      </c>
      <c r="B87" s="15">
        <v>1220321025</v>
      </c>
      <c r="C87" s="15" t="s">
        <v>99</v>
      </c>
      <c r="D87" s="10">
        <v>2</v>
      </c>
      <c r="E87" s="7">
        <v>0</v>
      </c>
      <c r="F87" s="7">
        <v>0</v>
      </c>
      <c r="G87" s="49">
        <v>2</v>
      </c>
      <c r="H87" s="7">
        <v>0</v>
      </c>
      <c r="I87" s="7">
        <v>0</v>
      </c>
      <c r="J87" s="10">
        <v>2</v>
      </c>
      <c r="K87" s="7">
        <v>0</v>
      </c>
      <c r="L87" s="7">
        <v>0</v>
      </c>
      <c r="M87" s="10">
        <v>7</v>
      </c>
      <c r="N87" s="7">
        <v>0</v>
      </c>
      <c r="O87" s="7">
        <v>0</v>
      </c>
      <c r="P87" s="10">
        <v>7</v>
      </c>
      <c r="Q87" s="7">
        <v>1</v>
      </c>
      <c r="R87" s="7">
        <v>0</v>
      </c>
      <c r="S87" s="49">
        <v>3</v>
      </c>
      <c r="T87" s="7">
        <v>0</v>
      </c>
      <c r="U87" s="7">
        <v>0</v>
      </c>
      <c r="V87" s="10">
        <v>3</v>
      </c>
      <c r="W87" s="7">
        <v>0</v>
      </c>
      <c r="X87" s="19">
        <f t="shared" si="22"/>
        <v>0</v>
      </c>
      <c r="Y87" s="49">
        <v>1</v>
      </c>
      <c r="Z87" s="9">
        <v>1</v>
      </c>
      <c r="AA87" s="9">
        <f t="shared" ref="AA87:AA88" si="54">Z87/Y87*100</f>
        <v>100</v>
      </c>
      <c r="AB87" s="7">
        <v>7</v>
      </c>
      <c r="AC87" s="7">
        <v>0</v>
      </c>
      <c r="AD87" s="7">
        <v>0</v>
      </c>
      <c r="AE87" s="7">
        <v>2</v>
      </c>
      <c r="AF87" s="7">
        <v>0</v>
      </c>
      <c r="AG87" s="7">
        <v>0</v>
      </c>
      <c r="AH87" s="7">
        <v>5</v>
      </c>
      <c r="AI87" s="7">
        <v>0</v>
      </c>
      <c r="AJ87" s="7">
        <v>0</v>
      </c>
      <c r="AK87" s="7">
        <v>3</v>
      </c>
      <c r="AL87" s="7">
        <v>0</v>
      </c>
      <c r="AM87" s="7">
        <v>0</v>
      </c>
      <c r="AN87" s="7">
        <v>4</v>
      </c>
      <c r="AO87" s="7">
        <v>4</v>
      </c>
      <c r="AP87" s="7">
        <v>0</v>
      </c>
      <c r="AQ87" s="7">
        <v>3</v>
      </c>
      <c r="AR87" s="7">
        <v>1</v>
      </c>
      <c r="AS87" s="7">
        <v>0</v>
      </c>
      <c r="AT87" s="10">
        <f t="shared" si="45"/>
        <v>30</v>
      </c>
      <c r="AU87" s="10">
        <f t="shared" si="46"/>
        <v>5</v>
      </c>
      <c r="AV87" s="26">
        <f t="shared" si="47"/>
        <v>16.666666666666664</v>
      </c>
      <c r="AW87" s="10">
        <f t="shared" si="48"/>
        <v>21</v>
      </c>
      <c r="AX87" s="10">
        <f t="shared" si="49"/>
        <v>2</v>
      </c>
      <c r="AY87" s="26">
        <f t="shared" si="50"/>
        <v>9.5238095238095237</v>
      </c>
      <c r="AZ87" s="10">
        <f t="shared" si="51"/>
        <v>51</v>
      </c>
      <c r="BA87" s="10">
        <f t="shared" si="52"/>
        <v>7</v>
      </c>
      <c r="BB87" s="26">
        <f t="shared" si="53"/>
        <v>13.725490196078432</v>
      </c>
    </row>
    <row r="88" spans="1:54">
      <c r="A88" s="12">
        <v>2</v>
      </c>
      <c r="B88" s="15">
        <v>1230321051</v>
      </c>
      <c r="C88" s="15" t="s">
        <v>104</v>
      </c>
      <c r="D88" s="10">
        <v>2</v>
      </c>
      <c r="E88" s="7">
        <v>0</v>
      </c>
      <c r="F88" s="7">
        <v>0</v>
      </c>
      <c r="G88" s="49">
        <v>2</v>
      </c>
      <c r="H88" s="7">
        <v>0</v>
      </c>
      <c r="I88" s="7">
        <v>0</v>
      </c>
      <c r="J88" s="10">
        <v>2</v>
      </c>
      <c r="K88" s="7">
        <v>0</v>
      </c>
      <c r="L88" s="7">
        <v>0</v>
      </c>
      <c r="M88" s="10">
        <v>7</v>
      </c>
      <c r="N88" s="7">
        <v>0</v>
      </c>
      <c r="O88" s="7">
        <v>0</v>
      </c>
      <c r="P88" s="10">
        <v>7</v>
      </c>
      <c r="Q88" s="7">
        <v>2</v>
      </c>
      <c r="R88" s="7">
        <v>0</v>
      </c>
      <c r="S88" s="49">
        <v>3</v>
      </c>
      <c r="T88" s="7">
        <v>1</v>
      </c>
      <c r="U88" s="7">
        <v>0</v>
      </c>
      <c r="V88" s="10">
        <v>3</v>
      </c>
      <c r="W88" s="7">
        <v>3</v>
      </c>
      <c r="X88" s="19">
        <f t="shared" si="22"/>
        <v>100</v>
      </c>
      <c r="Y88" s="49">
        <v>1</v>
      </c>
      <c r="Z88" s="9">
        <v>1</v>
      </c>
      <c r="AA88" s="9">
        <f t="shared" si="54"/>
        <v>100</v>
      </c>
      <c r="AB88" s="7">
        <v>7</v>
      </c>
      <c r="AC88" s="7">
        <v>1</v>
      </c>
      <c r="AD88" s="7">
        <v>0</v>
      </c>
      <c r="AE88" s="7">
        <v>2</v>
      </c>
      <c r="AF88" s="7">
        <v>0</v>
      </c>
      <c r="AG88" s="7">
        <v>0</v>
      </c>
      <c r="AH88" s="7">
        <v>5</v>
      </c>
      <c r="AI88" s="7">
        <v>3</v>
      </c>
      <c r="AJ88" s="7">
        <v>0</v>
      </c>
      <c r="AK88" s="7">
        <v>3</v>
      </c>
      <c r="AL88" s="7">
        <v>2</v>
      </c>
      <c r="AM88" s="7">
        <v>0</v>
      </c>
      <c r="AN88" s="7">
        <v>8</v>
      </c>
      <c r="AO88" s="7">
        <v>8</v>
      </c>
      <c r="AP88" s="7">
        <v>0</v>
      </c>
      <c r="AQ88" s="7">
        <v>3</v>
      </c>
      <c r="AR88" s="7">
        <v>3</v>
      </c>
      <c r="AS88" s="7">
        <v>0</v>
      </c>
      <c r="AT88" s="10">
        <f t="shared" si="45"/>
        <v>34</v>
      </c>
      <c r="AU88" s="10">
        <f t="shared" si="46"/>
        <v>17</v>
      </c>
      <c r="AV88" s="26">
        <f t="shared" si="47"/>
        <v>50</v>
      </c>
      <c r="AW88" s="10">
        <f t="shared" si="48"/>
        <v>21</v>
      </c>
      <c r="AX88" s="10">
        <f t="shared" si="49"/>
        <v>7</v>
      </c>
      <c r="AY88" s="26">
        <f t="shared" si="50"/>
        <v>33.333333333333329</v>
      </c>
      <c r="AZ88" s="10">
        <f t="shared" si="51"/>
        <v>55</v>
      </c>
      <c r="BA88" s="10">
        <f t="shared" si="52"/>
        <v>24</v>
      </c>
      <c r="BB88" s="26">
        <f t="shared" si="53"/>
        <v>43.636363636363633</v>
      </c>
    </row>
  </sheetData>
  <mergeCells count="17">
    <mergeCell ref="D5:I5"/>
    <mergeCell ref="A84:BB84"/>
    <mergeCell ref="A86:BB86"/>
    <mergeCell ref="AT5:BB5"/>
    <mergeCell ref="A1:BB1"/>
    <mergeCell ref="A2:BB2"/>
    <mergeCell ref="A3:BB3"/>
    <mergeCell ref="A4:BB4"/>
    <mergeCell ref="J5:O5"/>
    <mergeCell ref="P5:U5"/>
    <mergeCell ref="V5:AA5"/>
    <mergeCell ref="AB5:AG5"/>
    <mergeCell ref="AH5:AM5"/>
    <mergeCell ref="AN5:AS5"/>
    <mergeCell ref="A5:A6"/>
    <mergeCell ref="B5:B6"/>
    <mergeCell ref="C5:C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BB88"/>
  <sheetViews>
    <sheetView topLeftCell="A13" workbookViewId="0">
      <selection activeCell="D32" sqref="D32:BB32"/>
    </sheetView>
  </sheetViews>
  <sheetFormatPr defaultRowHeight="16.5"/>
  <cols>
    <col min="1" max="1" width="6.42578125" style="6" bestFit="1" customWidth="1"/>
    <col min="2" max="2" width="12.42578125" style="6" bestFit="1" customWidth="1"/>
    <col min="3" max="3" width="51.140625" style="6" bestFit="1" customWidth="1"/>
    <col min="4" max="4" width="8.42578125" style="6" bestFit="1" customWidth="1"/>
    <col min="5" max="5" width="10.28515625" style="6" bestFit="1" customWidth="1"/>
    <col min="6" max="6" width="3" style="6" bestFit="1" customWidth="1"/>
    <col min="7" max="7" width="8.85546875" style="6" bestFit="1" customWidth="1"/>
    <col min="8" max="8" width="10.28515625" style="6" bestFit="1" customWidth="1"/>
    <col min="9" max="9" width="3" style="6" bestFit="1" customWidth="1"/>
    <col min="10" max="10" width="8.42578125" style="6" bestFit="1" customWidth="1"/>
    <col min="11" max="11" width="10.28515625" style="6" bestFit="1" customWidth="1"/>
    <col min="12" max="12" width="5.5703125" style="6" bestFit="1" customWidth="1"/>
    <col min="13" max="13" width="8.85546875" style="6" bestFit="1" customWidth="1"/>
    <col min="14" max="14" width="10.28515625" style="6" bestFit="1" customWidth="1"/>
    <col min="15" max="15" width="5.5703125" style="6" bestFit="1" customWidth="1"/>
    <col min="16" max="16" width="8.42578125" style="6" bestFit="1" customWidth="1"/>
    <col min="17" max="17" width="10.28515625" style="6" bestFit="1" customWidth="1"/>
    <col min="18" max="18" width="5.5703125" style="6" bestFit="1" customWidth="1"/>
    <col min="19" max="19" width="8.85546875" style="6" bestFit="1" customWidth="1"/>
    <col min="20" max="20" width="10.28515625" style="6" bestFit="1" customWidth="1"/>
    <col min="21" max="21" width="5.5703125" style="6" bestFit="1" customWidth="1"/>
    <col min="22" max="22" width="8.42578125" style="6" bestFit="1" customWidth="1"/>
    <col min="23" max="23" width="10.28515625" style="6" bestFit="1" customWidth="1"/>
    <col min="24" max="24" width="5.5703125" style="6" bestFit="1" customWidth="1"/>
    <col min="25" max="25" width="8.85546875" style="6" bestFit="1" customWidth="1"/>
    <col min="26" max="26" width="10.28515625" style="6" bestFit="1" customWidth="1"/>
    <col min="27" max="27" width="5.5703125" style="6" bestFit="1" customWidth="1"/>
    <col min="28" max="28" width="8.42578125" style="6" bestFit="1" customWidth="1"/>
    <col min="29" max="29" width="10.28515625" style="6" bestFit="1" customWidth="1"/>
    <col min="30" max="30" width="5.5703125" style="6" bestFit="1" customWidth="1"/>
    <col min="31" max="31" width="8.85546875" style="6" bestFit="1" customWidth="1"/>
    <col min="32" max="32" width="10.28515625" style="6" bestFit="1" customWidth="1"/>
    <col min="33" max="33" width="5.5703125" style="6" bestFit="1" customWidth="1"/>
    <col min="34" max="34" width="8.42578125" style="6" bestFit="1" customWidth="1"/>
    <col min="35" max="35" width="10.28515625" style="6" bestFit="1" customWidth="1"/>
    <col min="36" max="36" width="4.5703125" style="6" bestFit="1" customWidth="1"/>
    <col min="37" max="37" width="8.85546875" style="6" bestFit="1" customWidth="1"/>
    <col min="38" max="38" width="10.28515625" style="6" bestFit="1" customWidth="1"/>
    <col min="39" max="39" width="5.5703125" style="6" bestFit="1" customWidth="1"/>
    <col min="40" max="40" width="8.42578125" style="6" bestFit="1" customWidth="1"/>
    <col min="41" max="41" width="10.28515625" style="6" bestFit="1" customWidth="1"/>
    <col min="42" max="42" width="8.42578125" style="6" bestFit="1" customWidth="1"/>
    <col min="43" max="43" width="8.85546875" style="6" bestFit="1" customWidth="1"/>
    <col min="44" max="44" width="10.28515625" style="6" bestFit="1" customWidth="1"/>
    <col min="45" max="45" width="5.5703125" style="6" bestFit="1" customWidth="1"/>
    <col min="46" max="47" width="8.7109375" style="6" bestFit="1" customWidth="1"/>
    <col min="48" max="48" width="9.28515625" style="6" bestFit="1" customWidth="1"/>
    <col min="49" max="50" width="8.7109375" style="6" bestFit="1" customWidth="1"/>
    <col min="51" max="51" width="9.28515625" style="6" bestFit="1" customWidth="1"/>
    <col min="52" max="52" width="7.7109375" style="6" bestFit="1" customWidth="1"/>
    <col min="53" max="53" width="8.28515625" style="6" bestFit="1" customWidth="1"/>
    <col min="54" max="54" width="9.28515625" style="6" bestFit="1" customWidth="1"/>
    <col min="55" max="16384" width="9.140625" style="6"/>
  </cols>
  <sheetData>
    <row r="1" spans="1:54" ht="18.75">
      <c r="A1" s="68" t="s">
        <v>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</row>
    <row r="2" spans="1:54" ht="18.75">
      <c r="A2" s="68" t="s">
        <v>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</row>
    <row r="3" spans="1:54" ht="18.75">
      <c r="A3" s="68" t="s">
        <v>22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</row>
    <row r="4" spans="1:54">
      <c r="A4" s="69" t="s">
        <v>107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</row>
    <row r="5" spans="1:54" ht="45.75" customHeight="1">
      <c r="A5" s="71" t="s">
        <v>3</v>
      </c>
      <c r="B5" s="71" t="s">
        <v>4</v>
      </c>
      <c r="C5" s="71" t="s">
        <v>5</v>
      </c>
      <c r="D5" s="70" t="s">
        <v>112</v>
      </c>
      <c r="E5" s="70"/>
      <c r="F5" s="70"/>
      <c r="G5" s="70"/>
      <c r="H5" s="70"/>
      <c r="I5" s="70"/>
      <c r="J5" s="70" t="s">
        <v>113</v>
      </c>
      <c r="K5" s="70"/>
      <c r="L5" s="70"/>
      <c r="M5" s="70"/>
      <c r="N5" s="70"/>
      <c r="O5" s="70"/>
      <c r="P5" s="70" t="s">
        <v>114</v>
      </c>
      <c r="Q5" s="70"/>
      <c r="R5" s="70"/>
      <c r="S5" s="70"/>
      <c r="T5" s="70"/>
      <c r="U5" s="70"/>
      <c r="V5" s="70" t="s">
        <v>115</v>
      </c>
      <c r="W5" s="70"/>
      <c r="X5" s="70"/>
      <c r="Y5" s="70"/>
      <c r="Z5" s="70"/>
      <c r="AA5" s="70"/>
      <c r="AB5" s="70" t="s">
        <v>116</v>
      </c>
      <c r="AC5" s="70"/>
      <c r="AD5" s="70"/>
      <c r="AE5" s="70"/>
      <c r="AF5" s="70"/>
      <c r="AG5" s="70"/>
      <c r="AH5" s="70" t="s">
        <v>117</v>
      </c>
      <c r="AI5" s="70"/>
      <c r="AJ5" s="70"/>
      <c r="AK5" s="70"/>
      <c r="AL5" s="70"/>
      <c r="AM5" s="70"/>
      <c r="AN5" s="70" t="s">
        <v>118</v>
      </c>
      <c r="AO5" s="70"/>
      <c r="AP5" s="70"/>
      <c r="AQ5" s="70"/>
      <c r="AR5" s="70"/>
      <c r="AS5" s="70"/>
      <c r="AT5" s="64" t="s">
        <v>127</v>
      </c>
      <c r="AU5" s="64"/>
      <c r="AV5" s="64"/>
      <c r="AW5" s="64"/>
      <c r="AX5" s="64"/>
      <c r="AY5" s="64"/>
      <c r="AZ5" s="64"/>
      <c r="BA5" s="64"/>
      <c r="BB5" s="64"/>
    </row>
    <row r="6" spans="1:54" ht="30">
      <c r="A6" s="71"/>
      <c r="B6" s="71"/>
      <c r="C6" s="71"/>
      <c r="D6" s="17" t="s">
        <v>6</v>
      </c>
      <c r="E6" s="17" t="s">
        <v>7</v>
      </c>
      <c r="F6" s="17" t="s">
        <v>8</v>
      </c>
      <c r="G6" s="17" t="s">
        <v>9</v>
      </c>
      <c r="H6" s="17" t="s">
        <v>10</v>
      </c>
      <c r="I6" s="17" t="s">
        <v>8</v>
      </c>
      <c r="J6" s="17" t="s">
        <v>6</v>
      </c>
      <c r="K6" s="17" t="s">
        <v>7</v>
      </c>
      <c r="L6" s="17" t="s">
        <v>8</v>
      </c>
      <c r="M6" s="17" t="s">
        <v>9</v>
      </c>
      <c r="N6" s="17" t="s">
        <v>10</v>
      </c>
      <c r="O6" s="17" t="s">
        <v>8</v>
      </c>
      <c r="P6" s="17" t="s">
        <v>6</v>
      </c>
      <c r="Q6" s="17" t="s">
        <v>7</v>
      </c>
      <c r="R6" s="17" t="s">
        <v>8</v>
      </c>
      <c r="S6" s="17" t="s">
        <v>9</v>
      </c>
      <c r="T6" s="17" t="s">
        <v>10</v>
      </c>
      <c r="U6" s="17" t="s">
        <v>8</v>
      </c>
      <c r="V6" s="17" t="s">
        <v>6</v>
      </c>
      <c r="W6" s="17" t="s">
        <v>7</v>
      </c>
      <c r="X6" s="17" t="s">
        <v>8</v>
      </c>
      <c r="Y6" s="17" t="s">
        <v>9</v>
      </c>
      <c r="Z6" s="17" t="s">
        <v>10</v>
      </c>
      <c r="AA6" s="17" t="s">
        <v>8</v>
      </c>
      <c r="AB6" s="17" t="s">
        <v>6</v>
      </c>
      <c r="AC6" s="17" t="s">
        <v>7</v>
      </c>
      <c r="AD6" s="17" t="s">
        <v>8</v>
      </c>
      <c r="AE6" s="17" t="s">
        <v>9</v>
      </c>
      <c r="AF6" s="17" t="s">
        <v>10</v>
      </c>
      <c r="AG6" s="17" t="s">
        <v>8</v>
      </c>
      <c r="AH6" s="17" t="s">
        <v>6</v>
      </c>
      <c r="AI6" s="17" t="s">
        <v>7</v>
      </c>
      <c r="AJ6" s="17" t="s">
        <v>8</v>
      </c>
      <c r="AK6" s="17" t="s">
        <v>9</v>
      </c>
      <c r="AL6" s="17" t="s">
        <v>10</v>
      </c>
      <c r="AM6" s="17" t="s">
        <v>8</v>
      </c>
      <c r="AN6" s="17" t="s">
        <v>6</v>
      </c>
      <c r="AO6" s="17" t="s">
        <v>7</v>
      </c>
      <c r="AP6" s="17" t="s">
        <v>8</v>
      </c>
      <c r="AQ6" s="17" t="s">
        <v>9</v>
      </c>
      <c r="AR6" s="17" t="s">
        <v>10</v>
      </c>
      <c r="AS6" s="17" t="s">
        <v>8</v>
      </c>
      <c r="AT6" s="24" t="s">
        <v>119</v>
      </c>
      <c r="AU6" s="24" t="s">
        <v>120</v>
      </c>
      <c r="AV6" s="24" t="s">
        <v>121</v>
      </c>
      <c r="AW6" s="24" t="s">
        <v>122</v>
      </c>
      <c r="AX6" s="24" t="s">
        <v>123</v>
      </c>
      <c r="AY6" s="25" t="s">
        <v>121</v>
      </c>
      <c r="AZ6" s="17" t="s">
        <v>124</v>
      </c>
      <c r="BA6" s="17" t="s">
        <v>125</v>
      </c>
      <c r="BB6" s="17" t="s">
        <v>126</v>
      </c>
    </row>
    <row r="7" spans="1:54">
      <c r="A7" s="12">
        <v>1</v>
      </c>
      <c r="B7" s="13">
        <v>1220321013</v>
      </c>
      <c r="C7" s="14" t="s">
        <v>23</v>
      </c>
      <c r="D7" s="39">
        <v>4</v>
      </c>
      <c r="E7" s="39">
        <v>0</v>
      </c>
      <c r="F7" s="39">
        <f t="shared" ref="F7:F70" si="0">E7/D7*100</f>
        <v>0</v>
      </c>
      <c r="G7" s="39">
        <v>2</v>
      </c>
      <c r="H7" s="39">
        <v>0</v>
      </c>
      <c r="I7" s="39">
        <f t="shared" ref="I7:I70" si="1">H7/G7*100</f>
        <v>0</v>
      </c>
      <c r="J7" s="40">
        <v>7</v>
      </c>
      <c r="K7" s="40">
        <v>2</v>
      </c>
      <c r="L7" s="41">
        <f t="shared" ref="L7:L70" si="2">K7/J7*100</f>
        <v>28.571428571428569</v>
      </c>
      <c r="M7" s="42">
        <v>7</v>
      </c>
      <c r="N7" s="42">
        <v>3</v>
      </c>
      <c r="O7" s="41">
        <f t="shared" ref="O7:O70" si="3">N7/M7*100</f>
        <v>42.857142857142854</v>
      </c>
      <c r="P7" s="40">
        <v>7</v>
      </c>
      <c r="Q7" s="40">
        <v>3</v>
      </c>
      <c r="R7" s="41">
        <f t="shared" ref="R7:R70" si="4">Q7/P7*100</f>
        <v>42.857142857142854</v>
      </c>
      <c r="S7" s="42">
        <v>0</v>
      </c>
      <c r="T7" s="42">
        <v>0</v>
      </c>
      <c r="U7" s="41" t="e">
        <f t="shared" ref="U7:U70" si="5">T7/S7*100</f>
        <v>#DIV/0!</v>
      </c>
      <c r="V7" s="39">
        <v>4</v>
      </c>
      <c r="W7" s="39">
        <v>0</v>
      </c>
      <c r="X7" s="41">
        <f t="shared" ref="X7:X70" si="6">W7/V7*100</f>
        <v>0</v>
      </c>
      <c r="Y7" s="42">
        <v>2</v>
      </c>
      <c r="Z7" s="42">
        <v>0</v>
      </c>
      <c r="AA7" s="41">
        <f t="shared" ref="AA7:AA70" si="7">Z7/Y7*100</f>
        <v>0</v>
      </c>
      <c r="AB7" s="40">
        <v>4</v>
      </c>
      <c r="AC7" s="40">
        <v>2</v>
      </c>
      <c r="AD7" s="41">
        <f t="shared" ref="AD7:AD70" si="8">AC7/AB7*100</f>
        <v>50</v>
      </c>
      <c r="AE7" s="42">
        <v>4</v>
      </c>
      <c r="AF7" s="42">
        <v>1</v>
      </c>
      <c r="AG7" s="41">
        <f t="shared" ref="AG7:AG70" si="9">AF7/AE7*100</f>
        <v>25</v>
      </c>
      <c r="AH7" s="40">
        <v>8</v>
      </c>
      <c r="AI7" s="40">
        <v>3</v>
      </c>
      <c r="AJ7" s="41">
        <f t="shared" ref="AJ7:AJ70" si="10">AI7/AH7*100</f>
        <v>37.5</v>
      </c>
      <c r="AK7" s="42">
        <v>6</v>
      </c>
      <c r="AL7" s="42">
        <v>3</v>
      </c>
      <c r="AM7" s="41">
        <f t="shared" ref="AM7:AM70" si="11">AL7/AK7*100</f>
        <v>50</v>
      </c>
      <c r="AN7" s="42">
        <v>7</v>
      </c>
      <c r="AO7" s="42">
        <v>3</v>
      </c>
      <c r="AP7" s="41">
        <f t="shared" ref="AP7:AP70" si="12">AO7/AN7*100</f>
        <v>42.857142857142854</v>
      </c>
      <c r="AQ7" s="40">
        <v>4</v>
      </c>
      <c r="AR7" s="40">
        <v>2</v>
      </c>
      <c r="AS7" s="41">
        <f t="shared" ref="AS7:AS70" si="13">AR7/AQ7*100</f>
        <v>50</v>
      </c>
      <c r="AT7" s="10">
        <f>SUM(D7,J7,P7,V7,AB7,AH7,AN7)</f>
        <v>41</v>
      </c>
      <c r="AU7" s="10">
        <f>SUM(E7,K7,Q7,W7,AC7,AI7,AO7)</f>
        <v>13</v>
      </c>
      <c r="AV7" s="26">
        <f>AU7/AT7*100</f>
        <v>31.707317073170731</v>
      </c>
      <c r="AW7" s="10">
        <f>SUM(G7,M7,S7,Y7,AE7,AK7,AQ7)</f>
        <v>25</v>
      </c>
      <c r="AX7" s="10">
        <f>SUM(H7,N7,T7,Z7,AF7,AL7,AR7)</f>
        <v>9</v>
      </c>
      <c r="AY7" s="26">
        <f>AX7/AW7*100</f>
        <v>36</v>
      </c>
      <c r="AZ7" s="10">
        <f>SUM(AT7,AW7)</f>
        <v>66</v>
      </c>
      <c r="BA7" s="10">
        <f>SUM(AU7,AX7)</f>
        <v>22</v>
      </c>
      <c r="BB7" s="27">
        <f>BA7/AZ7*100</f>
        <v>33.333333333333329</v>
      </c>
    </row>
    <row r="8" spans="1:54">
      <c r="A8" s="12">
        <v>2</v>
      </c>
      <c r="B8" s="13">
        <v>1220321039</v>
      </c>
      <c r="C8" s="14" t="s">
        <v>24</v>
      </c>
      <c r="D8" s="39">
        <v>4</v>
      </c>
      <c r="E8" s="39">
        <v>0</v>
      </c>
      <c r="F8" s="39">
        <f t="shared" si="0"/>
        <v>0</v>
      </c>
      <c r="G8" s="39">
        <v>2</v>
      </c>
      <c r="H8" s="39">
        <v>0</v>
      </c>
      <c r="I8" s="39">
        <f t="shared" si="1"/>
        <v>0</v>
      </c>
      <c r="J8" s="40">
        <v>7</v>
      </c>
      <c r="K8" s="40">
        <v>4</v>
      </c>
      <c r="L8" s="41">
        <f t="shared" si="2"/>
        <v>57.142857142857139</v>
      </c>
      <c r="M8" s="42">
        <v>7</v>
      </c>
      <c r="N8" s="42">
        <v>4</v>
      </c>
      <c r="O8" s="41">
        <f t="shared" si="3"/>
        <v>57.142857142857139</v>
      </c>
      <c r="P8" s="40">
        <v>7</v>
      </c>
      <c r="Q8" s="40">
        <v>2</v>
      </c>
      <c r="R8" s="41">
        <f t="shared" si="4"/>
        <v>28.571428571428569</v>
      </c>
      <c r="S8" s="42">
        <v>3</v>
      </c>
      <c r="T8" s="42">
        <v>0</v>
      </c>
      <c r="U8" s="41">
        <f t="shared" si="5"/>
        <v>0</v>
      </c>
      <c r="V8" s="39">
        <v>4</v>
      </c>
      <c r="W8" s="39">
        <v>3</v>
      </c>
      <c r="X8" s="41">
        <f t="shared" si="6"/>
        <v>75</v>
      </c>
      <c r="Y8" s="42">
        <v>2</v>
      </c>
      <c r="Z8" s="42">
        <v>1</v>
      </c>
      <c r="AA8" s="41">
        <f t="shared" si="7"/>
        <v>50</v>
      </c>
      <c r="AB8" s="40">
        <v>4</v>
      </c>
      <c r="AC8" s="40">
        <v>0</v>
      </c>
      <c r="AD8" s="41">
        <f t="shared" si="8"/>
        <v>0</v>
      </c>
      <c r="AE8" s="42">
        <v>4</v>
      </c>
      <c r="AF8" s="42">
        <v>1</v>
      </c>
      <c r="AG8" s="41">
        <f t="shared" si="9"/>
        <v>25</v>
      </c>
      <c r="AH8" s="40">
        <v>8</v>
      </c>
      <c r="AI8" s="40">
        <v>3</v>
      </c>
      <c r="AJ8" s="41">
        <f t="shared" si="10"/>
        <v>37.5</v>
      </c>
      <c r="AK8" s="42">
        <v>6</v>
      </c>
      <c r="AL8" s="42">
        <v>1</v>
      </c>
      <c r="AM8" s="41">
        <f t="shared" si="11"/>
        <v>16.666666666666664</v>
      </c>
      <c r="AN8" s="42">
        <v>7</v>
      </c>
      <c r="AO8" s="42">
        <v>2</v>
      </c>
      <c r="AP8" s="41">
        <f t="shared" si="12"/>
        <v>28.571428571428569</v>
      </c>
      <c r="AQ8" s="40">
        <v>4</v>
      </c>
      <c r="AR8" s="40">
        <v>1</v>
      </c>
      <c r="AS8" s="41">
        <f t="shared" si="13"/>
        <v>25</v>
      </c>
      <c r="AT8" s="10">
        <f t="shared" ref="AT8:AU71" si="14">SUM(D8,J8,P8,V8,AB8,AH8,AN8)</f>
        <v>41</v>
      </c>
      <c r="AU8" s="10">
        <f t="shared" si="14"/>
        <v>14</v>
      </c>
      <c r="AV8" s="26">
        <f t="shared" ref="AV8:AV71" si="15">AU8/AT8*100</f>
        <v>34.146341463414636</v>
      </c>
      <c r="AW8" s="10">
        <f t="shared" ref="AW8:AX71" si="16">SUM(G8,M8,S8,Y8,AE8,AK8,AQ8)</f>
        <v>28</v>
      </c>
      <c r="AX8" s="10">
        <f t="shared" si="16"/>
        <v>8</v>
      </c>
      <c r="AY8" s="26">
        <f t="shared" ref="AY8:AY71" si="17">AX8/AW8*100</f>
        <v>28.571428571428569</v>
      </c>
      <c r="AZ8" s="10">
        <f t="shared" ref="AZ8:BA71" si="18">SUM(AT8,AW8)</f>
        <v>69</v>
      </c>
      <c r="BA8" s="10">
        <f t="shared" si="18"/>
        <v>22</v>
      </c>
      <c r="BB8" s="27">
        <f t="shared" ref="BB8:BB71" si="19">BA8/AZ8*100</f>
        <v>31.884057971014489</v>
      </c>
    </row>
    <row r="9" spans="1:54">
      <c r="A9" s="12">
        <v>3</v>
      </c>
      <c r="B9" s="13">
        <v>1220321040</v>
      </c>
      <c r="C9" s="14" t="s">
        <v>25</v>
      </c>
      <c r="D9" s="39">
        <v>4</v>
      </c>
      <c r="E9" s="39">
        <v>0</v>
      </c>
      <c r="F9" s="39">
        <f t="shared" si="0"/>
        <v>0</v>
      </c>
      <c r="G9" s="39">
        <v>2</v>
      </c>
      <c r="H9" s="39">
        <v>0</v>
      </c>
      <c r="I9" s="39">
        <f t="shared" si="1"/>
        <v>0</v>
      </c>
      <c r="J9" s="40">
        <v>7</v>
      </c>
      <c r="K9" s="40">
        <v>2</v>
      </c>
      <c r="L9" s="41">
        <f t="shared" si="2"/>
        <v>28.571428571428569</v>
      </c>
      <c r="M9" s="42">
        <v>7</v>
      </c>
      <c r="N9" s="42">
        <v>0</v>
      </c>
      <c r="O9" s="41">
        <f t="shared" si="3"/>
        <v>0</v>
      </c>
      <c r="P9" s="40">
        <v>7</v>
      </c>
      <c r="Q9" s="40">
        <v>4</v>
      </c>
      <c r="R9" s="41">
        <f t="shared" si="4"/>
        <v>57.142857142857139</v>
      </c>
      <c r="S9" s="42">
        <v>2</v>
      </c>
      <c r="T9" s="42">
        <v>2</v>
      </c>
      <c r="U9" s="41">
        <f t="shared" si="5"/>
        <v>100</v>
      </c>
      <c r="V9" s="39">
        <v>4</v>
      </c>
      <c r="W9" s="39">
        <v>2</v>
      </c>
      <c r="X9" s="41">
        <f t="shared" si="6"/>
        <v>50</v>
      </c>
      <c r="Y9" s="42">
        <v>2</v>
      </c>
      <c r="Z9" s="42">
        <v>1</v>
      </c>
      <c r="AA9" s="41">
        <f t="shared" si="7"/>
        <v>50</v>
      </c>
      <c r="AB9" s="40">
        <v>4</v>
      </c>
      <c r="AC9" s="40">
        <v>2</v>
      </c>
      <c r="AD9" s="41">
        <f t="shared" si="8"/>
        <v>50</v>
      </c>
      <c r="AE9" s="42">
        <v>4</v>
      </c>
      <c r="AF9" s="42">
        <v>2</v>
      </c>
      <c r="AG9" s="41">
        <f t="shared" si="9"/>
        <v>50</v>
      </c>
      <c r="AH9" s="40">
        <v>8</v>
      </c>
      <c r="AI9" s="40">
        <v>5</v>
      </c>
      <c r="AJ9" s="41">
        <f t="shared" si="10"/>
        <v>62.5</v>
      </c>
      <c r="AK9" s="42">
        <v>6</v>
      </c>
      <c r="AL9" s="42">
        <v>5</v>
      </c>
      <c r="AM9" s="41">
        <f t="shared" si="11"/>
        <v>83.333333333333343</v>
      </c>
      <c r="AN9" s="42">
        <v>7</v>
      </c>
      <c r="AO9" s="42">
        <v>1</v>
      </c>
      <c r="AP9" s="41">
        <f t="shared" si="12"/>
        <v>14.285714285714285</v>
      </c>
      <c r="AQ9" s="40">
        <v>4</v>
      </c>
      <c r="AR9" s="40">
        <v>1</v>
      </c>
      <c r="AS9" s="41">
        <f t="shared" si="13"/>
        <v>25</v>
      </c>
      <c r="AT9" s="10">
        <f t="shared" si="14"/>
        <v>41</v>
      </c>
      <c r="AU9" s="10">
        <f t="shared" si="14"/>
        <v>16</v>
      </c>
      <c r="AV9" s="26">
        <f t="shared" si="15"/>
        <v>39.024390243902438</v>
      </c>
      <c r="AW9" s="10">
        <f t="shared" si="16"/>
        <v>27</v>
      </c>
      <c r="AX9" s="10">
        <f t="shared" si="16"/>
        <v>11</v>
      </c>
      <c r="AY9" s="26">
        <f t="shared" si="17"/>
        <v>40.74074074074074</v>
      </c>
      <c r="AZ9" s="10">
        <f t="shared" si="18"/>
        <v>68</v>
      </c>
      <c r="BA9" s="10">
        <f t="shared" si="18"/>
        <v>27</v>
      </c>
      <c r="BB9" s="27">
        <f t="shared" si="19"/>
        <v>39.705882352941174</v>
      </c>
    </row>
    <row r="10" spans="1:54">
      <c r="A10" s="12">
        <v>4</v>
      </c>
      <c r="B10" s="13">
        <v>1220321049</v>
      </c>
      <c r="C10" s="14" t="s">
        <v>26</v>
      </c>
      <c r="D10" s="39">
        <v>4</v>
      </c>
      <c r="E10" s="39">
        <v>0</v>
      </c>
      <c r="F10" s="39">
        <f t="shared" si="0"/>
        <v>0</v>
      </c>
      <c r="G10" s="39">
        <v>2</v>
      </c>
      <c r="H10" s="39">
        <v>0</v>
      </c>
      <c r="I10" s="39">
        <f t="shared" si="1"/>
        <v>0</v>
      </c>
      <c r="J10" s="40">
        <v>7</v>
      </c>
      <c r="K10" s="40">
        <v>0</v>
      </c>
      <c r="L10" s="41">
        <f t="shared" si="2"/>
        <v>0</v>
      </c>
      <c r="M10" s="42">
        <v>7</v>
      </c>
      <c r="N10" s="42">
        <v>0</v>
      </c>
      <c r="O10" s="41">
        <f t="shared" si="3"/>
        <v>0</v>
      </c>
      <c r="P10" s="40">
        <v>7</v>
      </c>
      <c r="Q10" s="40">
        <v>2</v>
      </c>
      <c r="R10" s="41">
        <f t="shared" si="4"/>
        <v>28.571428571428569</v>
      </c>
      <c r="S10" s="42">
        <v>3</v>
      </c>
      <c r="T10" s="42">
        <v>2</v>
      </c>
      <c r="U10" s="41">
        <f t="shared" si="5"/>
        <v>66.666666666666657</v>
      </c>
      <c r="V10" s="39">
        <v>4</v>
      </c>
      <c r="W10" s="39">
        <v>0</v>
      </c>
      <c r="X10" s="41">
        <f t="shared" si="6"/>
        <v>0</v>
      </c>
      <c r="Y10" s="42">
        <v>2</v>
      </c>
      <c r="Z10" s="42">
        <v>0</v>
      </c>
      <c r="AA10" s="41">
        <f t="shared" si="7"/>
        <v>0</v>
      </c>
      <c r="AB10" s="40">
        <v>4</v>
      </c>
      <c r="AC10" s="40">
        <v>0</v>
      </c>
      <c r="AD10" s="41">
        <f t="shared" si="8"/>
        <v>0</v>
      </c>
      <c r="AE10" s="42">
        <v>4</v>
      </c>
      <c r="AF10" s="42">
        <v>0</v>
      </c>
      <c r="AG10" s="41">
        <f t="shared" si="9"/>
        <v>0</v>
      </c>
      <c r="AH10" s="40">
        <v>8</v>
      </c>
      <c r="AI10" s="40">
        <v>5</v>
      </c>
      <c r="AJ10" s="41">
        <f t="shared" si="10"/>
        <v>62.5</v>
      </c>
      <c r="AK10" s="42">
        <v>6</v>
      </c>
      <c r="AL10" s="42">
        <v>1</v>
      </c>
      <c r="AM10" s="41">
        <f t="shared" si="11"/>
        <v>16.666666666666664</v>
      </c>
      <c r="AN10" s="42">
        <v>7</v>
      </c>
      <c r="AO10" s="42">
        <v>2</v>
      </c>
      <c r="AP10" s="41">
        <f t="shared" si="12"/>
        <v>28.571428571428569</v>
      </c>
      <c r="AQ10" s="40">
        <v>4</v>
      </c>
      <c r="AR10" s="40">
        <v>0</v>
      </c>
      <c r="AS10" s="41">
        <f t="shared" si="13"/>
        <v>0</v>
      </c>
      <c r="AT10" s="10">
        <f t="shared" si="14"/>
        <v>41</v>
      </c>
      <c r="AU10" s="10">
        <f t="shared" si="14"/>
        <v>9</v>
      </c>
      <c r="AV10" s="26">
        <f t="shared" si="15"/>
        <v>21.951219512195124</v>
      </c>
      <c r="AW10" s="10">
        <f t="shared" si="16"/>
        <v>28</v>
      </c>
      <c r="AX10" s="10">
        <f t="shared" si="16"/>
        <v>3</v>
      </c>
      <c r="AY10" s="26">
        <f t="shared" si="17"/>
        <v>10.714285714285714</v>
      </c>
      <c r="AZ10" s="10">
        <f t="shared" si="18"/>
        <v>69</v>
      </c>
      <c r="BA10" s="10">
        <f t="shared" si="18"/>
        <v>12</v>
      </c>
      <c r="BB10" s="27">
        <f t="shared" si="19"/>
        <v>17.391304347826086</v>
      </c>
    </row>
    <row r="11" spans="1:54">
      <c r="A11" s="12">
        <v>5</v>
      </c>
      <c r="B11" s="13">
        <v>1230321002</v>
      </c>
      <c r="C11" s="14" t="s">
        <v>27</v>
      </c>
      <c r="D11" s="39">
        <v>4</v>
      </c>
      <c r="E11" s="39">
        <v>3</v>
      </c>
      <c r="F11" s="39">
        <f t="shared" si="0"/>
        <v>75</v>
      </c>
      <c r="G11" s="39">
        <v>2</v>
      </c>
      <c r="H11" s="39">
        <v>0</v>
      </c>
      <c r="I11" s="39">
        <f t="shared" si="1"/>
        <v>0</v>
      </c>
      <c r="J11" s="40">
        <v>7</v>
      </c>
      <c r="K11" s="40">
        <v>5</v>
      </c>
      <c r="L11" s="41">
        <f t="shared" si="2"/>
        <v>71.428571428571431</v>
      </c>
      <c r="M11" s="42">
        <v>6</v>
      </c>
      <c r="N11" s="42">
        <v>5</v>
      </c>
      <c r="O11" s="41">
        <f t="shared" si="3"/>
        <v>83.333333333333343</v>
      </c>
      <c r="P11" s="40">
        <v>7</v>
      </c>
      <c r="Q11" s="40">
        <v>5</v>
      </c>
      <c r="R11" s="41">
        <f t="shared" si="4"/>
        <v>71.428571428571431</v>
      </c>
      <c r="S11" s="42">
        <v>2</v>
      </c>
      <c r="T11" s="42">
        <v>1</v>
      </c>
      <c r="U11" s="41">
        <f t="shared" si="5"/>
        <v>50</v>
      </c>
      <c r="V11" s="39">
        <v>4</v>
      </c>
      <c r="W11" s="39">
        <v>2</v>
      </c>
      <c r="X11" s="41">
        <f t="shared" si="6"/>
        <v>50</v>
      </c>
      <c r="Y11" s="42">
        <v>2</v>
      </c>
      <c r="Z11" s="42">
        <v>2</v>
      </c>
      <c r="AA11" s="41">
        <f t="shared" si="7"/>
        <v>100</v>
      </c>
      <c r="AB11" s="40">
        <v>4</v>
      </c>
      <c r="AC11" s="40">
        <v>3</v>
      </c>
      <c r="AD11" s="41">
        <f t="shared" si="8"/>
        <v>75</v>
      </c>
      <c r="AE11" s="42">
        <v>4</v>
      </c>
      <c r="AF11" s="42">
        <v>4</v>
      </c>
      <c r="AG11" s="41">
        <f t="shared" si="9"/>
        <v>100</v>
      </c>
      <c r="AH11" s="40">
        <v>8</v>
      </c>
      <c r="AI11" s="40">
        <v>7</v>
      </c>
      <c r="AJ11" s="41">
        <f t="shared" si="10"/>
        <v>87.5</v>
      </c>
      <c r="AK11" s="42">
        <v>6</v>
      </c>
      <c r="AL11" s="42">
        <v>4</v>
      </c>
      <c r="AM11" s="41">
        <f t="shared" si="11"/>
        <v>66.666666666666657</v>
      </c>
      <c r="AN11" s="42">
        <v>7</v>
      </c>
      <c r="AO11" s="42">
        <v>7</v>
      </c>
      <c r="AP11" s="41">
        <f t="shared" si="12"/>
        <v>100</v>
      </c>
      <c r="AQ11" s="40">
        <v>4</v>
      </c>
      <c r="AR11" s="40">
        <v>3</v>
      </c>
      <c r="AS11" s="41">
        <f t="shared" si="13"/>
        <v>75</v>
      </c>
      <c r="AT11" s="10">
        <f t="shared" si="14"/>
        <v>41</v>
      </c>
      <c r="AU11" s="10">
        <f t="shared" si="14"/>
        <v>32</v>
      </c>
      <c r="AV11" s="26">
        <f t="shared" si="15"/>
        <v>78.048780487804876</v>
      </c>
      <c r="AW11" s="10">
        <f t="shared" si="16"/>
        <v>26</v>
      </c>
      <c r="AX11" s="10">
        <f t="shared" si="16"/>
        <v>19</v>
      </c>
      <c r="AY11" s="26">
        <f t="shared" si="17"/>
        <v>73.076923076923066</v>
      </c>
      <c r="AZ11" s="10">
        <f t="shared" si="18"/>
        <v>67</v>
      </c>
      <c r="BA11" s="10">
        <f t="shared" si="18"/>
        <v>51</v>
      </c>
      <c r="BB11" s="27">
        <f t="shared" si="19"/>
        <v>76.119402985074629</v>
      </c>
    </row>
    <row r="12" spans="1:54">
      <c r="A12" s="12">
        <v>6</v>
      </c>
      <c r="B12" s="13">
        <v>1230321003</v>
      </c>
      <c r="C12" s="14" t="s">
        <v>28</v>
      </c>
      <c r="D12" s="39">
        <v>4</v>
      </c>
      <c r="E12" s="39">
        <v>2</v>
      </c>
      <c r="F12" s="39">
        <f t="shared" si="0"/>
        <v>50</v>
      </c>
      <c r="G12" s="39">
        <v>2</v>
      </c>
      <c r="H12" s="39">
        <v>0</v>
      </c>
      <c r="I12" s="39">
        <f t="shared" si="1"/>
        <v>0</v>
      </c>
      <c r="J12" s="40">
        <v>7</v>
      </c>
      <c r="K12" s="40">
        <v>5</v>
      </c>
      <c r="L12" s="41">
        <f t="shared" si="2"/>
        <v>71.428571428571431</v>
      </c>
      <c r="M12" s="42">
        <v>6</v>
      </c>
      <c r="N12" s="42">
        <v>3</v>
      </c>
      <c r="O12" s="41">
        <f t="shared" si="3"/>
        <v>50</v>
      </c>
      <c r="P12" s="40">
        <v>7</v>
      </c>
      <c r="Q12" s="40">
        <v>4</v>
      </c>
      <c r="R12" s="41">
        <f t="shared" si="4"/>
        <v>57.142857142857139</v>
      </c>
      <c r="S12" s="42">
        <v>2</v>
      </c>
      <c r="T12" s="42">
        <v>0</v>
      </c>
      <c r="U12" s="41">
        <f t="shared" si="5"/>
        <v>0</v>
      </c>
      <c r="V12" s="39">
        <v>4</v>
      </c>
      <c r="W12" s="39">
        <v>2</v>
      </c>
      <c r="X12" s="41">
        <f t="shared" si="6"/>
        <v>50</v>
      </c>
      <c r="Y12" s="42">
        <v>2</v>
      </c>
      <c r="Z12" s="42">
        <v>1</v>
      </c>
      <c r="AA12" s="41">
        <f t="shared" si="7"/>
        <v>50</v>
      </c>
      <c r="AB12" s="40">
        <v>4</v>
      </c>
      <c r="AC12" s="40">
        <v>3</v>
      </c>
      <c r="AD12" s="41">
        <f t="shared" si="8"/>
        <v>75</v>
      </c>
      <c r="AE12" s="42">
        <v>4</v>
      </c>
      <c r="AF12" s="42">
        <v>3</v>
      </c>
      <c r="AG12" s="41">
        <f t="shared" si="9"/>
        <v>75</v>
      </c>
      <c r="AH12" s="40">
        <v>8</v>
      </c>
      <c r="AI12" s="40">
        <v>5</v>
      </c>
      <c r="AJ12" s="41">
        <f t="shared" si="10"/>
        <v>62.5</v>
      </c>
      <c r="AK12" s="42">
        <v>6</v>
      </c>
      <c r="AL12" s="42">
        <v>2</v>
      </c>
      <c r="AM12" s="41">
        <f t="shared" si="11"/>
        <v>33.333333333333329</v>
      </c>
      <c r="AN12" s="42">
        <v>7</v>
      </c>
      <c r="AO12" s="42">
        <v>5</v>
      </c>
      <c r="AP12" s="41">
        <f t="shared" si="12"/>
        <v>71.428571428571431</v>
      </c>
      <c r="AQ12" s="40">
        <v>4</v>
      </c>
      <c r="AR12" s="40">
        <v>3</v>
      </c>
      <c r="AS12" s="41">
        <f t="shared" si="13"/>
        <v>75</v>
      </c>
      <c r="AT12" s="10">
        <f t="shared" si="14"/>
        <v>41</v>
      </c>
      <c r="AU12" s="10">
        <f t="shared" si="14"/>
        <v>26</v>
      </c>
      <c r="AV12" s="26">
        <f t="shared" si="15"/>
        <v>63.414634146341463</v>
      </c>
      <c r="AW12" s="10">
        <f t="shared" si="16"/>
        <v>26</v>
      </c>
      <c r="AX12" s="10">
        <f t="shared" si="16"/>
        <v>12</v>
      </c>
      <c r="AY12" s="26">
        <f t="shared" si="17"/>
        <v>46.153846153846153</v>
      </c>
      <c r="AZ12" s="10">
        <f t="shared" si="18"/>
        <v>67</v>
      </c>
      <c r="BA12" s="10">
        <f t="shared" si="18"/>
        <v>38</v>
      </c>
      <c r="BB12" s="27">
        <f t="shared" si="19"/>
        <v>56.71641791044776</v>
      </c>
    </row>
    <row r="13" spans="1:54">
      <c r="A13" s="12">
        <v>7</v>
      </c>
      <c r="B13" s="13">
        <v>1230321004</v>
      </c>
      <c r="C13" s="14" t="s">
        <v>29</v>
      </c>
      <c r="D13" s="39">
        <v>4</v>
      </c>
      <c r="E13" s="39">
        <v>0</v>
      </c>
      <c r="F13" s="39">
        <f t="shared" si="0"/>
        <v>0</v>
      </c>
      <c r="G13" s="39">
        <v>2</v>
      </c>
      <c r="H13" s="39">
        <v>0</v>
      </c>
      <c r="I13" s="39">
        <f t="shared" si="1"/>
        <v>0</v>
      </c>
      <c r="J13" s="40">
        <v>7</v>
      </c>
      <c r="K13" s="40">
        <v>3</v>
      </c>
      <c r="L13" s="41">
        <f t="shared" si="2"/>
        <v>42.857142857142854</v>
      </c>
      <c r="M13" s="42">
        <v>6</v>
      </c>
      <c r="N13" s="42">
        <v>3</v>
      </c>
      <c r="O13" s="41">
        <f t="shared" si="3"/>
        <v>50</v>
      </c>
      <c r="P13" s="40">
        <v>7</v>
      </c>
      <c r="Q13" s="40">
        <v>3</v>
      </c>
      <c r="R13" s="41">
        <f t="shared" si="4"/>
        <v>42.857142857142854</v>
      </c>
      <c r="S13" s="42">
        <v>2</v>
      </c>
      <c r="T13" s="42">
        <v>2</v>
      </c>
      <c r="U13" s="41">
        <f t="shared" si="5"/>
        <v>100</v>
      </c>
      <c r="V13" s="39">
        <v>4</v>
      </c>
      <c r="W13" s="39">
        <v>2</v>
      </c>
      <c r="X13" s="41">
        <f t="shared" si="6"/>
        <v>50</v>
      </c>
      <c r="Y13" s="42">
        <v>2</v>
      </c>
      <c r="Z13" s="42">
        <v>1</v>
      </c>
      <c r="AA13" s="41">
        <f t="shared" si="7"/>
        <v>50</v>
      </c>
      <c r="AB13" s="40">
        <v>4</v>
      </c>
      <c r="AC13" s="40">
        <v>2</v>
      </c>
      <c r="AD13" s="41">
        <f t="shared" si="8"/>
        <v>50</v>
      </c>
      <c r="AE13" s="42">
        <v>4</v>
      </c>
      <c r="AF13" s="42">
        <v>2</v>
      </c>
      <c r="AG13" s="41">
        <f t="shared" si="9"/>
        <v>50</v>
      </c>
      <c r="AH13" s="40">
        <v>8</v>
      </c>
      <c r="AI13" s="40">
        <v>5</v>
      </c>
      <c r="AJ13" s="41">
        <f t="shared" si="10"/>
        <v>62.5</v>
      </c>
      <c r="AK13" s="42">
        <v>6</v>
      </c>
      <c r="AL13" s="42">
        <v>3</v>
      </c>
      <c r="AM13" s="41">
        <f t="shared" si="11"/>
        <v>50</v>
      </c>
      <c r="AN13" s="42">
        <v>7</v>
      </c>
      <c r="AO13" s="42">
        <v>7</v>
      </c>
      <c r="AP13" s="41">
        <f t="shared" si="12"/>
        <v>100</v>
      </c>
      <c r="AQ13" s="40">
        <v>4</v>
      </c>
      <c r="AR13" s="40">
        <v>4</v>
      </c>
      <c r="AS13" s="41">
        <f t="shared" si="13"/>
        <v>100</v>
      </c>
      <c r="AT13" s="10">
        <f t="shared" si="14"/>
        <v>41</v>
      </c>
      <c r="AU13" s="10">
        <f t="shared" si="14"/>
        <v>22</v>
      </c>
      <c r="AV13" s="26">
        <f t="shared" si="15"/>
        <v>53.658536585365859</v>
      </c>
      <c r="AW13" s="10">
        <f t="shared" si="16"/>
        <v>26</v>
      </c>
      <c r="AX13" s="10">
        <f t="shared" si="16"/>
        <v>15</v>
      </c>
      <c r="AY13" s="26">
        <f t="shared" si="17"/>
        <v>57.692307692307686</v>
      </c>
      <c r="AZ13" s="10">
        <f t="shared" si="18"/>
        <v>67</v>
      </c>
      <c r="BA13" s="10">
        <f t="shared" si="18"/>
        <v>37</v>
      </c>
      <c r="BB13" s="27">
        <f t="shared" si="19"/>
        <v>55.223880597014926</v>
      </c>
    </row>
    <row r="14" spans="1:54">
      <c r="A14" s="12">
        <v>8</v>
      </c>
      <c r="B14" s="13">
        <v>1230321005</v>
      </c>
      <c r="C14" s="14" t="s">
        <v>30</v>
      </c>
      <c r="D14" s="39">
        <v>4</v>
      </c>
      <c r="E14" s="39">
        <v>2</v>
      </c>
      <c r="F14" s="39">
        <f t="shared" si="0"/>
        <v>50</v>
      </c>
      <c r="G14" s="39">
        <v>2</v>
      </c>
      <c r="H14" s="39">
        <v>0</v>
      </c>
      <c r="I14" s="39">
        <f t="shared" si="1"/>
        <v>0</v>
      </c>
      <c r="J14" s="40">
        <v>7</v>
      </c>
      <c r="K14" s="40">
        <v>5</v>
      </c>
      <c r="L14" s="41">
        <f t="shared" si="2"/>
        <v>71.428571428571431</v>
      </c>
      <c r="M14" s="42">
        <v>6</v>
      </c>
      <c r="N14" s="42">
        <v>4</v>
      </c>
      <c r="O14" s="41">
        <f t="shared" si="3"/>
        <v>66.666666666666657</v>
      </c>
      <c r="P14" s="40">
        <v>7</v>
      </c>
      <c r="Q14" s="40">
        <v>6</v>
      </c>
      <c r="R14" s="41">
        <f t="shared" si="4"/>
        <v>85.714285714285708</v>
      </c>
      <c r="S14" s="42">
        <v>2</v>
      </c>
      <c r="T14" s="42">
        <v>1</v>
      </c>
      <c r="U14" s="41">
        <f t="shared" si="5"/>
        <v>50</v>
      </c>
      <c r="V14" s="39">
        <v>4</v>
      </c>
      <c r="W14" s="39">
        <v>1</v>
      </c>
      <c r="X14" s="41">
        <f t="shared" si="6"/>
        <v>25</v>
      </c>
      <c r="Y14" s="42">
        <v>2</v>
      </c>
      <c r="Z14" s="42">
        <v>1</v>
      </c>
      <c r="AA14" s="41">
        <f t="shared" si="7"/>
        <v>50</v>
      </c>
      <c r="AB14" s="40">
        <v>4</v>
      </c>
      <c r="AC14" s="40">
        <v>2</v>
      </c>
      <c r="AD14" s="41">
        <f t="shared" si="8"/>
        <v>50</v>
      </c>
      <c r="AE14" s="42">
        <v>4</v>
      </c>
      <c r="AF14" s="42">
        <v>3</v>
      </c>
      <c r="AG14" s="41">
        <f t="shared" si="9"/>
        <v>75</v>
      </c>
      <c r="AH14" s="40">
        <v>8</v>
      </c>
      <c r="AI14" s="40">
        <v>5</v>
      </c>
      <c r="AJ14" s="41">
        <f t="shared" si="10"/>
        <v>62.5</v>
      </c>
      <c r="AK14" s="42">
        <v>6</v>
      </c>
      <c r="AL14" s="42">
        <v>2</v>
      </c>
      <c r="AM14" s="41">
        <f t="shared" si="11"/>
        <v>33.333333333333329</v>
      </c>
      <c r="AN14" s="42">
        <v>7</v>
      </c>
      <c r="AO14" s="42">
        <v>7</v>
      </c>
      <c r="AP14" s="41">
        <f t="shared" si="12"/>
        <v>100</v>
      </c>
      <c r="AQ14" s="40">
        <v>4</v>
      </c>
      <c r="AR14" s="40">
        <v>3</v>
      </c>
      <c r="AS14" s="41">
        <f t="shared" si="13"/>
        <v>75</v>
      </c>
      <c r="AT14" s="10">
        <f t="shared" si="14"/>
        <v>41</v>
      </c>
      <c r="AU14" s="10">
        <f t="shared" si="14"/>
        <v>28</v>
      </c>
      <c r="AV14" s="26">
        <f t="shared" si="15"/>
        <v>68.292682926829272</v>
      </c>
      <c r="AW14" s="10">
        <f t="shared" si="16"/>
        <v>26</v>
      </c>
      <c r="AX14" s="10">
        <f t="shared" si="16"/>
        <v>14</v>
      </c>
      <c r="AY14" s="26">
        <f t="shared" si="17"/>
        <v>53.846153846153847</v>
      </c>
      <c r="AZ14" s="10">
        <f t="shared" si="18"/>
        <v>67</v>
      </c>
      <c r="BA14" s="10">
        <f t="shared" si="18"/>
        <v>42</v>
      </c>
      <c r="BB14" s="27">
        <f t="shared" si="19"/>
        <v>62.68656716417911</v>
      </c>
    </row>
    <row r="15" spans="1:54">
      <c r="A15" s="12">
        <v>9</v>
      </c>
      <c r="B15" s="13">
        <v>1230321006</v>
      </c>
      <c r="C15" s="14" t="s">
        <v>31</v>
      </c>
      <c r="D15" s="39">
        <v>4</v>
      </c>
      <c r="E15" s="39">
        <v>2</v>
      </c>
      <c r="F15" s="39">
        <f t="shared" si="0"/>
        <v>50</v>
      </c>
      <c r="G15" s="39">
        <v>2</v>
      </c>
      <c r="H15" s="39">
        <v>0</v>
      </c>
      <c r="I15" s="39">
        <f t="shared" si="1"/>
        <v>0</v>
      </c>
      <c r="J15" s="40">
        <v>7</v>
      </c>
      <c r="K15" s="40">
        <v>5</v>
      </c>
      <c r="L15" s="41">
        <f t="shared" si="2"/>
        <v>71.428571428571431</v>
      </c>
      <c r="M15" s="42">
        <v>6</v>
      </c>
      <c r="N15" s="42">
        <v>4</v>
      </c>
      <c r="O15" s="41">
        <f t="shared" si="3"/>
        <v>66.666666666666657</v>
      </c>
      <c r="P15" s="40">
        <v>7</v>
      </c>
      <c r="Q15" s="40">
        <v>4</v>
      </c>
      <c r="R15" s="41">
        <f t="shared" si="4"/>
        <v>57.142857142857139</v>
      </c>
      <c r="S15" s="42">
        <v>2</v>
      </c>
      <c r="T15" s="42">
        <v>1</v>
      </c>
      <c r="U15" s="41">
        <f t="shared" si="5"/>
        <v>50</v>
      </c>
      <c r="V15" s="39">
        <v>4</v>
      </c>
      <c r="W15" s="39">
        <v>3</v>
      </c>
      <c r="X15" s="41">
        <f t="shared" si="6"/>
        <v>75</v>
      </c>
      <c r="Y15" s="42">
        <v>2</v>
      </c>
      <c r="Z15" s="42">
        <v>1</v>
      </c>
      <c r="AA15" s="41">
        <f t="shared" si="7"/>
        <v>50</v>
      </c>
      <c r="AB15" s="40">
        <v>4</v>
      </c>
      <c r="AC15" s="40">
        <v>3</v>
      </c>
      <c r="AD15" s="41">
        <f t="shared" si="8"/>
        <v>75</v>
      </c>
      <c r="AE15" s="42">
        <v>4</v>
      </c>
      <c r="AF15" s="42">
        <v>1</v>
      </c>
      <c r="AG15" s="41">
        <f t="shared" si="9"/>
        <v>25</v>
      </c>
      <c r="AH15" s="40">
        <v>8</v>
      </c>
      <c r="AI15" s="40">
        <v>6</v>
      </c>
      <c r="AJ15" s="41">
        <f t="shared" si="10"/>
        <v>75</v>
      </c>
      <c r="AK15" s="42">
        <v>6</v>
      </c>
      <c r="AL15" s="42">
        <v>4</v>
      </c>
      <c r="AM15" s="41">
        <f t="shared" si="11"/>
        <v>66.666666666666657</v>
      </c>
      <c r="AN15" s="42">
        <v>7</v>
      </c>
      <c r="AO15" s="42">
        <v>7</v>
      </c>
      <c r="AP15" s="41">
        <f t="shared" si="12"/>
        <v>100</v>
      </c>
      <c r="AQ15" s="40">
        <v>4</v>
      </c>
      <c r="AR15" s="40">
        <v>4</v>
      </c>
      <c r="AS15" s="41">
        <f t="shared" si="13"/>
        <v>100</v>
      </c>
      <c r="AT15" s="10">
        <f t="shared" si="14"/>
        <v>41</v>
      </c>
      <c r="AU15" s="10">
        <f t="shared" si="14"/>
        <v>30</v>
      </c>
      <c r="AV15" s="26">
        <f t="shared" si="15"/>
        <v>73.170731707317074</v>
      </c>
      <c r="AW15" s="10">
        <f t="shared" si="16"/>
        <v>26</v>
      </c>
      <c r="AX15" s="10">
        <f t="shared" si="16"/>
        <v>15</v>
      </c>
      <c r="AY15" s="26">
        <f t="shared" si="17"/>
        <v>57.692307692307686</v>
      </c>
      <c r="AZ15" s="10">
        <f t="shared" si="18"/>
        <v>67</v>
      </c>
      <c r="BA15" s="10">
        <f t="shared" si="18"/>
        <v>45</v>
      </c>
      <c r="BB15" s="27">
        <f t="shared" si="19"/>
        <v>67.164179104477611</v>
      </c>
    </row>
    <row r="16" spans="1:54">
      <c r="A16" s="12">
        <v>10</v>
      </c>
      <c r="B16" s="13">
        <v>1230321007</v>
      </c>
      <c r="C16" s="14" t="s">
        <v>32</v>
      </c>
      <c r="D16" s="39">
        <v>4</v>
      </c>
      <c r="E16" s="39">
        <v>2</v>
      </c>
      <c r="F16" s="39">
        <f t="shared" si="0"/>
        <v>50</v>
      </c>
      <c r="G16" s="39">
        <v>2</v>
      </c>
      <c r="H16" s="39">
        <v>0</v>
      </c>
      <c r="I16" s="39">
        <f t="shared" si="1"/>
        <v>0</v>
      </c>
      <c r="J16" s="40">
        <v>7</v>
      </c>
      <c r="K16" s="40">
        <v>3</v>
      </c>
      <c r="L16" s="41">
        <f t="shared" si="2"/>
        <v>42.857142857142854</v>
      </c>
      <c r="M16" s="42">
        <v>6</v>
      </c>
      <c r="N16" s="42">
        <v>2</v>
      </c>
      <c r="O16" s="41">
        <f t="shared" si="3"/>
        <v>33.333333333333329</v>
      </c>
      <c r="P16" s="40">
        <v>7</v>
      </c>
      <c r="Q16" s="40">
        <v>6</v>
      </c>
      <c r="R16" s="41">
        <f t="shared" si="4"/>
        <v>85.714285714285708</v>
      </c>
      <c r="S16" s="42">
        <v>2</v>
      </c>
      <c r="T16" s="42">
        <v>1</v>
      </c>
      <c r="U16" s="41">
        <f t="shared" si="5"/>
        <v>50</v>
      </c>
      <c r="V16" s="39">
        <v>4</v>
      </c>
      <c r="W16" s="39">
        <v>2</v>
      </c>
      <c r="X16" s="41">
        <f t="shared" si="6"/>
        <v>50</v>
      </c>
      <c r="Y16" s="42">
        <v>2</v>
      </c>
      <c r="Z16" s="42">
        <v>0</v>
      </c>
      <c r="AA16" s="41">
        <f t="shared" si="7"/>
        <v>0</v>
      </c>
      <c r="AB16" s="40">
        <v>4</v>
      </c>
      <c r="AC16" s="40">
        <v>4</v>
      </c>
      <c r="AD16" s="41">
        <f t="shared" si="8"/>
        <v>100</v>
      </c>
      <c r="AE16" s="42">
        <v>4</v>
      </c>
      <c r="AF16" s="42">
        <v>3</v>
      </c>
      <c r="AG16" s="41">
        <f t="shared" si="9"/>
        <v>75</v>
      </c>
      <c r="AH16" s="40">
        <v>8</v>
      </c>
      <c r="AI16" s="40">
        <v>3</v>
      </c>
      <c r="AJ16" s="41">
        <f t="shared" si="10"/>
        <v>37.5</v>
      </c>
      <c r="AK16" s="42">
        <v>6</v>
      </c>
      <c r="AL16" s="42">
        <v>3</v>
      </c>
      <c r="AM16" s="41">
        <f t="shared" si="11"/>
        <v>50</v>
      </c>
      <c r="AN16" s="42">
        <v>7</v>
      </c>
      <c r="AO16" s="42">
        <v>7</v>
      </c>
      <c r="AP16" s="41">
        <f t="shared" si="12"/>
        <v>100</v>
      </c>
      <c r="AQ16" s="40">
        <v>4</v>
      </c>
      <c r="AR16" s="40">
        <v>4</v>
      </c>
      <c r="AS16" s="41">
        <f t="shared" si="13"/>
        <v>100</v>
      </c>
      <c r="AT16" s="10">
        <f t="shared" si="14"/>
        <v>41</v>
      </c>
      <c r="AU16" s="10">
        <f t="shared" si="14"/>
        <v>27</v>
      </c>
      <c r="AV16" s="26">
        <f t="shared" si="15"/>
        <v>65.853658536585371</v>
      </c>
      <c r="AW16" s="10">
        <f t="shared" si="16"/>
        <v>26</v>
      </c>
      <c r="AX16" s="10">
        <f t="shared" si="16"/>
        <v>13</v>
      </c>
      <c r="AY16" s="26">
        <f t="shared" si="17"/>
        <v>50</v>
      </c>
      <c r="AZ16" s="10">
        <f t="shared" si="18"/>
        <v>67</v>
      </c>
      <c r="BA16" s="10">
        <f t="shared" si="18"/>
        <v>40</v>
      </c>
      <c r="BB16" s="27">
        <f t="shared" si="19"/>
        <v>59.701492537313428</v>
      </c>
    </row>
    <row r="17" spans="1:54">
      <c r="A17" s="12">
        <v>11</v>
      </c>
      <c r="B17" s="13">
        <v>1230321008</v>
      </c>
      <c r="C17" s="14" t="s">
        <v>33</v>
      </c>
      <c r="D17" s="39">
        <v>4</v>
      </c>
      <c r="E17" s="39">
        <v>1</v>
      </c>
      <c r="F17" s="39">
        <f t="shared" si="0"/>
        <v>25</v>
      </c>
      <c r="G17" s="39">
        <v>2</v>
      </c>
      <c r="H17" s="39">
        <v>0</v>
      </c>
      <c r="I17" s="39">
        <f t="shared" si="1"/>
        <v>0</v>
      </c>
      <c r="J17" s="40">
        <v>7</v>
      </c>
      <c r="K17" s="40">
        <v>3</v>
      </c>
      <c r="L17" s="41">
        <f t="shared" si="2"/>
        <v>42.857142857142854</v>
      </c>
      <c r="M17" s="42">
        <v>6</v>
      </c>
      <c r="N17" s="42">
        <v>2</v>
      </c>
      <c r="O17" s="41">
        <f t="shared" si="3"/>
        <v>33.333333333333329</v>
      </c>
      <c r="P17" s="40">
        <v>7</v>
      </c>
      <c r="Q17" s="40">
        <v>3</v>
      </c>
      <c r="R17" s="41">
        <f t="shared" si="4"/>
        <v>42.857142857142854</v>
      </c>
      <c r="S17" s="42">
        <v>2</v>
      </c>
      <c r="T17" s="42">
        <v>1</v>
      </c>
      <c r="U17" s="41">
        <f t="shared" si="5"/>
        <v>50</v>
      </c>
      <c r="V17" s="39">
        <v>4</v>
      </c>
      <c r="W17" s="39">
        <v>3</v>
      </c>
      <c r="X17" s="41">
        <f t="shared" si="6"/>
        <v>75</v>
      </c>
      <c r="Y17" s="42">
        <v>2</v>
      </c>
      <c r="Z17" s="42">
        <v>1</v>
      </c>
      <c r="AA17" s="41">
        <f t="shared" si="7"/>
        <v>50</v>
      </c>
      <c r="AB17" s="40">
        <v>4</v>
      </c>
      <c r="AC17" s="40">
        <v>2</v>
      </c>
      <c r="AD17" s="41">
        <f t="shared" si="8"/>
        <v>50</v>
      </c>
      <c r="AE17" s="42">
        <v>4</v>
      </c>
      <c r="AF17" s="42">
        <v>1</v>
      </c>
      <c r="AG17" s="41">
        <f t="shared" si="9"/>
        <v>25</v>
      </c>
      <c r="AH17" s="40">
        <v>8</v>
      </c>
      <c r="AI17" s="40">
        <v>4</v>
      </c>
      <c r="AJ17" s="41">
        <f t="shared" si="10"/>
        <v>50</v>
      </c>
      <c r="AK17" s="42">
        <v>6</v>
      </c>
      <c r="AL17" s="42">
        <v>3</v>
      </c>
      <c r="AM17" s="41">
        <f t="shared" si="11"/>
        <v>50</v>
      </c>
      <c r="AN17" s="42">
        <v>7</v>
      </c>
      <c r="AO17" s="42">
        <v>7</v>
      </c>
      <c r="AP17" s="41">
        <f t="shared" si="12"/>
        <v>100</v>
      </c>
      <c r="AQ17" s="40">
        <v>4</v>
      </c>
      <c r="AR17" s="40">
        <v>4</v>
      </c>
      <c r="AS17" s="41">
        <f t="shared" si="13"/>
        <v>100</v>
      </c>
      <c r="AT17" s="10">
        <f t="shared" si="14"/>
        <v>41</v>
      </c>
      <c r="AU17" s="10">
        <f t="shared" si="14"/>
        <v>23</v>
      </c>
      <c r="AV17" s="26">
        <f t="shared" si="15"/>
        <v>56.09756097560976</v>
      </c>
      <c r="AW17" s="10">
        <f t="shared" si="16"/>
        <v>26</v>
      </c>
      <c r="AX17" s="10">
        <f t="shared" si="16"/>
        <v>12</v>
      </c>
      <c r="AY17" s="26">
        <f t="shared" si="17"/>
        <v>46.153846153846153</v>
      </c>
      <c r="AZ17" s="10">
        <f t="shared" si="18"/>
        <v>67</v>
      </c>
      <c r="BA17" s="10">
        <f t="shared" si="18"/>
        <v>35</v>
      </c>
      <c r="BB17" s="27">
        <f t="shared" si="19"/>
        <v>52.238805970149251</v>
      </c>
    </row>
    <row r="18" spans="1:54">
      <c r="A18" s="12">
        <v>12</v>
      </c>
      <c r="B18" s="13">
        <v>1230321009</v>
      </c>
      <c r="C18" s="14" t="s">
        <v>34</v>
      </c>
      <c r="D18" s="39">
        <v>4</v>
      </c>
      <c r="E18" s="39">
        <v>0</v>
      </c>
      <c r="F18" s="39">
        <f t="shared" si="0"/>
        <v>0</v>
      </c>
      <c r="G18" s="39">
        <v>2</v>
      </c>
      <c r="H18" s="39">
        <v>0</v>
      </c>
      <c r="I18" s="39">
        <f t="shared" si="1"/>
        <v>0</v>
      </c>
      <c r="J18" s="40">
        <v>7</v>
      </c>
      <c r="K18" s="40">
        <v>4</v>
      </c>
      <c r="L18" s="41">
        <f t="shared" si="2"/>
        <v>57.142857142857139</v>
      </c>
      <c r="M18" s="42">
        <v>6</v>
      </c>
      <c r="N18" s="42">
        <v>2</v>
      </c>
      <c r="O18" s="41">
        <f t="shared" si="3"/>
        <v>33.333333333333329</v>
      </c>
      <c r="P18" s="40">
        <v>7</v>
      </c>
      <c r="Q18" s="40">
        <v>3</v>
      </c>
      <c r="R18" s="41">
        <f t="shared" si="4"/>
        <v>42.857142857142854</v>
      </c>
      <c r="S18" s="42">
        <v>2</v>
      </c>
      <c r="T18" s="42">
        <v>0</v>
      </c>
      <c r="U18" s="41">
        <f t="shared" si="5"/>
        <v>0</v>
      </c>
      <c r="V18" s="39">
        <v>4</v>
      </c>
      <c r="W18" s="39">
        <v>1</v>
      </c>
      <c r="X18" s="41">
        <f t="shared" si="6"/>
        <v>25</v>
      </c>
      <c r="Y18" s="42">
        <v>2</v>
      </c>
      <c r="Z18" s="42">
        <v>2</v>
      </c>
      <c r="AA18" s="41">
        <f t="shared" si="7"/>
        <v>100</v>
      </c>
      <c r="AB18" s="40">
        <v>4</v>
      </c>
      <c r="AC18" s="40">
        <v>3</v>
      </c>
      <c r="AD18" s="41">
        <f t="shared" si="8"/>
        <v>75</v>
      </c>
      <c r="AE18" s="42">
        <v>4</v>
      </c>
      <c r="AF18" s="42">
        <v>2</v>
      </c>
      <c r="AG18" s="41">
        <f t="shared" si="9"/>
        <v>50</v>
      </c>
      <c r="AH18" s="40">
        <v>8</v>
      </c>
      <c r="AI18" s="40">
        <v>6</v>
      </c>
      <c r="AJ18" s="41">
        <f t="shared" si="10"/>
        <v>75</v>
      </c>
      <c r="AK18" s="42">
        <v>6</v>
      </c>
      <c r="AL18" s="42">
        <v>3</v>
      </c>
      <c r="AM18" s="41">
        <f t="shared" si="11"/>
        <v>50</v>
      </c>
      <c r="AN18" s="42">
        <v>7</v>
      </c>
      <c r="AO18" s="42">
        <v>5</v>
      </c>
      <c r="AP18" s="41">
        <f t="shared" si="12"/>
        <v>71.428571428571431</v>
      </c>
      <c r="AQ18" s="40">
        <v>4</v>
      </c>
      <c r="AR18" s="40">
        <v>4</v>
      </c>
      <c r="AS18" s="41">
        <f t="shared" si="13"/>
        <v>100</v>
      </c>
      <c r="AT18" s="10">
        <f t="shared" si="14"/>
        <v>41</v>
      </c>
      <c r="AU18" s="10">
        <f t="shared" si="14"/>
        <v>22</v>
      </c>
      <c r="AV18" s="26">
        <f t="shared" si="15"/>
        <v>53.658536585365859</v>
      </c>
      <c r="AW18" s="10">
        <f t="shared" si="16"/>
        <v>26</v>
      </c>
      <c r="AX18" s="10">
        <f t="shared" si="16"/>
        <v>13</v>
      </c>
      <c r="AY18" s="26">
        <f t="shared" si="17"/>
        <v>50</v>
      </c>
      <c r="AZ18" s="10">
        <f t="shared" si="18"/>
        <v>67</v>
      </c>
      <c r="BA18" s="10">
        <f t="shared" si="18"/>
        <v>35</v>
      </c>
      <c r="BB18" s="27">
        <f t="shared" si="19"/>
        <v>52.238805970149251</v>
      </c>
    </row>
    <row r="19" spans="1:54">
      <c r="A19" s="12">
        <v>13</v>
      </c>
      <c r="B19" s="13">
        <v>1230321010</v>
      </c>
      <c r="C19" s="14" t="s">
        <v>35</v>
      </c>
      <c r="D19" s="39">
        <v>4</v>
      </c>
      <c r="E19" s="39">
        <v>2</v>
      </c>
      <c r="F19" s="39">
        <f t="shared" si="0"/>
        <v>50</v>
      </c>
      <c r="G19" s="39">
        <v>2</v>
      </c>
      <c r="H19" s="39">
        <v>0</v>
      </c>
      <c r="I19" s="39">
        <f t="shared" si="1"/>
        <v>0</v>
      </c>
      <c r="J19" s="40">
        <v>7</v>
      </c>
      <c r="K19" s="40">
        <v>3</v>
      </c>
      <c r="L19" s="41">
        <f t="shared" si="2"/>
        <v>42.857142857142854</v>
      </c>
      <c r="M19" s="42">
        <v>6</v>
      </c>
      <c r="N19" s="42">
        <v>3</v>
      </c>
      <c r="O19" s="41">
        <f t="shared" si="3"/>
        <v>50</v>
      </c>
      <c r="P19" s="40">
        <v>7</v>
      </c>
      <c r="Q19" s="40">
        <v>6</v>
      </c>
      <c r="R19" s="41">
        <f t="shared" si="4"/>
        <v>85.714285714285708</v>
      </c>
      <c r="S19" s="42">
        <v>2</v>
      </c>
      <c r="T19" s="42">
        <v>1</v>
      </c>
      <c r="U19" s="41">
        <f t="shared" si="5"/>
        <v>50</v>
      </c>
      <c r="V19" s="39">
        <v>4</v>
      </c>
      <c r="W19" s="39">
        <v>3</v>
      </c>
      <c r="X19" s="41">
        <f t="shared" si="6"/>
        <v>75</v>
      </c>
      <c r="Y19" s="42">
        <v>2</v>
      </c>
      <c r="Z19" s="42">
        <v>1</v>
      </c>
      <c r="AA19" s="41">
        <f t="shared" si="7"/>
        <v>50</v>
      </c>
      <c r="AB19" s="40">
        <v>4</v>
      </c>
      <c r="AC19" s="40">
        <v>1</v>
      </c>
      <c r="AD19" s="41">
        <f t="shared" si="8"/>
        <v>25</v>
      </c>
      <c r="AE19" s="42">
        <v>4</v>
      </c>
      <c r="AF19" s="42">
        <v>3</v>
      </c>
      <c r="AG19" s="41">
        <f t="shared" si="9"/>
        <v>75</v>
      </c>
      <c r="AH19" s="40">
        <v>8</v>
      </c>
      <c r="AI19" s="40">
        <v>4</v>
      </c>
      <c r="AJ19" s="41">
        <f t="shared" si="10"/>
        <v>50</v>
      </c>
      <c r="AK19" s="42">
        <v>6</v>
      </c>
      <c r="AL19" s="42">
        <v>4</v>
      </c>
      <c r="AM19" s="41">
        <f t="shared" si="11"/>
        <v>66.666666666666657</v>
      </c>
      <c r="AN19" s="42">
        <v>7</v>
      </c>
      <c r="AO19" s="42">
        <v>5</v>
      </c>
      <c r="AP19" s="41">
        <f t="shared" si="12"/>
        <v>71.428571428571431</v>
      </c>
      <c r="AQ19" s="40">
        <v>4</v>
      </c>
      <c r="AR19" s="40">
        <v>3</v>
      </c>
      <c r="AS19" s="41">
        <f t="shared" si="13"/>
        <v>75</v>
      </c>
      <c r="AT19" s="10">
        <f t="shared" si="14"/>
        <v>41</v>
      </c>
      <c r="AU19" s="10">
        <f t="shared" si="14"/>
        <v>24</v>
      </c>
      <c r="AV19" s="26">
        <f t="shared" si="15"/>
        <v>58.536585365853654</v>
      </c>
      <c r="AW19" s="10">
        <f t="shared" si="16"/>
        <v>26</v>
      </c>
      <c r="AX19" s="10">
        <f t="shared" si="16"/>
        <v>15</v>
      </c>
      <c r="AY19" s="26">
        <f t="shared" si="17"/>
        <v>57.692307692307686</v>
      </c>
      <c r="AZ19" s="10">
        <f t="shared" si="18"/>
        <v>67</v>
      </c>
      <c r="BA19" s="10">
        <f t="shared" si="18"/>
        <v>39</v>
      </c>
      <c r="BB19" s="27">
        <f t="shared" si="19"/>
        <v>58.208955223880601</v>
      </c>
    </row>
    <row r="20" spans="1:54">
      <c r="A20" s="12">
        <v>14</v>
      </c>
      <c r="B20" s="13">
        <v>1230321011</v>
      </c>
      <c r="C20" s="14" t="s">
        <v>36</v>
      </c>
      <c r="D20" s="39">
        <v>4</v>
      </c>
      <c r="E20" s="39">
        <v>0</v>
      </c>
      <c r="F20" s="39">
        <f t="shared" si="0"/>
        <v>0</v>
      </c>
      <c r="G20" s="39">
        <v>2</v>
      </c>
      <c r="H20" s="39">
        <v>0</v>
      </c>
      <c r="I20" s="39">
        <f t="shared" si="1"/>
        <v>0</v>
      </c>
      <c r="J20" s="40">
        <v>7</v>
      </c>
      <c r="K20" s="40">
        <v>3</v>
      </c>
      <c r="L20" s="41">
        <f t="shared" si="2"/>
        <v>42.857142857142854</v>
      </c>
      <c r="M20" s="42">
        <v>6</v>
      </c>
      <c r="N20" s="42">
        <v>1</v>
      </c>
      <c r="O20" s="41">
        <f t="shared" si="3"/>
        <v>16.666666666666664</v>
      </c>
      <c r="P20" s="40">
        <v>7</v>
      </c>
      <c r="Q20" s="40">
        <v>2</v>
      </c>
      <c r="R20" s="41">
        <f t="shared" si="4"/>
        <v>28.571428571428569</v>
      </c>
      <c r="S20" s="42">
        <v>3</v>
      </c>
      <c r="T20" s="42">
        <v>1</v>
      </c>
      <c r="U20" s="41">
        <f t="shared" si="5"/>
        <v>33.333333333333329</v>
      </c>
      <c r="V20" s="39">
        <v>4</v>
      </c>
      <c r="W20" s="39">
        <v>2</v>
      </c>
      <c r="X20" s="41">
        <f t="shared" si="6"/>
        <v>50</v>
      </c>
      <c r="Y20" s="42">
        <v>2</v>
      </c>
      <c r="Z20" s="42">
        <v>1</v>
      </c>
      <c r="AA20" s="41">
        <f t="shared" si="7"/>
        <v>50</v>
      </c>
      <c r="AB20" s="40">
        <v>4</v>
      </c>
      <c r="AC20" s="40">
        <v>3</v>
      </c>
      <c r="AD20" s="41">
        <f t="shared" si="8"/>
        <v>75</v>
      </c>
      <c r="AE20" s="42">
        <v>4</v>
      </c>
      <c r="AF20" s="42">
        <v>3</v>
      </c>
      <c r="AG20" s="41">
        <f t="shared" si="9"/>
        <v>75</v>
      </c>
      <c r="AH20" s="40">
        <v>8</v>
      </c>
      <c r="AI20" s="40">
        <v>7</v>
      </c>
      <c r="AJ20" s="41">
        <f t="shared" si="10"/>
        <v>87.5</v>
      </c>
      <c r="AK20" s="42">
        <v>6</v>
      </c>
      <c r="AL20" s="42">
        <v>4</v>
      </c>
      <c r="AM20" s="41">
        <f t="shared" si="11"/>
        <v>66.666666666666657</v>
      </c>
      <c r="AN20" s="42">
        <v>7</v>
      </c>
      <c r="AO20" s="42">
        <v>6</v>
      </c>
      <c r="AP20" s="41">
        <f t="shared" si="12"/>
        <v>85.714285714285708</v>
      </c>
      <c r="AQ20" s="40">
        <v>4</v>
      </c>
      <c r="AR20" s="40">
        <v>4</v>
      </c>
      <c r="AS20" s="41">
        <f t="shared" si="13"/>
        <v>100</v>
      </c>
      <c r="AT20" s="10">
        <f t="shared" si="14"/>
        <v>41</v>
      </c>
      <c r="AU20" s="10">
        <f t="shared" si="14"/>
        <v>23</v>
      </c>
      <c r="AV20" s="26">
        <f t="shared" si="15"/>
        <v>56.09756097560976</v>
      </c>
      <c r="AW20" s="10">
        <f t="shared" si="16"/>
        <v>27</v>
      </c>
      <c r="AX20" s="10">
        <f t="shared" si="16"/>
        <v>14</v>
      </c>
      <c r="AY20" s="26">
        <f t="shared" si="17"/>
        <v>51.851851851851848</v>
      </c>
      <c r="AZ20" s="10">
        <f t="shared" si="18"/>
        <v>68</v>
      </c>
      <c r="BA20" s="10">
        <f t="shared" si="18"/>
        <v>37</v>
      </c>
      <c r="BB20" s="27">
        <f t="shared" si="19"/>
        <v>54.411764705882348</v>
      </c>
    </row>
    <row r="21" spans="1:54">
      <c r="A21" s="12">
        <v>15</v>
      </c>
      <c r="B21" s="13">
        <v>1230321012</v>
      </c>
      <c r="C21" s="14" t="s">
        <v>37</v>
      </c>
      <c r="D21" s="39">
        <v>4</v>
      </c>
      <c r="E21" s="39">
        <v>1</v>
      </c>
      <c r="F21" s="39">
        <f t="shared" si="0"/>
        <v>25</v>
      </c>
      <c r="G21" s="39">
        <v>2</v>
      </c>
      <c r="H21" s="39">
        <v>0</v>
      </c>
      <c r="I21" s="39">
        <f t="shared" si="1"/>
        <v>0</v>
      </c>
      <c r="J21" s="40">
        <v>7</v>
      </c>
      <c r="K21" s="40">
        <v>6</v>
      </c>
      <c r="L21" s="41">
        <f t="shared" si="2"/>
        <v>85.714285714285708</v>
      </c>
      <c r="M21" s="42">
        <v>6</v>
      </c>
      <c r="N21" s="42">
        <v>3</v>
      </c>
      <c r="O21" s="41">
        <f t="shared" si="3"/>
        <v>50</v>
      </c>
      <c r="P21" s="40">
        <v>7</v>
      </c>
      <c r="Q21" s="40">
        <v>7</v>
      </c>
      <c r="R21" s="41">
        <f t="shared" si="4"/>
        <v>100</v>
      </c>
      <c r="S21" s="42">
        <v>2</v>
      </c>
      <c r="T21" s="42">
        <v>2</v>
      </c>
      <c r="U21" s="41">
        <f t="shared" si="5"/>
        <v>100</v>
      </c>
      <c r="V21" s="39">
        <v>4</v>
      </c>
      <c r="W21" s="39">
        <v>2</v>
      </c>
      <c r="X21" s="41">
        <f t="shared" si="6"/>
        <v>50</v>
      </c>
      <c r="Y21" s="42">
        <v>2</v>
      </c>
      <c r="Z21" s="42">
        <v>1</v>
      </c>
      <c r="AA21" s="41">
        <f t="shared" si="7"/>
        <v>50</v>
      </c>
      <c r="AB21" s="40">
        <v>4</v>
      </c>
      <c r="AC21" s="40">
        <v>2</v>
      </c>
      <c r="AD21" s="41">
        <f t="shared" si="8"/>
        <v>50</v>
      </c>
      <c r="AE21" s="42">
        <v>4</v>
      </c>
      <c r="AF21" s="42">
        <v>3</v>
      </c>
      <c r="AG21" s="41">
        <f t="shared" si="9"/>
        <v>75</v>
      </c>
      <c r="AH21" s="40">
        <v>8</v>
      </c>
      <c r="AI21" s="40">
        <v>5</v>
      </c>
      <c r="AJ21" s="41">
        <f t="shared" si="10"/>
        <v>62.5</v>
      </c>
      <c r="AK21" s="42">
        <v>6</v>
      </c>
      <c r="AL21" s="42">
        <v>3</v>
      </c>
      <c r="AM21" s="41">
        <f t="shared" si="11"/>
        <v>50</v>
      </c>
      <c r="AN21" s="42">
        <v>7</v>
      </c>
      <c r="AO21" s="42">
        <v>7</v>
      </c>
      <c r="AP21" s="41">
        <f t="shared" si="12"/>
        <v>100</v>
      </c>
      <c r="AQ21" s="40">
        <v>4</v>
      </c>
      <c r="AR21" s="40">
        <v>4</v>
      </c>
      <c r="AS21" s="41">
        <f t="shared" si="13"/>
        <v>100</v>
      </c>
      <c r="AT21" s="10">
        <f t="shared" si="14"/>
        <v>41</v>
      </c>
      <c r="AU21" s="10">
        <f t="shared" si="14"/>
        <v>30</v>
      </c>
      <c r="AV21" s="26">
        <f t="shared" si="15"/>
        <v>73.170731707317074</v>
      </c>
      <c r="AW21" s="10">
        <f t="shared" si="16"/>
        <v>26</v>
      </c>
      <c r="AX21" s="10">
        <f t="shared" si="16"/>
        <v>16</v>
      </c>
      <c r="AY21" s="26">
        <f t="shared" si="17"/>
        <v>61.53846153846154</v>
      </c>
      <c r="AZ21" s="10">
        <f t="shared" si="18"/>
        <v>67</v>
      </c>
      <c r="BA21" s="10">
        <f t="shared" si="18"/>
        <v>46</v>
      </c>
      <c r="BB21" s="27">
        <f t="shared" si="19"/>
        <v>68.656716417910445</v>
      </c>
    </row>
    <row r="22" spans="1:54">
      <c r="A22" s="12">
        <v>16</v>
      </c>
      <c r="B22" s="13">
        <v>1230321013</v>
      </c>
      <c r="C22" s="14" t="s">
        <v>38</v>
      </c>
      <c r="D22" s="39">
        <v>4</v>
      </c>
      <c r="E22" s="39">
        <v>3</v>
      </c>
      <c r="F22" s="39">
        <f t="shared" si="0"/>
        <v>75</v>
      </c>
      <c r="G22" s="39">
        <v>2</v>
      </c>
      <c r="H22" s="39">
        <v>0</v>
      </c>
      <c r="I22" s="39">
        <f t="shared" si="1"/>
        <v>0</v>
      </c>
      <c r="J22" s="40">
        <v>7</v>
      </c>
      <c r="K22" s="40">
        <v>4</v>
      </c>
      <c r="L22" s="41">
        <f t="shared" si="2"/>
        <v>57.142857142857139</v>
      </c>
      <c r="M22" s="42">
        <v>6</v>
      </c>
      <c r="N22" s="42">
        <v>3</v>
      </c>
      <c r="O22" s="41">
        <f t="shared" si="3"/>
        <v>50</v>
      </c>
      <c r="P22" s="40">
        <v>7</v>
      </c>
      <c r="Q22" s="40">
        <v>4</v>
      </c>
      <c r="R22" s="41">
        <f t="shared" si="4"/>
        <v>57.142857142857139</v>
      </c>
      <c r="S22" s="42">
        <v>2</v>
      </c>
      <c r="T22" s="42">
        <v>1</v>
      </c>
      <c r="U22" s="41">
        <f t="shared" si="5"/>
        <v>50</v>
      </c>
      <c r="V22" s="39">
        <v>4</v>
      </c>
      <c r="W22" s="39">
        <v>2</v>
      </c>
      <c r="X22" s="41">
        <f t="shared" si="6"/>
        <v>50</v>
      </c>
      <c r="Y22" s="42">
        <v>2</v>
      </c>
      <c r="Z22" s="42">
        <v>2</v>
      </c>
      <c r="AA22" s="41">
        <f t="shared" si="7"/>
        <v>100</v>
      </c>
      <c r="AB22" s="40">
        <v>4</v>
      </c>
      <c r="AC22" s="40">
        <v>4</v>
      </c>
      <c r="AD22" s="41">
        <f t="shared" si="8"/>
        <v>100</v>
      </c>
      <c r="AE22" s="42">
        <v>4</v>
      </c>
      <c r="AF22" s="42">
        <v>4</v>
      </c>
      <c r="AG22" s="41">
        <f t="shared" si="9"/>
        <v>100</v>
      </c>
      <c r="AH22" s="40">
        <v>8</v>
      </c>
      <c r="AI22" s="40">
        <v>7</v>
      </c>
      <c r="AJ22" s="41">
        <f t="shared" si="10"/>
        <v>87.5</v>
      </c>
      <c r="AK22" s="42">
        <v>6</v>
      </c>
      <c r="AL22" s="42">
        <v>5</v>
      </c>
      <c r="AM22" s="41">
        <f t="shared" si="11"/>
        <v>83.333333333333343</v>
      </c>
      <c r="AN22" s="42">
        <v>7</v>
      </c>
      <c r="AO22" s="42">
        <v>6</v>
      </c>
      <c r="AP22" s="41">
        <f t="shared" si="12"/>
        <v>85.714285714285708</v>
      </c>
      <c r="AQ22" s="40">
        <v>4</v>
      </c>
      <c r="AR22" s="40">
        <v>4</v>
      </c>
      <c r="AS22" s="41">
        <f t="shared" si="13"/>
        <v>100</v>
      </c>
      <c r="AT22" s="10">
        <f t="shared" si="14"/>
        <v>41</v>
      </c>
      <c r="AU22" s="10">
        <f t="shared" si="14"/>
        <v>30</v>
      </c>
      <c r="AV22" s="26">
        <f t="shared" si="15"/>
        <v>73.170731707317074</v>
      </c>
      <c r="AW22" s="10">
        <f t="shared" si="16"/>
        <v>26</v>
      </c>
      <c r="AX22" s="10">
        <f t="shared" si="16"/>
        <v>19</v>
      </c>
      <c r="AY22" s="26">
        <f t="shared" si="17"/>
        <v>73.076923076923066</v>
      </c>
      <c r="AZ22" s="10">
        <f t="shared" si="18"/>
        <v>67</v>
      </c>
      <c r="BA22" s="10">
        <f t="shared" si="18"/>
        <v>49</v>
      </c>
      <c r="BB22" s="27">
        <f t="shared" si="19"/>
        <v>73.134328358208961</v>
      </c>
    </row>
    <row r="23" spans="1:54">
      <c r="A23" s="12">
        <v>17</v>
      </c>
      <c r="B23" s="13">
        <v>1230321014</v>
      </c>
      <c r="C23" s="14" t="s">
        <v>39</v>
      </c>
      <c r="D23" s="39">
        <v>4</v>
      </c>
      <c r="E23" s="39">
        <v>2</v>
      </c>
      <c r="F23" s="39">
        <f t="shared" si="0"/>
        <v>50</v>
      </c>
      <c r="G23" s="39">
        <v>2</v>
      </c>
      <c r="H23" s="39">
        <v>0</v>
      </c>
      <c r="I23" s="39">
        <f t="shared" si="1"/>
        <v>0</v>
      </c>
      <c r="J23" s="40">
        <v>7</v>
      </c>
      <c r="K23" s="40">
        <v>6</v>
      </c>
      <c r="L23" s="41">
        <f t="shared" si="2"/>
        <v>85.714285714285708</v>
      </c>
      <c r="M23" s="42">
        <v>6</v>
      </c>
      <c r="N23" s="42">
        <v>5</v>
      </c>
      <c r="O23" s="41">
        <f t="shared" si="3"/>
        <v>83.333333333333343</v>
      </c>
      <c r="P23" s="40">
        <v>7</v>
      </c>
      <c r="Q23" s="40">
        <v>5</v>
      </c>
      <c r="R23" s="41">
        <f t="shared" si="4"/>
        <v>71.428571428571431</v>
      </c>
      <c r="S23" s="42">
        <v>2</v>
      </c>
      <c r="T23" s="42">
        <v>1</v>
      </c>
      <c r="U23" s="41">
        <f t="shared" si="5"/>
        <v>50</v>
      </c>
      <c r="V23" s="39">
        <v>4</v>
      </c>
      <c r="W23" s="39">
        <v>1</v>
      </c>
      <c r="X23" s="41">
        <f t="shared" si="6"/>
        <v>25</v>
      </c>
      <c r="Y23" s="42">
        <v>2</v>
      </c>
      <c r="Z23" s="42">
        <v>2</v>
      </c>
      <c r="AA23" s="41">
        <f t="shared" si="7"/>
        <v>100</v>
      </c>
      <c r="AB23" s="40">
        <v>4</v>
      </c>
      <c r="AC23" s="40">
        <v>3</v>
      </c>
      <c r="AD23" s="41">
        <f t="shared" si="8"/>
        <v>75</v>
      </c>
      <c r="AE23" s="42">
        <v>4</v>
      </c>
      <c r="AF23" s="42">
        <v>1</v>
      </c>
      <c r="AG23" s="41">
        <f t="shared" si="9"/>
        <v>25</v>
      </c>
      <c r="AH23" s="40">
        <v>8</v>
      </c>
      <c r="AI23" s="40">
        <v>4</v>
      </c>
      <c r="AJ23" s="41">
        <f t="shared" si="10"/>
        <v>50</v>
      </c>
      <c r="AK23" s="42">
        <v>6</v>
      </c>
      <c r="AL23" s="42">
        <v>5</v>
      </c>
      <c r="AM23" s="41">
        <f t="shared" si="11"/>
        <v>83.333333333333343</v>
      </c>
      <c r="AN23" s="42">
        <v>7</v>
      </c>
      <c r="AO23" s="42">
        <v>6</v>
      </c>
      <c r="AP23" s="41">
        <f t="shared" si="12"/>
        <v>85.714285714285708</v>
      </c>
      <c r="AQ23" s="40">
        <v>4</v>
      </c>
      <c r="AR23" s="40">
        <v>4</v>
      </c>
      <c r="AS23" s="41">
        <f t="shared" si="13"/>
        <v>100</v>
      </c>
      <c r="AT23" s="10">
        <f t="shared" si="14"/>
        <v>41</v>
      </c>
      <c r="AU23" s="10">
        <f t="shared" si="14"/>
        <v>27</v>
      </c>
      <c r="AV23" s="26">
        <f t="shared" si="15"/>
        <v>65.853658536585371</v>
      </c>
      <c r="AW23" s="10">
        <f t="shared" si="16"/>
        <v>26</v>
      </c>
      <c r="AX23" s="10">
        <f t="shared" si="16"/>
        <v>18</v>
      </c>
      <c r="AY23" s="26">
        <f t="shared" si="17"/>
        <v>69.230769230769226</v>
      </c>
      <c r="AZ23" s="10">
        <f t="shared" si="18"/>
        <v>67</v>
      </c>
      <c r="BA23" s="10">
        <f t="shared" si="18"/>
        <v>45</v>
      </c>
      <c r="BB23" s="27">
        <f t="shared" si="19"/>
        <v>67.164179104477611</v>
      </c>
    </row>
    <row r="24" spans="1:54">
      <c r="A24" s="12">
        <v>18</v>
      </c>
      <c r="B24" s="13">
        <v>1230321015</v>
      </c>
      <c r="C24" s="14" t="s">
        <v>40</v>
      </c>
      <c r="D24" s="39">
        <v>4</v>
      </c>
      <c r="E24" s="39">
        <v>2</v>
      </c>
      <c r="F24" s="39">
        <f t="shared" si="0"/>
        <v>50</v>
      </c>
      <c r="G24" s="39">
        <v>2</v>
      </c>
      <c r="H24" s="39">
        <v>0</v>
      </c>
      <c r="I24" s="39">
        <f t="shared" si="1"/>
        <v>0</v>
      </c>
      <c r="J24" s="40">
        <v>7</v>
      </c>
      <c r="K24" s="40">
        <v>2</v>
      </c>
      <c r="L24" s="41">
        <f t="shared" si="2"/>
        <v>28.571428571428569</v>
      </c>
      <c r="M24" s="42">
        <v>6</v>
      </c>
      <c r="N24" s="42">
        <v>3</v>
      </c>
      <c r="O24" s="41">
        <f t="shared" si="3"/>
        <v>50</v>
      </c>
      <c r="P24" s="40">
        <v>7</v>
      </c>
      <c r="Q24" s="40">
        <v>4</v>
      </c>
      <c r="R24" s="41">
        <f t="shared" si="4"/>
        <v>57.142857142857139</v>
      </c>
      <c r="S24" s="42">
        <v>2</v>
      </c>
      <c r="T24" s="42">
        <v>1</v>
      </c>
      <c r="U24" s="41">
        <f t="shared" si="5"/>
        <v>50</v>
      </c>
      <c r="V24" s="39">
        <v>4</v>
      </c>
      <c r="W24" s="39">
        <v>3</v>
      </c>
      <c r="X24" s="41">
        <f t="shared" si="6"/>
        <v>75</v>
      </c>
      <c r="Y24" s="42">
        <v>2</v>
      </c>
      <c r="Z24" s="42">
        <v>2</v>
      </c>
      <c r="AA24" s="41">
        <f t="shared" si="7"/>
        <v>100</v>
      </c>
      <c r="AB24" s="40">
        <v>4</v>
      </c>
      <c r="AC24" s="40">
        <v>3</v>
      </c>
      <c r="AD24" s="41">
        <f t="shared" si="8"/>
        <v>75</v>
      </c>
      <c r="AE24" s="42">
        <v>4</v>
      </c>
      <c r="AF24" s="42">
        <v>3</v>
      </c>
      <c r="AG24" s="41">
        <f t="shared" si="9"/>
        <v>75</v>
      </c>
      <c r="AH24" s="40">
        <v>8</v>
      </c>
      <c r="AI24" s="40">
        <v>5</v>
      </c>
      <c r="AJ24" s="41">
        <f t="shared" si="10"/>
        <v>62.5</v>
      </c>
      <c r="AK24" s="42">
        <v>6</v>
      </c>
      <c r="AL24" s="42">
        <v>2</v>
      </c>
      <c r="AM24" s="41">
        <f t="shared" si="11"/>
        <v>33.333333333333329</v>
      </c>
      <c r="AN24" s="42">
        <v>7</v>
      </c>
      <c r="AO24" s="42">
        <v>6</v>
      </c>
      <c r="AP24" s="41">
        <f t="shared" si="12"/>
        <v>85.714285714285708</v>
      </c>
      <c r="AQ24" s="40">
        <v>4</v>
      </c>
      <c r="AR24" s="40">
        <v>4</v>
      </c>
      <c r="AS24" s="41">
        <f t="shared" si="13"/>
        <v>100</v>
      </c>
      <c r="AT24" s="10">
        <f t="shared" si="14"/>
        <v>41</v>
      </c>
      <c r="AU24" s="10">
        <f t="shared" si="14"/>
        <v>25</v>
      </c>
      <c r="AV24" s="26">
        <f t="shared" si="15"/>
        <v>60.975609756097562</v>
      </c>
      <c r="AW24" s="10">
        <f t="shared" si="16"/>
        <v>26</v>
      </c>
      <c r="AX24" s="10">
        <f t="shared" si="16"/>
        <v>15</v>
      </c>
      <c r="AY24" s="26">
        <f t="shared" si="17"/>
        <v>57.692307692307686</v>
      </c>
      <c r="AZ24" s="10">
        <f t="shared" si="18"/>
        <v>67</v>
      </c>
      <c r="BA24" s="10">
        <f t="shared" si="18"/>
        <v>40</v>
      </c>
      <c r="BB24" s="27">
        <f t="shared" si="19"/>
        <v>59.701492537313428</v>
      </c>
    </row>
    <row r="25" spans="1:54">
      <c r="A25" s="12">
        <v>19</v>
      </c>
      <c r="B25" s="13">
        <v>1230321016</v>
      </c>
      <c r="C25" s="14" t="s">
        <v>41</v>
      </c>
      <c r="D25" s="39">
        <v>4</v>
      </c>
      <c r="E25" s="39">
        <v>2</v>
      </c>
      <c r="F25" s="39">
        <f t="shared" si="0"/>
        <v>50</v>
      </c>
      <c r="G25" s="39">
        <v>2</v>
      </c>
      <c r="H25" s="39">
        <v>0</v>
      </c>
      <c r="I25" s="39">
        <f t="shared" si="1"/>
        <v>0</v>
      </c>
      <c r="J25" s="40">
        <v>7</v>
      </c>
      <c r="K25" s="40">
        <v>1</v>
      </c>
      <c r="L25" s="41">
        <f t="shared" si="2"/>
        <v>14.285714285714285</v>
      </c>
      <c r="M25" s="42">
        <v>6</v>
      </c>
      <c r="N25" s="42">
        <v>3</v>
      </c>
      <c r="O25" s="41">
        <f t="shared" si="3"/>
        <v>50</v>
      </c>
      <c r="P25" s="40">
        <v>7</v>
      </c>
      <c r="Q25" s="40">
        <v>4</v>
      </c>
      <c r="R25" s="41">
        <f t="shared" si="4"/>
        <v>57.142857142857139</v>
      </c>
      <c r="S25" s="42">
        <v>2</v>
      </c>
      <c r="T25" s="42">
        <v>2</v>
      </c>
      <c r="U25" s="41">
        <f t="shared" si="5"/>
        <v>100</v>
      </c>
      <c r="V25" s="39">
        <v>4</v>
      </c>
      <c r="W25" s="39">
        <v>3</v>
      </c>
      <c r="X25" s="41">
        <f t="shared" si="6"/>
        <v>75</v>
      </c>
      <c r="Y25" s="42">
        <v>2</v>
      </c>
      <c r="Z25" s="42">
        <v>1</v>
      </c>
      <c r="AA25" s="41">
        <f t="shared" si="7"/>
        <v>50</v>
      </c>
      <c r="AB25" s="40">
        <v>4</v>
      </c>
      <c r="AC25" s="40">
        <v>4</v>
      </c>
      <c r="AD25" s="41">
        <f t="shared" si="8"/>
        <v>100</v>
      </c>
      <c r="AE25" s="42">
        <v>4</v>
      </c>
      <c r="AF25" s="42">
        <v>4</v>
      </c>
      <c r="AG25" s="41">
        <f t="shared" si="9"/>
        <v>100</v>
      </c>
      <c r="AH25" s="40">
        <v>8</v>
      </c>
      <c r="AI25" s="40">
        <v>7</v>
      </c>
      <c r="AJ25" s="41">
        <f t="shared" si="10"/>
        <v>87.5</v>
      </c>
      <c r="AK25" s="42">
        <v>6</v>
      </c>
      <c r="AL25" s="42">
        <v>4</v>
      </c>
      <c r="AM25" s="41">
        <f t="shared" si="11"/>
        <v>66.666666666666657</v>
      </c>
      <c r="AN25" s="42">
        <v>7</v>
      </c>
      <c r="AO25" s="42">
        <v>6</v>
      </c>
      <c r="AP25" s="41">
        <f t="shared" si="12"/>
        <v>85.714285714285708</v>
      </c>
      <c r="AQ25" s="40">
        <v>4</v>
      </c>
      <c r="AR25" s="40">
        <v>4</v>
      </c>
      <c r="AS25" s="41">
        <f t="shared" si="13"/>
        <v>100</v>
      </c>
      <c r="AT25" s="10">
        <f t="shared" si="14"/>
        <v>41</v>
      </c>
      <c r="AU25" s="10">
        <f t="shared" si="14"/>
        <v>27</v>
      </c>
      <c r="AV25" s="26">
        <f t="shared" si="15"/>
        <v>65.853658536585371</v>
      </c>
      <c r="AW25" s="10">
        <f t="shared" si="16"/>
        <v>26</v>
      </c>
      <c r="AX25" s="10">
        <f t="shared" si="16"/>
        <v>18</v>
      </c>
      <c r="AY25" s="26">
        <f t="shared" si="17"/>
        <v>69.230769230769226</v>
      </c>
      <c r="AZ25" s="10">
        <f t="shared" si="18"/>
        <v>67</v>
      </c>
      <c r="BA25" s="10">
        <f t="shared" si="18"/>
        <v>45</v>
      </c>
      <c r="BB25" s="27">
        <f t="shared" si="19"/>
        <v>67.164179104477611</v>
      </c>
    </row>
    <row r="26" spans="1:54">
      <c r="A26" s="12">
        <v>20</v>
      </c>
      <c r="B26" s="13">
        <v>1230321017</v>
      </c>
      <c r="C26" s="14" t="s">
        <v>42</v>
      </c>
      <c r="D26" s="39">
        <v>4</v>
      </c>
      <c r="E26" s="39">
        <v>1</v>
      </c>
      <c r="F26" s="39">
        <f t="shared" si="0"/>
        <v>25</v>
      </c>
      <c r="G26" s="39">
        <v>2</v>
      </c>
      <c r="H26" s="39">
        <v>0</v>
      </c>
      <c r="I26" s="39">
        <f t="shared" si="1"/>
        <v>0</v>
      </c>
      <c r="J26" s="40">
        <v>7</v>
      </c>
      <c r="K26" s="40">
        <v>5</v>
      </c>
      <c r="L26" s="41">
        <f t="shared" si="2"/>
        <v>71.428571428571431</v>
      </c>
      <c r="M26" s="42">
        <v>6</v>
      </c>
      <c r="N26" s="42">
        <v>4</v>
      </c>
      <c r="O26" s="41">
        <f t="shared" si="3"/>
        <v>66.666666666666657</v>
      </c>
      <c r="P26" s="40">
        <v>7</v>
      </c>
      <c r="Q26" s="40">
        <v>3</v>
      </c>
      <c r="R26" s="41">
        <f t="shared" si="4"/>
        <v>42.857142857142854</v>
      </c>
      <c r="S26" s="42">
        <v>2</v>
      </c>
      <c r="T26" s="42">
        <v>2</v>
      </c>
      <c r="U26" s="41">
        <f t="shared" si="5"/>
        <v>100</v>
      </c>
      <c r="V26" s="39">
        <v>4</v>
      </c>
      <c r="W26" s="39">
        <v>3</v>
      </c>
      <c r="X26" s="41">
        <f t="shared" si="6"/>
        <v>75</v>
      </c>
      <c r="Y26" s="42">
        <v>2</v>
      </c>
      <c r="Z26" s="42">
        <v>1</v>
      </c>
      <c r="AA26" s="41">
        <f t="shared" si="7"/>
        <v>50</v>
      </c>
      <c r="AB26" s="40">
        <v>4</v>
      </c>
      <c r="AC26" s="40">
        <v>3</v>
      </c>
      <c r="AD26" s="41">
        <f t="shared" si="8"/>
        <v>75</v>
      </c>
      <c r="AE26" s="42">
        <v>4</v>
      </c>
      <c r="AF26" s="42">
        <v>3</v>
      </c>
      <c r="AG26" s="41">
        <f t="shared" si="9"/>
        <v>75</v>
      </c>
      <c r="AH26" s="40">
        <v>8</v>
      </c>
      <c r="AI26" s="40">
        <v>7</v>
      </c>
      <c r="AJ26" s="41">
        <f t="shared" si="10"/>
        <v>87.5</v>
      </c>
      <c r="AK26" s="42">
        <v>6</v>
      </c>
      <c r="AL26" s="42">
        <v>5</v>
      </c>
      <c r="AM26" s="41">
        <f t="shared" si="11"/>
        <v>83.333333333333343</v>
      </c>
      <c r="AN26" s="42">
        <v>7</v>
      </c>
      <c r="AO26" s="42">
        <v>7</v>
      </c>
      <c r="AP26" s="41">
        <f t="shared" si="12"/>
        <v>100</v>
      </c>
      <c r="AQ26" s="40">
        <v>4</v>
      </c>
      <c r="AR26" s="40">
        <v>4</v>
      </c>
      <c r="AS26" s="41">
        <f t="shared" si="13"/>
        <v>100</v>
      </c>
      <c r="AT26" s="10">
        <f t="shared" si="14"/>
        <v>41</v>
      </c>
      <c r="AU26" s="10">
        <f t="shared" si="14"/>
        <v>29</v>
      </c>
      <c r="AV26" s="26">
        <f t="shared" si="15"/>
        <v>70.731707317073173</v>
      </c>
      <c r="AW26" s="10">
        <f t="shared" si="16"/>
        <v>26</v>
      </c>
      <c r="AX26" s="10">
        <f t="shared" si="16"/>
        <v>19</v>
      </c>
      <c r="AY26" s="26">
        <f t="shared" si="17"/>
        <v>73.076923076923066</v>
      </c>
      <c r="AZ26" s="10">
        <f t="shared" si="18"/>
        <v>67</v>
      </c>
      <c r="BA26" s="10">
        <f t="shared" si="18"/>
        <v>48</v>
      </c>
      <c r="BB26" s="27">
        <f t="shared" si="19"/>
        <v>71.641791044776113</v>
      </c>
    </row>
    <row r="27" spans="1:54">
      <c r="A27" s="12">
        <v>21</v>
      </c>
      <c r="B27" s="13">
        <v>1230321018</v>
      </c>
      <c r="C27" s="14" t="s">
        <v>43</v>
      </c>
      <c r="D27" s="39">
        <v>4</v>
      </c>
      <c r="E27" s="39">
        <v>0</v>
      </c>
      <c r="F27" s="39">
        <f t="shared" si="0"/>
        <v>0</v>
      </c>
      <c r="G27" s="39">
        <v>2</v>
      </c>
      <c r="H27" s="39">
        <v>0</v>
      </c>
      <c r="I27" s="39">
        <f t="shared" si="1"/>
        <v>0</v>
      </c>
      <c r="J27" s="40">
        <v>7</v>
      </c>
      <c r="K27" s="40">
        <v>3</v>
      </c>
      <c r="L27" s="41">
        <f t="shared" si="2"/>
        <v>42.857142857142854</v>
      </c>
      <c r="M27" s="42">
        <v>6</v>
      </c>
      <c r="N27" s="42">
        <v>2</v>
      </c>
      <c r="O27" s="41">
        <f t="shared" si="3"/>
        <v>33.333333333333329</v>
      </c>
      <c r="P27" s="40">
        <v>7</v>
      </c>
      <c r="Q27" s="40">
        <v>2</v>
      </c>
      <c r="R27" s="41">
        <f t="shared" si="4"/>
        <v>28.571428571428569</v>
      </c>
      <c r="S27" s="42">
        <v>3</v>
      </c>
      <c r="T27" s="42">
        <v>0</v>
      </c>
      <c r="U27" s="41">
        <f t="shared" si="5"/>
        <v>0</v>
      </c>
      <c r="V27" s="39">
        <v>4</v>
      </c>
      <c r="W27" s="39">
        <v>2</v>
      </c>
      <c r="X27" s="41">
        <f t="shared" si="6"/>
        <v>50</v>
      </c>
      <c r="Y27" s="42">
        <v>2</v>
      </c>
      <c r="Z27" s="42">
        <v>0</v>
      </c>
      <c r="AA27" s="41">
        <f t="shared" si="7"/>
        <v>0</v>
      </c>
      <c r="AB27" s="40">
        <v>4</v>
      </c>
      <c r="AC27" s="40">
        <v>3</v>
      </c>
      <c r="AD27" s="41">
        <f t="shared" si="8"/>
        <v>75</v>
      </c>
      <c r="AE27" s="42">
        <v>4</v>
      </c>
      <c r="AF27" s="42">
        <v>1</v>
      </c>
      <c r="AG27" s="41">
        <f t="shared" si="9"/>
        <v>25</v>
      </c>
      <c r="AH27" s="40">
        <v>8</v>
      </c>
      <c r="AI27" s="40">
        <v>4</v>
      </c>
      <c r="AJ27" s="41">
        <f t="shared" si="10"/>
        <v>50</v>
      </c>
      <c r="AK27" s="42">
        <v>6</v>
      </c>
      <c r="AL27" s="42">
        <v>4</v>
      </c>
      <c r="AM27" s="41">
        <f t="shared" si="11"/>
        <v>66.666666666666657</v>
      </c>
      <c r="AN27" s="42">
        <v>7</v>
      </c>
      <c r="AO27" s="42">
        <v>6</v>
      </c>
      <c r="AP27" s="41">
        <f t="shared" si="12"/>
        <v>85.714285714285708</v>
      </c>
      <c r="AQ27" s="40">
        <v>4</v>
      </c>
      <c r="AR27" s="40">
        <v>4</v>
      </c>
      <c r="AS27" s="41">
        <f t="shared" si="13"/>
        <v>100</v>
      </c>
      <c r="AT27" s="10">
        <f t="shared" si="14"/>
        <v>41</v>
      </c>
      <c r="AU27" s="10">
        <f t="shared" si="14"/>
        <v>20</v>
      </c>
      <c r="AV27" s="26">
        <f t="shared" si="15"/>
        <v>48.780487804878049</v>
      </c>
      <c r="AW27" s="10">
        <f t="shared" si="16"/>
        <v>27</v>
      </c>
      <c r="AX27" s="10">
        <f t="shared" si="16"/>
        <v>11</v>
      </c>
      <c r="AY27" s="26">
        <f t="shared" si="17"/>
        <v>40.74074074074074</v>
      </c>
      <c r="AZ27" s="10">
        <f t="shared" si="18"/>
        <v>68</v>
      </c>
      <c r="BA27" s="10">
        <f t="shared" si="18"/>
        <v>31</v>
      </c>
      <c r="BB27" s="27">
        <f t="shared" si="19"/>
        <v>45.588235294117645</v>
      </c>
    </row>
    <row r="28" spans="1:54">
      <c r="A28" s="12">
        <v>22</v>
      </c>
      <c r="B28" s="13">
        <v>1230321019</v>
      </c>
      <c r="C28" s="14" t="s">
        <v>44</v>
      </c>
      <c r="D28" s="39">
        <v>4</v>
      </c>
      <c r="E28" s="39">
        <v>3</v>
      </c>
      <c r="F28" s="39">
        <f t="shared" si="0"/>
        <v>75</v>
      </c>
      <c r="G28" s="39">
        <v>2</v>
      </c>
      <c r="H28" s="39">
        <v>0</v>
      </c>
      <c r="I28" s="39">
        <f t="shared" si="1"/>
        <v>0</v>
      </c>
      <c r="J28" s="40">
        <v>7</v>
      </c>
      <c r="K28" s="40">
        <v>5</v>
      </c>
      <c r="L28" s="41">
        <f t="shared" si="2"/>
        <v>71.428571428571431</v>
      </c>
      <c r="M28" s="42">
        <v>6</v>
      </c>
      <c r="N28" s="42">
        <v>4</v>
      </c>
      <c r="O28" s="41">
        <f t="shared" si="3"/>
        <v>66.666666666666657</v>
      </c>
      <c r="P28" s="40">
        <v>7</v>
      </c>
      <c r="Q28" s="40">
        <v>6</v>
      </c>
      <c r="R28" s="41">
        <f t="shared" si="4"/>
        <v>85.714285714285708</v>
      </c>
      <c r="S28" s="42">
        <v>2</v>
      </c>
      <c r="T28" s="42">
        <v>2</v>
      </c>
      <c r="U28" s="41">
        <f t="shared" si="5"/>
        <v>100</v>
      </c>
      <c r="V28" s="39">
        <v>4</v>
      </c>
      <c r="W28" s="39">
        <v>0</v>
      </c>
      <c r="X28" s="41">
        <f t="shared" si="6"/>
        <v>0</v>
      </c>
      <c r="Y28" s="42">
        <v>2</v>
      </c>
      <c r="Z28" s="42">
        <v>1</v>
      </c>
      <c r="AA28" s="41">
        <f t="shared" si="7"/>
        <v>50</v>
      </c>
      <c r="AB28" s="40">
        <v>4</v>
      </c>
      <c r="AC28" s="40">
        <v>4</v>
      </c>
      <c r="AD28" s="41">
        <f t="shared" si="8"/>
        <v>100</v>
      </c>
      <c r="AE28" s="42">
        <v>4</v>
      </c>
      <c r="AF28" s="42">
        <v>4</v>
      </c>
      <c r="AG28" s="41">
        <f t="shared" si="9"/>
        <v>100</v>
      </c>
      <c r="AH28" s="40">
        <v>8</v>
      </c>
      <c r="AI28" s="40">
        <v>7</v>
      </c>
      <c r="AJ28" s="41">
        <f t="shared" si="10"/>
        <v>87.5</v>
      </c>
      <c r="AK28" s="42">
        <v>6</v>
      </c>
      <c r="AL28" s="42">
        <v>5</v>
      </c>
      <c r="AM28" s="41">
        <f t="shared" si="11"/>
        <v>83.333333333333343</v>
      </c>
      <c r="AN28" s="42">
        <v>7</v>
      </c>
      <c r="AO28" s="42">
        <v>7</v>
      </c>
      <c r="AP28" s="41">
        <f t="shared" si="12"/>
        <v>100</v>
      </c>
      <c r="AQ28" s="40">
        <v>4</v>
      </c>
      <c r="AR28" s="40">
        <v>4</v>
      </c>
      <c r="AS28" s="41">
        <f t="shared" si="13"/>
        <v>100</v>
      </c>
      <c r="AT28" s="10">
        <f t="shared" si="14"/>
        <v>41</v>
      </c>
      <c r="AU28" s="10">
        <f t="shared" si="14"/>
        <v>32</v>
      </c>
      <c r="AV28" s="26">
        <f t="shared" si="15"/>
        <v>78.048780487804876</v>
      </c>
      <c r="AW28" s="10">
        <f t="shared" si="16"/>
        <v>26</v>
      </c>
      <c r="AX28" s="10">
        <f t="shared" si="16"/>
        <v>20</v>
      </c>
      <c r="AY28" s="26">
        <f t="shared" si="17"/>
        <v>76.923076923076934</v>
      </c>
      <c r="AZ28" s="10">
        <f t="shared" si="18"/>
        <v>67</v>
      </c>
      <c r="BA28" s="10">
        <f t="shared" si="18"/>
        <v>52</v>
      </c>
      <c r="BB28" s="27">
        <f t="shared" si="19"/>
        <v>77.611940298507463</v>
      </c>
    </row>
    <row r="29" spans="1:54">
      <c r="A29" s="12">
        <v>23</v>
      </c>
      <c r="B29" s="13">
        <v>1230321020</v>
      </c>
      <c r="C29" s="14" t="s">
        <v>45</v>
      </c>
      <c r="D29" s="39">
        <v>4</v>
      </c>
      <c r="E29" s="39">
        <v>3</v>
      </c>
      <c r="F29" s="39">
        <f t="shared" si="0"/>
        <v>75</v>
      </c>
      <c r="G29" s="39">
        <v>2</v>
      </c>
      <c r="H29" s="39">
        <v>0</v>
      </c>
      <c r="I29" s="39">
        <f t="shared" si="1"/>
        <v>0</v>
      </c>
      <c r="J29" s="40">
        <v>7</v>
      </c>
      <c r="K29" s="40">
        <v>2</v>
      </c>
      <c r="L29" s="41">
        <f t="shared" si="2"/>
        <v>28.571428571428569</v>
      </c>
      <c r="M29" s="42">
        <v>6</v>
      </c>
      <c r="N29" s="42">
        <v>4</v>
      </c>
      <c r="O29" s="41">
        <f t="shared" si="3"/>
        <v>66.666666666666657</v>
      </c>
      <c r="P29" s="40">
        <v>7</v>
      </c>
      <c r="Q29" s="40">
        <v>5</v>
      </c>
      <c r="R29" s="41">
        <f t="shared" si="4"/>
        <v>71.428571428571431</v>
      </c>
      <c r="S29" s="42">
        <v>2</v>
      </c>
      <c r="T29" s="42">
        <v>1</v>
      </c>
      <c r="U29" s="41">
        <f t="shared" si="5"/>
        <v>50</v>
      </c>
      <c r="V29" s="39">
        <v>4</v>
      </c>
      <c r="W29" s="39">
        <v>2</v>
      </c>
      <c r="X29" s="41">
        <f t="shared" si="6"/>
        <v>50</v>
      </c>
      <c r="Y29" s="42">
        <v>2</v>
      </c>
      <c r="Z29" s="42">
        <v>1</v>
      </c>
      <c r="AA29" s="41">
        <f t="shared" si="7"/>
        <v>50</v>
      </c>
      <c r="AB29" s="40">
        <v>4</v>
      </c>
      <c r="AC29" s="40">
        <v>3</v>
      </c>
      <c r="AD29" s="41">
        <f t="shared" si="8"/>
        <v>75</v>
      </c>
      <c r="AE29" s="42">
        <v>4</v>
      </c>
      <c r="AF29" s="42">
        <v>3</v>
      </c>
      <c r="AG29" s="41">
        <f t="shared" si="9"/>
        <v>75</v>
      </c>
      <c r="AH29" s="40">
        <v>8</v>
      </c>
      <c r="AI29" s="40">
        <v>6</v>
      </c>
      <c r="AJ29" s="41">
        <f t="shared" si="10"/>
        <v>75</v>
      </c>
      <c r="AK29" s="42">
        <v>6</v>
      </c>
      <c r="AL29" s="42">
        <v>4</v>
      </c>
      <c r="AM29" s="41">
        <f t="shared" si="11"/>
        <v>66.666666666666657</v>
      </c>
      <c r="AN29" s="42">
        <v>7</v>
      </c>
      <c r="AO29" s="42">
        <v>5</v>
      </c>
      <c r="AP29" s="41">
        <f t="shared" si="12"/>
        <v>71.428571428571431</v>
      </c>
      <c r="AQ29" s="40">
        <v>4</v>
      </c>
      <c r="AR29" s="40">
        <v>4</v>
      </c>
      <c r="AS29" s="41">
        <f t="shared" si="13"/>
        <v>100</v>
      </c>
      <c r="AT29" s="10">
        <f t="shared" si="14"/>
        <v>41</v>
      </c>
      <c r="AU29" s="10">
        <f t="shared" si="14"/>
        <v>26</v>
      </c>
      <c r="AV29" s="26">
        <f t="shared" si="15"/>
        <v>63.414634146341463</v>
      </c>
      <c r="AW29" s="10">
        <f t="shared" si="16"/>
        <v>26</v>
      </c>
      <c r="AX29" s="10">
        <f t="shared" si="16"/>
        <v>17</v>
      </c>
      <c r="AY29" s="26">
        <f t="shared" si="17"/>
        <v>65.384615384615387</v>
      </c>
      <c r="AZ29" s="10">
        <f t="shared" si="18"/>
        <v>67</v>
      </c>
      <c r="BA29" s="10">
        <f t="shared" si="18"/>
        <v>43</v>
      </c>
      <c r="BB29" s="27">
        <f t="shared" si="19"/>
        <v>64.179104477611943</v>
      </c>
    </row>
    <row r="30" spans="1:54">
      <c r="A30" s="12">
        <v>24</v>
      </c>
      <c r="B30" s="13">
        <v>1230321021</v>
      </c>
      <c r="C30" s="14" t="s">
        <v>46</v>
      </c>
      <c r="D30" s="39">
        <v>4</v>
      </c>
      <c r="E30" s="39">
        <v>0</v>
      </c>
      <c r="F30" s="39">
        <f t="shared" si="0"/>
        <v>0</v>
      </c>
      <c r="G30" s="39">
        <v>2</v>
      </c>
      <c r="H30" s="39">
        <v>0</v>
      </c>
      <c r="I30" s="39">
        <f t="shared" si="1"/>
        <v>0</v>
      </c>
      <c r="J30" s="40">
        <v>7</v>
      </c>
      <c r="K30" s="40">
        <v>5</v>
      </c>
      <c r="L30" s="41">
        <f t="shared" si="2"/>
        <v>71.428571428571431</v>
      </c>
      <c r="M30" s="42">
        <v>6</v>
      </c>
      <c r="N30" s="42">
        <v>5</v>
      </c>
      <c r="O30" s="41">
        <f t="shared" si="3"/>
        <v>83.333333333333343</v>
      </c>
      <c r="P30" s="40">
        <v>7</v>
      </c>
      <c r="Q30" s="40">
        <v>6</v>
      </c>
      <c r="R30" s="41">
        <f t="shared" si="4"/>
        <v>85.714285714285708</v>
      </c>
      <c r="S30" s="42">
        <v>2</v>
      </c>
      <c r="T30" s="42">
        <v>1</v>
      </c>
      <c r="U30" s="41">
        <f t="shared" si="5"/>
        <v>50</v>
      </c>
      <c r="V30" s="39">
        <v>4</v>
      </c>
      <c r="W30" s="39">
        <v>2</v>
      </c>
      <c r="X30" s="41">
        <f t="shared" si="6"/>
        <v>50</v>
      </c>
      <c r="Y30" s="42">
        <v>2</v>
      </c>
      <c r="Z30" s="42">
        <v>1</v>
      </c>
      <c r="AA30" s="41">
        <f t="shared" si="7"/>
        <v>50</v>
      </c>
      <c r="AB30" s="40">
        <v>4</v>
      </c>
      <c r="AC30" s="40">
        <v>3</v>
      </c>
      <c r="AD30" s="41">
        <f t="shared" si="8"/>
        <v>75</v>
      </c>
      <c r="AE30" s="42">
        <v>4</v>
      </c>
      <c r="AF30" s="42">
        <v>3</v>
      </c>
      <c r="AG30" s="41">
        <f t="shared" si="9"/>
        <v>75</v>
      </c>
      <c r="AH30" s="40">
        <v>8</v>
      </c>
      <c r="AI30" s="40">
        <v>4</v>
      </c>
      <c r="AJ30" s="41">
        <f t="shared" si="10"/>
        <v>50</v>
      </c>
      <c r="AK30" s="42">
        <v>6</v>
      </c>
      <c r="AL30" s="42">
        <v>3</v>
      </c>
      <c r="AM30" s="41">
        <f t="shared" si="11"/>
        <v>50</v>
      </c>
      <c r="AN30" s="42">
        <v>7</v>
      </c>
      <c r="AO30" s="42">
        <v>5</v>
      </c>
      <c r="AP30" s="41">
        <f t="shared" si="12"/>
        <v>71.428571428571431</v>
      </c>
      <c r="AQ30" s="40">
        <v>4</v>
      </c>
      <c r="AR30" s="40">
        <v>3</v>
      </c>
      <c r="AS30" s="41">
        <f t="shared" si="13"/>
        <v>75</v>
      </c>
      <c r="AT30" s="10">
        <f t="shared" si="14"/>
        <v>41</v>
      </c>
      <c r="AU30" s="10">
        <f t="shared" si="14"/>
        <v>25</v>
      </c>
      <c r="AV30" s="26">
        <f t="shared" si="15"/>
        <v>60.975609756097562</v>
      </c>
      <c r="AW30" s="10">
        <f t="shared" si="16"/>
        <v>26</v>
      </c>
      <c r="AX30" s="10">
        <f t="shared" si="16"/>
        <v>16</v>
      </c>
      <c r="AY30" s="26">
        <f t="shared" si="17"/>
        <v>61.53846153846154</v>
      </c>
      <c r="AZ30" s="10">
        <f t="shared" si="18"/>
        <v>67</v>
      </c>
      <c r="BA30" s="10">
        <f t="shared" si="18"/>
        <v>41</v>
      </c>
      <c r="BB30" s="27">
        <f t="shared" si="19"/>
        <v>61.194029850746269</v>
      </c>
    </row>
    <row r="31" spans="1:54">
      <c r="A31" s="12">
        <v>25</v>
      </c>
      <c r="B31" s="13">
        <v>1230321022</v>
      </c>
      <c r="C31" s="14" t="s">
        <v>47</v>
      </c>
      <c r="D31" s="39">
        <v>4</v>
      </c>
      <c r="E31" s="39">
        <v>0</v>
      </c>
      <c r="F31" s="39">
        <f t="shared" si="0"/>
        <v>0</v>
      </c>
      <c r="G31" s="39">
        <v>2</v>
      </c>
      <c r="H31" s="39">
        <v>0</v>
      </c>
      <c r="I31" s="39">
        <f t="shared" si="1"/>
        <v>0</v>
      </c>
      <c r="J31" s="40">
        <v>7</v>
      </c>
      <c r="K31" s="40">
        <v>2</v>
      </c>
      <c r="L31" s="41">
        <f t="shared" si="2"/>
        <v>28.571428571428569</v>
      </c>
      <c r="M31" s="42">
        <v>6</v>
      </c>
      <c r="N31" s="42">
        <v>3</v>
      </c>
      <c r="O31" s="41">
        <f t="shared" si="3"/>
        <v>50</v>
      </c>
      <c r="P31" s="40">
        <v>7</v>
      </c>
      <c r="Q31" s="40">
        <v>3</v>
      </c>
      <c r="R31" s="41">
        <f t="shared" si="4"/>
        <v>42.857142857142854</v>
      </c>
      <c r="S31" s="42">
        <v>2</v>
      </c>
      <c r="T31" s="42">
        <v>0</v>
      </c>
      <c r="U31" s="41">
        <f t="shared" si="5"/>
        <v>0</v>
      </c>
      <c r="V31" s="39">
        <v>4</v>
      </c>
      <c r="W31" s="39">
        <v>3</v>
      </c>
      <c r="X31" s="41">
        <f t="shared" si="6"/>
        <v>75</v>
      </c>
      <c r="Y31" s="42">
        <v>2</v>
      </c>
      <c r="Z31" s="42">
        <v>0</v>
      </c>
      <c r="AA31" s="41">
        <f t="shared" si="7"/>
        <v>0</v>
      </c>
      <c r="AB31" s="40">
        <v>4</v>
      </c>
      <c r="AC31" s="40">
        <v>2</v>
      </c>
      <c r="AD31" s="41">
        <f t="shared" si="8"/>
        <v>50</v>
      </c>
      <c r="AE31" s="42">
        <v>4</v>
      </c>
      <c r="AF31" s="42">
        <v>1</v>
      </c>
      <c r="AG31" s="41">
        <f t="shared" si="9"/>
        <v>25</v>
      </c>
      <c r="AH31" s="40">
        <v>8</v>
      </c>
      <c r="AI31" s="40">
        <v>6</v>
      </c>
      <c r="AJ31" s="41">
        <f t="shared" si="10"/>
        <v>75</v>
      </c>
      <c r="AK31" s="42">
        <v>6</v>
      </c>
      <c r="AL31" s="42">
        <v>2</v>
      </c>
      <c r="AM31" s="41">
        <f t="shared" si="11"/>
        <v>33.333333333333329</v>
      </c>
      <c r="AN31" s="42">
        <v>7</v>
      </c>
      <c r="AO31" s="42">
        <v>5</v>
      </c>
      <c r="AP31" s="41">
        <f t="shared" si="12"/>
        <v>71.428571428571431</v>
      </c>
      <c r="AQ31" s="40">
        <v>4</v>
      </c>
      <c r="AR31" s="40">
        <v>3</v>
      </c>
      <c r="AS31" s="41">
        <f t="shared" si="13"/>
        <v>75</v>
      </c>
      <c r="AT31" s="10">
        <f t="shared" si="14"/>
        <v>41</v>
      </c>
      <c r="AU31" s="10">
        <f t="shared" si="14"/>
        <v>21</v>
      </c>
      <c r="AV31" s="26">
        <f t="shared" si="15"/>
        <v>51.219512195121951</v>
      </c>
      <c r="AW31" s="10">
        <f t="shared" si="16"/>
        <v>26</v>
      </c>
      <c r="AX31" s="10">
        <f t="shared" si="16"/>
        <v>9</v>
      </c>
      <c r="AY31" s="26">
        <f t="shared" si="17"/>
        <v>34.615384615384613</v>
      </c>
      <c r="AZ31" s="10">
        <f t="shared" si="18"/>
        <v>67</v>
      </c>
      <c r="BA31" s="10">
        <f t="shared" si="18"/>
        <v>30</v>
      </c>
      <c r="BB31" s="27">
        <f t="shared" si="19"/>
        <v>44.776119402985074</v>
      </c>
    </row>
    <row r="32" spans="1:54">
      <c r="A32" s="12">
        <v>26</v>
      </c>
      <c r="B32" s="13">
        <v>1230321023</v>
      </c>
      <c r="C32" s="14" t="s">
        <v>48</v>
      </c>
      <c r="D32" s="39">
        <v>4</v>
      </c>
      <c r="E32" s="39">
        <v>2</v>
      </c>
      <c r="F32" s="39">
        <f t="shared" si="0"/>
        <v>50</v>
      </c>
      <c r="G32" s="39">
        <v>2</v>
      </c>
      <c r="H32" s="39">
        <v>1</v>
      </c>
      <c r="I32" s="39">
        <f t="shared" si="1"/>
        <v>50</v>
      </c>
      <c r="J32" s="40">
        <v>7</v>
      </c>
      <c r="K32" s="40">
        <v>5</v>
      </c>
      <c r="L32" s="41">
        <f t="shared" si="2"/>
        <v>71.428571428571431</v>
      </c>
      <c r="M32" s="42">
        <v>6</v>
      </c>
      <c r="N32" s="42">
        <v>4</v>
      </c>
      <c r="O32" s="41">
        <f t="shared" si="3"/>
        <v>66.666666666666657</v>
      </c>
      <c r="P32" s="40">
        <v>7</v>
      </c>
      <c r="Q32" s="40">
        <v>5</v>
      </c>
      <c r="R32" s="41">
        <f t="shared" si="4"/>
        <v>71.428571428571431</v>
      </c>
      <c r="S32" s="42">
        <v>2</v>
      </c>
      <c r="T32" s="42">
        <v>1</v>
      </c>
      <c r="U32" s="41">
        <f t="shared" si="5"/>
        <v>50</v>
      </c>
      <c r="V32" s="39">
        <v>4</v>
      </c>
      <c r="W32" s="39">
        <v>3</v>
      </c>
      <c r="X32" s="41">
        <f t="shared" si="6"/>
        <v>75</v>
      </c>
      <c r="Y32" s="42">
        <v>2</v>
      </c>
      <c r="Z32" s="42">
        <v>1</v>
      </c>
      <c r="AA32" s="41">
        <f t="shared" si="7"/>
        <v>50</v>
      </c>
      <c r="AB32" s="40">
        <v>4</v>
      </c>
      <c r="AC32" s="40">
        <v>2</v>
      </c>
      <c r="AD32" s="41">
        <f t="shared" si="8"/>
        <v>50</v>
      </c>
      <c r="AE32" s="42">
        <v>4</v>
      </c>
      <c r="AF32" s="42">
        <v>3</v>
      </c>
      <c r="AG32" s="41">
        <f t="shared" si="9"/>
        <v>75</v>
      </c>
      <c r="AH32" s="40">
        <v>8</v>
      </c>
      <c r="AI32" s="40">
        <v>6</v>
      </c>
      <c r="AJ32" s="41">
        <f t="shared" si="10"/>
        <v>75</v>
      </c>
      <c r="AK32" s="42">
        <v>6</v>
      </c>
      <c r="AL32" s="42">
        <v>4</v>
      </c>
      <c r="AM32" s="41">
        <f t="shared" si="11"/>
        <v>66.666666666666657</v>
      </c>
      <c r="AN32" s="42">
        <v>7</v>
      </c>
      <c r="AO32" s="42">
        <v>5</v>
      </c>
      <c r="AP32" s="41">
        <f t="shared" si="12"/>
        <v>71.428571428571431</v>
      </c>
      <c r="AQ32" s="40">
        <v>4</v>
      </c>
      <c r="AR32" s="40">
        <v>3</v>
      </c>
      <c r="AS32" s="41">
        <f t="shared" si="13"/>
        <v>75</v>
      </c>
      <c r="AT32" s="10">
        <f t="shared" si="14"/>
        <v>41</v>
      </c>
      <c r="AU32" s="10">
        <f t="shared" si="14"/>
        <v>28</v>
      </c>
      <c r="AV32" s="26">
        <f t="shared" si="15"/>
        <v>68.292682926829272</v>
      </c>
      <c r="AW32" s="10">
        <f t="shared" si="16"/>
        <v>26</v>
      </c>
      <c r="AX32" s="10">
        <f t="shared" si="16"/>
        <v>17</v>
      </c>
      <c r="AY32" s="26">
        <f t="shared" si="17"/>
        <v>65.384615384615387</v>
      </c>
      <c r="AZ32" s="10">
        <f t="shared" si="18"/>
        <v>67</v>
      </c>
      <c r="BA32" s="10">
        <f t="shared" si="18"/>
        <v>45</v>
      </c>
      <c r="BB32" s="27">
        <f t="shared" si="19"/>
        <v>67.164179104477611</v>
      </c>
    </row>
    <row r="33" spans="1:54">
      <c r="A33" s="12">
        <v>27</v>
      </c>
      <c r="B33" s="13">
        <v>1230321024</v>
      </c>
      <c r="C33" s="14" t="s">
        <v>49</v>
      </c>
      <c r="D33" s="39">
        <v>4</v>
      </c>
      <c r="E33" s="39">
        <v>2</v>
      </c>
      <c r="F33" s="39">
        <f t="shared" si="0"/>
        <v>50</v>
      </c>
      <c r="G33" s="39">
        <v>2</v>
      </c>
      <c r="H33" s="39">
        <v>0</v>
      </c>
      <c r="I33" s="39">
        <f t="shared" si="1"/>
        <v>0</v>
      </c>
      <c r="J33" s="40">
        <v>7</v>
      </c>
      <c r="K33" s="40">
        <v>5</v>
      </c>
      <c r="L33" s="41">
        <f t="shared" si="2"/>
        <v>71.428571428571431</v>
      </c>
      <c r="M33" s="42">
        <v>6</v>
      </c>
      <c r="N33" s="42">
        <v>4</v>
      </c>
      <c r="O33" s="41">
        <f t="shared" si="3"/>
        <v>66.666666666666657</v>
      </c>
      <c r="P33" s="40">
        <v>7</v>
      </c>
      <c r="Q33" s="40">
        <v>6</v>
      </c>
      <c r="R33" s="41">
        <f t="shared" si="4"/>
        <v>85.714285714285708</v>
      </c>
      <c r="S33" s="42">
        <v>2</v>
      </c>
      <c r="T33" s="42">
        <v>1</v>
      </c>
      <c r="U33" s="41">
        <f t="shared" si="5"/>
        <v>50</v>
      </c>
      <c r="V33" s="39">
        <v>4</v>
      </c>
      <c r="W33" s="39">
        <v>1</v>
      </c>
      <c r="X33" s="41">
        <f t="shared" si="6"/>
        <v>25</v>
      </c>
      <c r="Y33" s="42">
        <v>2</v>
      </c>
      <c r="Z33" s="42">
        <v>1</v>
      </c>
      <c r="AA33" s="41">
        <f t="shared" si="7"/>
        <v>50</v>
      </c>
      <c r="AB33" s="40">
        <v>4</v>
      </c>
      <c r="AC33" s="40">
        <v>4</v>
      </c>
      <c r="AD33" s="41">
        <f t="shared" si="8"/>
        <v>100</v>
      </c>
      <c r="AE33" s="42">
        <v>4</v>
      </c>
      <c r="AF33" s="42">
        <v>3</v>
      </c>
      <c r="AG33" s="41">
        <f t="shared" si="9"/>
        <v>75</v>
      </c>
      <c r="AH33" s="40">
        <v>8</v>
      </c>
      <c r="AI33" s="40">
        <v>4</v>
      </c>
      <c r="AJ33" s="41">
        <f t="shared" si="10"/>
        <v>50</v>
      </c>
      <c r="AK33" s="42">
        <v>6</v>
      </c>
      <c r="AL33" s="42">
        <v>3</v>
      </c>
      <c r="AM33" s="41">
        <f t="shared" si="11"/>
        <v>50</v>
      </c>
      <c r="AN33" s="42">
        <v>7</v>
      </c>
      <c r="AO33" s="42">
        <v>7</v>
      </c>
      <c r="AP33" s="41">
        <f t="shared" si="12"/>
        <v>100</v>
      </c>
      <c r="AQ33" s="40">
        <v>4</v>
      </c>
      <c r="AR33" s="40">
        <v>5</v>
      </c>
      <c r="AS33" s="41">
        <f t="shared" si="13"/>
        <v>125</v>
      </c>
      <c r="AT33" s="10">
        <f t="shared" si="14"/>
        <v>41</v>
      </c>
      <c r="AU33" s="10">
        <f t="shared" si="14"/>
        <v>29</v>
      </c>
      <c r="AV33" s="26">
        <f t="shared" si="15"/>
        <v>70.731707317073173</v>
      </c>
      <c r="AW33" s="10">
        <f t="shared" si="16"/>
        <v>26</v>
      </c>
      <c r="AX33" s="10">
        <f t="shared" si="16"/>
        <v>17</v>
      </c>
      <c r="AY33" s="26">
        <f t="shared" si="17"/>
        <v>65.384615384615387</v>
      </c>
      <c r="AZ33" s="10">
        <f t="shared" si="18"/>
        <v>67</v>
      </c>
      <c r="BA33" s="10">
        <f t="shared" si="18"/>
        <v>46</v>
      </c>
      <c r="BB33" s="27">
        <f t="shared" si="19"/>
        <v>68.656716417910445</v>
      </c>
    </row>
    <row r="34" spans="1:54">
      <c r="A34" s="12">
        <v>28</v>
      </c>
      <c r="B34" s="13">
        <v>1230321025</v>
      </c>
      <c r="C34" s="14" t="s">
        <v>50</v>
      </c>
      <c r="D34" s="39">
        <v>4</v>
      </c>
      <c r="E34" s="39">
        <v>3</v>
      </c>
      <c r="F34" s="39">
        <f t="shared" si="0"/>
        <v>75</v>
      </c>
      <c r="G34" s="39">
        <v>2</v>
      </c>
      <c r="H34" s="39">
        <v>0</v>
      </c>
      <c r="I34" s="39">
        <f t="shared" si="1"/>
        <v>0</v>
      </c>
      <c r="J34" s="40">
        <v>7</v>
      </c>
      <c r="K34" s="40">
        <v>2</v>
      </c>
      <c r="L34" s="41">
        <f t="shared" si="2"/>
        <v>28.571428571428569</v>
      </c>
      <c r="M34" s="42">
        <v>6</v>
      </c>
      <c r="N34" s="42">
        <v>4</v>
      </c>
      <c r="O34" s="41">
        <f t="shared" si="3"/>
        <v>66.666666666666657</v>
      </c>
      <c r="P34" s="40">
        <v>7</v>
      </c>
      <c r="Q34" s="40">
        <v>6</v>
      </c>
      <c r="R34" s="41">
        <f t="shared" si="4"/>
        <v>85.714285714285708</v>
      </c>
      <c r="S34" s="42">
        <v>2</v>
      </c>
      <c r="T34" s="42">
        <v>1</v>
      </c>
      <c r="U34" s="41">
        <f t="shared" si="5"/>
        <v>50</v>
      </c>
      <c r="V34" s="39">
        <v>4</v>
      </c>
      <c r="W34" s="39">
        <v>1</v>
      </c>
      <c r="X34" s="41">
        <f t="shared" si="6"/>
        <v>25</v>
      </c>
      <c r="Y34" s="42">
        <v>2</v>
      </c>
      <c r="Z34" s="42">
        <v>1</v>
      </c>
      <c r="AA34" s="41">
        <f t="shared" si="7"/>
        <v>50</v>
      </c>
      <c r="AB34" s="40">
        <v>4</v>
      </c>
      <c r="AC34" s="40">
        <v>3</v>
      </c>
      <c r="AD34" s="41">
        <f t="shared" si="8"/>
        <v>75</v>
      </c>
      <c r="AE34" s="42">
        <v>4</v>
      </c>
      <c r="AF34" s="42">
        <v>2</v>
      </c>
      <c r="AG34" s="41">
        <f t="shared" si="9"/>
        <v>50</v>
      </c>
      <c r="AH34" s="40">
        <v>8</v>
      </c>
      <c r="AI34" s="40">
        <v>6</v>
      </c>
      <c r="AJ34" s="41">
        <f t="shared" si="10"/>
        <v>75</v>
      </c>
      <c r="AK34" s="42">
        <v>6</v>
      </c>
      <c r="AL34" s="42">
        <v>2</v>
      </c>
      <c r="AM34" s="41">
        <f t="shared" si="11"/>
        <v>33.333333333333329</v>
      </c>
      <c r="AN34" s="42">
        <v>7</v>
      </c>
      <c r="AO34" s="42">
        <v>6</v>
      </c>
      <c r="AP34" s="41">
        <f t="shared" si="12"/>
        <v>85.714285714285708</v>
      </c>
      <c r="AQ34" s="40">
        <v>4</v>
      </c>
      <c r="AR34" s="40">
        <v>4</v>
      </c>
      <c r="AS34" s="41">
        <f t="shared" si="13"/>
        <v>100</v>
      </c>
      <c r="AT34" s="10">
        <f t="shared" si="14"/>
        <v>41</v>
      </c>
      <c r="AU34" s="10">
        <f t="shared" si="14"/>
        <v>27</v>
      </c>
      <c r="AV34" s="26">
        <f t="shared" si="15"/>
        <v>65.853658536585371</v>
      </c>
      <c r="AW34" s="10">
        <f t="shared" si="16"/>
        <v>26</v>
      </c>
      <c r="AX34" s="10">
        <f t="shared" si="16"/>
        <v>14</v>
      </c>
      <c r="AY34" s="26">
        <f t="shared" si="17"/>
        <v>53.846153846153847</v>
      </c>
      <c r="AZ34" s="10">
        <f t="shared" si="18"/>
        <v>67</v>
      </c>
      <c r="BA34" s="10">
        <f t="shared" si="18"/>
        <v>41</v>
      </c>
      <c r="BB34" s="27">
        <f t="shared" si="19"/>
        <v>61.194029850746269</v>
      </c>
    </row>
    <row r="35" spans="1:54">
      <c r="A35" s="12">
        <v>29</v>
      </c>
      <c r="B35" s="13">
        <v>1230321026</v>
      </c>
      <c r="C35" s="14" t="s">
        <v>51</v>
      </c>
      <c r="D35" s="39">
        <v>4</v>
      </c>
      <c r="E35" s="39">
        <v>0</v>
      </c>
      <c r="F35" s="39">
        <f t="shared" si="0"/>
        <v>0</v>
      </c>
      <c r="G35" s="39">
        <v>2</v>
      </c>
      <c r="H35" s="39">
        <v>0</v>
      </c>
      <c r="I35" s="39">
        <f t="shared" si="1"/>
        <v>0</v>
      </c>
      <c r="J35" s="40">
        <v>7</v>
      </c>
      <c r="K35" s="40">
        <v>4</v>
      </c>
      <c r="L35" s="41">
        <f t="shared" si="2"/>
        <v>57.142857142857139</v>
      </c>
      <c r="M35" s="42">
        <v>6</v>
      </c>
      <c r="N35" s="42">
        <v>2</v>
      </c>
      <c r="O35" s="41">
        <f t="shared" si="3"/>
        <v>33.333333333333329</v>
      </c>
      <c r="P35" s="40">
        <v>7</v>
      </c>
      <c r="Q35" s="40">
        <v>3</v>
      </c>
      <c r="R35" s="41">
        <f t="shared" si="4"/>
        <v>42.857142857142854</v>
      </c>
      <c r="S35" s="42">
        <v>3</v>
      </c>
      <c r="T35" s="42">
        <v>0</v>
      </c>
      <c r="U35" s="41">
        <f t="shared" si="5"/>
        <v>0</v>
      </c>
      <c r="V35" s="39">
        <v>4</v>
      </c>
      <c r="W35" s="39">
        <v>1</v>
      </c>
      <c r="X35" s="41">
        <f t="shared" si="6"/>
        <v>25</v>
      </c>
      <c r="Y35" s="42">
        <v>2</v>
      </c>
      <c r="Z35" s="42">
        <v>2</v>
      </c>
      <c r="AA35" s="41">
        <f t="shared" si="7"/>
        <v>100</v>
      </c>
      <c r="AB35" s="40">
        <v>4</v>
      </c>
      <c r="AC35" s="40">
        <v>1</v>
      </c>
      <c r="AD35" s="41">
        <f t="shared" si="8"/>
        <v>25</v>
      </c>
      <c r="AE35" s="42">
        <v>4</v>
      </c>
      <c r="AF35" s="42">
        <v>0</v>
      </c>
      <c r="AG35" s="41">
        <f t="shared" si="9"/>
        <v>0</v>
      </c>
      <c r="AH35" s="40">
        <v>8</v>
      </c>
      <c r="AI35" s="40">
        <v>5</v>
      </c>
      <c r="AJ35" s="41">
        <f t="shared" si="10"/>
        <v>62.5</v>
      </c>
      <c r="AK35" s="42">
        <v>6</v>
      </c>
      <c r="AL35" s="42">
        <v>3</v>
      </c>
      <c r="AM35" s="41">
        <f t="shared" si="11"/>
        <v>50</v>
      </c>
      <c r="AN35" s="42">
        <v>7</v>
      </c>
      <c r="AO35" s="42">
        <v>5</v>
      </c>
      <c r="AP35" s="41">
        <f t="shared" si="12"/>
        <v>71.428571428571431</v>
      </c>
      <c r="AQ35" s="40">
        <v>4</v>
      </c>
      <c r="AR35" s="40">
        <v>3</v>
      </c>
      <c r="AS35" s="41">
        <f t="shared" si="13"/>
        <v>75</v>
      </c>
      <c r="AT35" s="10">
        <f t="shared" si="14"/>
        <v>41</v>
      </c>
      <c r="AU35" s="10">
        <f t="shared" si="14"/>
        <v>19</v>
      </c>
      <c r="AV35" s="26">
        <f t="shared" si="15"/>
        <v>46.341463414634148</v>
      </c>
      <c r="AW35" s="10">
        <f t="shared" si="16"/>
        <v>27</v>
      </c>
      <c r="AX35" s="10">
        <f t="shared" si="16"/>
        <v>10</v>
      </c>
      <c r="AY35" s="26">
        <f t="shared" si="17"/>
        <v>37.037037037037038</v>
      </c>
      <c r="AZ35" s="10">
        <f t="shared" si="18"/>
        <v>68</v>
      </c>
      <c r="BA35" s="10">
        <f t="shared" si="18"/>
        <v>29</v>
      </c>
      <c r="BB35" s="27">
        <f t="shared" si="19"/>
        <v>42.647058823529413</v>
      </c>
    </row>
    <row r="36" spans="1:54">
      <c r="A36" s="12">
        <v>30</v>
      </c>
      <c r="B36" s="13">
        <v>1230321027</v>
      </c>
      <c r="C36" s="14" t="s">
        <v>52</v>
      </c>
      <c r="D36" s="39">
        <v>4</v>
      </c>
      <c r="E36" s="39">
        <v>1</v>
      </c>
      <c r="F36" s="39">
        <f t="shared" si="0"/>
        <v>25</v>
      </c>
      <c r="G36" s="39">
        <v>2</v>
      </c>
      <c r="H36" s="39">
        <v>0</v>
      </c>
      <c r="I36" s="39">
        <f t="shared" si="1"/>
        <v>0</v>
      </c>
      <c r="J36" s="40">
        <v>7</v>
      </c>
      <c r="K36" s="40">
        <v>2</v>
      </c>
      <c r="L36" s="41">
        <f t="shared" si="2"/>
        <v>28.571428571428569</v>
      </c>
      <c r="M36" s="42">
        <v>6</v>
      </c>
      <c r="N36" s="42">
        <v>4</v>
      </c>
      <c r="O36" s="41">
        <f t="shared" si="3"/>
        <v>66.666666666666657</v>
      </c>
      <c r="P36" s="40">
        <v>7</v>
      </c>
      <c r="Q36" s="40">
        <v>2</v>
      </c>
      <c r="R36" s="41">
        <f t="shared" si="4"/>
        <v>28.571428571428569</v>
      </c>
      <c r="S36" s="42">
        <v>2</v>
      </c>
      <c r="T36" s="42">
        <v>0</v>
      </c>
      <c r="U36" s="41">
        <f t="shared" si="5"/>
        <v>0</v>
      </c>
      <c r="V36" s="39">
        <v>4</v>
      </c>
      <c r="W36" s="39">
        <v>3</v>
      </c>
      <c r="X36" s="41">
        <f t="shared" si="6"/>
        <v>75</v>
      </c>
      <c r="Y36" s="42">
        <v>2</v>
      </c>
      <c r="Z36" s="42">
        <v>1</v>
      </c>
      <c r="AA36" s="41">
        <f t="shared" si="7"/>
        <v>50</v>
      </c>
      <c r="AB36" s="40">
        <v>4</v>
      </c>
      <c r="AC36" s="40">
        <v>3</v>
      </c>
      <c r="AD36" s="41">
        <f t="shared" si="8"/>
        <v>75</v>
      </c>
      <c r="AE36" s="42">
        <v>4</v>
      </c>
      <c r="AF36" s="42">
        <v>4</v>
      </c>
      <c r="AG36" s="41">
        <f t="shared" si="9"/>
        <v>100</v>
      </c>
      <c r="AH36" s="40">
        <v>8</v>
      </c>
      <c r="AI36" s="40">
        <v>4</v>
      </c>
      <c r="AJ36" s="41">
        <f t="shared" si="10"/>
        <v>50</v>
      </c>
      <c r="AK36" s="42">
        <v>6</v>
      </c>
      <c r="AL36" s="42">
        <v>4</v>
      </c>
      <c r="AM36" s="41">
        <f t="shared" si="11"/>
        <v>66.666666666666657</v>
      </c>
      <c r="AN36" s="42">
        <v>7</v>
      </c>
      <c r="AO36" s="42">
        <v>5</v>
      </c>
      <c r="AP36" s="41">
        <f t="shared" si="12"/>
        <v>71.428571428571431</v>
      </c>
      <c r="AQ36" s="40">
        <v>4</v>
      </c>
      <c r="AR36" s="40">
        <v>3</v>
      </c>
      <c r="AS36" s="41">
        <f t="shared" si="13"/>
        <v>75</v>
      </c>
      <c r="AT36" s="10">
        <f t="shared" si="14"/>
        <v>41</v>
      </c>
      <c r="AU36" s="10">
        <f t="shared" si="14"/>
        <v>20</v>
      </c>
      <c r="AV36" s="26">
        <f t="shared" si="15"/>
        <v>48.780487804878049</v>
      </c>
      <c r="AW36" s="10">
        <f t="shared" si="16"/>
        <v>26</v>
      </c>
      <c r="AX36" s="10">
        <f t="shared" si="16"/>
        <v>16</v>
      </c>
      <c r="AY36" s="26">
        <f t="shared" si="17"/>
        <v>61.53846153846154</v>
      </c>
      <c r="AZ36" s="10">
        <f t="shared" si="18"/>
        <v>67</v>
      </c>
      <c r="BA36" s="10">
        <f t="shared" si="18"/>
        <v>36</v>
      </c>
      <c r="BB36" s="27">
        <f t="shared" si="19"/>
        <v>53.731343283582092</v>
      </c>
    </row>
    <row r="37" spans="1:54">
      <c r="A37" s="12">
        <v>31</v>
      </c>
      <c r="B37" s="13">
        <v>1230321028</v>
      </c>
      <c r="C37" s="14" t="s">
        <v>53</v>
      </c>
      <c r="D37" s="39">
        <v>4</v>
      </c>
      <c r="E37" s="39">
        <v>1</v>
      </c>
      <c r="F37" s="39">
        <f t="shared" si="0"/>
        <v>25</v>
      </c>
      <c r="G37" s="39">
        <v>2</v>
      </c>
      <c r="H37" s="39">
        <v>0</v>
      </c>
      <c r="I37" s="39">
        <f t="shared" si="1"/>
        <v>0</v>
      </c>
      <c r="J37" s="40">
        <v>7</v>
      </c>
      <c r="K37" s="40">
        <v>4</v>
      </c>
      <c r="L37" s="41">
        <f t="shared" si="2"/>
        <v>57.142857142857139</v>
      </c>
      <c r="M37" s="42">
        <v>6</v>
      </c>
      <c r="N37" s="42">
        <v>3</v>
      </c>
      <c r="O37" s="41">
        <f t="shared" si="3"/>
        <v>50</v>
      </c>
      <c r="P37" s="40">
        <v>7</v>
      </c>
      <c r="Q37" s="40">
        <v>4</v>
      </c>
      <c r="R37" s="41">
        <f t="shared" si="4"/>
        <v>57.142857142857139</v>
      </c>
      <c r="S37" s="42">
        <v>2</v>
      </c>
      <c r="T37" s="42">
        <v>1</v>
      </c>
      <c r="U37" s="41">
        <f t="shared" si="5"/>
        <v>50</v>
      </c>
      <c r="V37" s="39">
        <v>4</v>
      </c>
      <c r="W37" s="39">
        <v>2</v>
      </c>
      <c r="X37" s="41">
        <f t="shared" si="6"/>
        <v>50</v>
      </c>
      <c r="Y37" s="42">
        <v>2</v>
      </c>
      <c r="Z37" s="42">
        <v>0</v>
      </c>
      <c r="AA37" s="41">
        <f t="shared" si="7"/>
        <v>0</v>
      </c>
      <c r="AB37" s="40">
        <v>4</v>
      </c>
      <c r="AC37" s="40">
        <v>2</v>
      </c>
      <c r="AD37" s="41">
        <f t="shared" si="8"/>
        <v>50</v>
      </c>
      <c r="AE37" s="42">
        <v>4</v>
      </c>
      <c r="AF37" s="42">
        <v>2</v>
      </c>
      <c r="AG37" s="41">
        <f t="shared" si="9"/>
        <v>50</v>
      </c>
      <c r="AH37" s="40">
        <v>8</v>
      </c>
      <c r="AI37" s="40">
        <v>3</v>
      </c>
      <c r="AJ37" s="41">
        <f t="shared" si="10"/>
        <v>37.5</v>
      </c>
      <c r="AK37" s="42">
        <v>6</v>
      </c>
      <c r="AL37" s="42">
        <v>4</v>
      </c>
      <c r="AM37" s="41">
        <f t="shared" si="11"/>
        <v>66.666666666666657</v>
      </c>
      <c r="AN37" s="42">
        <v>7</v>
      </c>
      <c r="AO37" s="42">
        <v>6</v>
      </c>
      <c r="AP37" s="41">
        <f t="shared" si="12"/>
        <v>85.714285714285708</v>
      </c>
      <c r="AQ37" s="40">
        <v>4</v>
      </c>
      <c r="AR37" s="40">
        <v>4</v>
      </c>
      <c r="AS37" s="41">
        <f t="shared" si="13"/>
        <v>100</v>
      </c>
      <c r="AT37" s="10">
        <f t="shared" si="14"/>
        <v>41</v>
      </c>
      <c r="AU37" s="10">
        <f t="shared" si="14"/>
        <v>22</v>
      </c>
      <c r="AV37" s="26">
        <f t="shared" si="15"/>
        <v>53.658536585365859</v>
      </c>
      <c r="AW37" s="10">
        <f t="shared" si="16"/>
        <v>26</v>
      </c>
      <c r="AX37" s="10">
        <f t="shared" si="16"/>
        <v>14</v>
      </c>
      <c r="AY37" s="26">
        <f t="shared" si="17"/>
        <v>53.846153846153847</v>
      </c>
      <c r="AZ37" s="10">
        <f t="shared" si="18"/>
        <v>67</v>
      </c>
      <c r="BA37" s="10">
        <f t="shared" si="18"/>
        <v>36</v>
      </c>
      <c r="BB37" s="27">
        <f t="shared" si="19"/>
        <v>53.731343283582092</v>
      </c>
    </row>
    <row r="38" spans="1:54">
      <c r="A38" s="12">
        <v>32</v>
      </c>
      <c r="B38" s="13">
        <v>1230321029</v>
      </c>
      <c r="C38" s="14" t="s">
        <v>54</v>
      </c>
      <c r="D38" s="39">
        <v>4</v>
      </c>
      <c r="E38" s="39">
        <v>0</v>
      </c>
      <c r="F38" s="39">
        <f t="shared" si="0"/>
        <v>0</v>
      </c>
      <c r="G38" s="39">
        <v>2</v>
      </c>
      <c r="H38" s="39">
        <v>0</v>
      </c>
      <c r="I38" s="39">
        <f t="shared" si="1"/>
        <v>0</v>
      </c>
      <c r="J38" s="40">
        <v>7</v>
      </c>
      <c r="K38" s="40">
        <v>3</v>
      </c>
      <c r="L38" s="41">
        <f t="shared" si="2"/>
        <v>42.857142857142854</v>
      </c>
      <c r="M38" s="42">
        <v>6</v>
      </c>
      <c r="N38" s="42">
        <v>0</v>
      </c>
      <c r="O38" s="41">
        <f t="shared" si="3"/>
        <v>0</v>
      </c>
      <c r="P38" s="40">
        <v>7</v>
      </c>
      <c r="Q38" s="40">
        <v>4</v>
      </c>
      <c r="R38" s="41">
        <f t="shared" si="4"/>
        <v>57.142857142857139</v>
      </c>
      <c r="S38" s="42">
        <v>3</v>
      </c>
      <c r="T38" s="42">
        <v>0</v>
      </c>
      <c r="U38" s="41">
        <f t="shared" si="5"/>
        <v>0</v>
      </c>
      <c r="V38" s="39">
        <v>4</v>
      </c>
      <c r="W38" s="39">
        <v>2</v>
      </c>
      <c r="X38" s="41">
        <f t="shared" si="6"/>
        <v>50</v>
      </c>
      <c r="Y38" s="42">
        <v>2</v>
      </c>
      <c r="Z38" s="42">
        <v>1</v>
      </c>
      <c r="AA38" s="41">
        <f t="shared" si="7"/>
        <v>50</v>
      </c>
      <c r="AB38" s="40">
        <v>4</v>
      </c>
      <c r="AC38" s="40">
        <v>1</v>
      </c>
      <c r="AD38" s="41">
        <f t="shared" si="8"/>
        <v>25</v>
      </c>
      <c r="AE38" s="42">
        <v>4</v>
      </c>
      <c r="AF38" s="42">
        <v>0</v>
      </c>
      <c r="AG38" s="41">
        <f t="shared" si="9"/>
        <v>0</v>
      </c>
      <c r="AH38" s="40">
        <v>8</v>
      </c>
      <c r="AI38" s="40">
        <v>3</v>
      </c>
      <c r="AJ38" s="41">
        <f t="shared" si="10"/>
        <v>37.5</v>
      </c>
      <c r="AK38" s="42">
        <v>6</v>
      </c>
      <c r="AL38" s="42">
        <v>2</v>
      </c>
      <c r="AM38" s="41">
        <f t="shared" si="11"/>
        <v>33.333333333333329</v>
      </c>
      <c r="AN38" s="42">
        <v>7</v>
      </c>
      <c r="AO38" s="42">
        <v>4</v>
      </c>
      <c r="AP38" s="41">
        <f t="shared" si="12"/>
        <v>57.142857142857139</v>
      </c>
      <c r="AQ38" s="40">
        <v>4</v>
      </c>
      <c r="AR38" s="40">
        <v>3</v>
      </c>
      <c r="AS38" s="41">
        <f t="shared" si="13"/>
        <v>75</v>
      </c>
      <c r="AT38" s="10">
        <f t="shared" si="14"/>
        <v>41</v>
      </c>
      <c r="AU38" s="10">
        <f t="shared" si="14"/>
        <v>17</v>
      </c>
      <c r="AV38" s="26">
        <f t="shared" si="15"/>
        <v>41.463414634146339</v>
      </c>
      <c r="AW38" s="10">
        <f t="shared" si="16"/>
        <v>27</v>
      </c>
      <c r="AX38" s="10">
        <f t="shared" si="16"/>
        <v>6</v>
      </c>
      <c r="AY38" s="26">
        <f t="shared" si="17"/>
        <v>22.222222222222221</v>
      </c>
      <c r="AZ38" s="10">
        <f t="shared" si="18"/>
        <v>68</v>
      </c>
      <c r="BA38" s="10">
        <f t="shared" si="18"/>
        <v>23</v>
      </c>
      <c r="BB38" s="27">
        <f t="shared" si="19"/>
        <v>33.82352941176471</v>
      </c>
    </row>
    <row r="39" spans="1:54">
      <c r="A39" s="12">
        <v>33</v>
      </c>
      <c r="B39" s="13">
        <v>1230321030</v>
      </c>
      <c r="C39" s="14" t="s">
        <v>55</v>
      </c>
      <c r="D39" s="39">
        <v>4</v>
      </c>
      <c r="E39" s="39">
        <v>0</v>
      </c>
      <c r="F39" s="39">
        <f t="shared" si="0"/>
        <v>0</v>
      </c>
      <c r="G39" s="39">
        <v>2</v>
      </c>
      <c r="H39" s="39">
        <v>0</v>
      </c>
      <c r="I39" s="39">
        <f t="shared" si="1"/>
        <v>0</v>
      </c>
      <c r="J39" s="40">
        <v>7</v>
      </c>
      <c r="K39" s="40">
        <v>3</v>
      </c>
      <c r="L39" s="41">
        <f t="shared" si="2"/>
        <v>42.857142857142854</v>
      </c>
      <c r="M39" s="42">
        <v>6</v>
      </c>
      <c r="N39" s="42">
        <v>3</v>
      </c>
      <c r="O39" s="41">
        <f t="shared" si="3"/>
        <v>50</v>
      </c>
      <c r="P39" s="40">
        <v>7</v>
      </c>
      <c r="Q39" s="40">
        <v>4</v>
      </c>
      <c r="R39" s="41">
        <f t="shared" si="4"/>
        <v>57.142857142857139</v>
      </c>
      <c r="S39" s="42">
        <v>2</v>
      </c>
      <c r="T39" s="42">
        <v>1</v>
      </c>
      <c r="U39" s="41">
        <f t="shared" si="5"/>
        <v>50</v>
      </c>
      <c r="V39" s="39">
        <v>4</v>
      </c>
      <c r="W39" s="39">
        <v>2</v>
      </c>
      <c r="X39" s="41">
        <f t="shared" si="6"/>
        <v>50</v>
      </c>
      <c r="Y39" s="42">
        <v>2</v>
      </c>
      <c r="Z39" s="42">
        <v>2</v>
      </c>
      <c r="AA39" s="41">
        <f t="shared" si="7"/>
        <v>100</v>
      </c>
      <c r="AB39" s="40">
        <v>4</v>
      </c>
      <c r="AC39" s="40">
        <v>1</v>
      </c>
      <c r="AD39" s="41">
        <f t="shared" si="8"/>
        <v>25</v>
      </c>
      <c r="AE39" s="42">
        <v>4</v>
      </c>
      <c r="AF39" s="42">
        <v>1</v>
      </c>
      <c r="AG39" s="41">
        <f t="shared" si="9"/>
        <v>25</v>
      </c>
      <c r="AH39" s="40">
        <v>8</v>
      </c>
      <c r="AI39" s="40">
        <v>3</v>
      </c>
      <c r="AJ39" s="41">
        <f t="shared" si="10"/>
        <v>37.5</v>
      </c>
      <c r="AK39" s="42">
        <v>6</v>
      </c>
      <c r="AL39" s="42">
        <v>0</v>
      </c>
      <c r="AM39" s="41">
        <f t="shared" si="11"/>
        <v>0</v>
      </c>
      <c r="AN39" s="42">
        <v>7</v>
      </c>
      <c r="AO39" s="42">
        <v>5</v>
      </c>
      <c r="AP39" s="41">
        <f t="shared" si="12"/>
        <v>71.428571428571431</v>
      </c>
      <c r="AQ39" s="40">
        <v>4</v>
      </c>
      <c r="AR39" s="40">
        <v>2</v>
      </c>
      <c r="AS39" s="41">
        <f t="shared" si="13"/>
        <v>50</v>
      </c>
      <c r="AT39" s="10">
        <f t="shared" si="14"/>
        <v>41</v>
      </c>
      <c r="AU39" s="10">
        <f t="shared" si="14"/>
        <v>18</v>
      </c>
      <c r="AV39" s="26">
        <f t="shared" si="15"/>
        <v>43.902439024390247</v>
      </c>
      <c r="AW39" s="10">
        <f t="shared" si="16"/>
        <v>26</v>
      </c>
      <c r="AX39" s="10">
        <f t="shared" si="16"/>
        <v>9</v>
      </c>
      <c r="AY39" s="26">
        <f t="shared" si="17"/>
        <v>34.615384615384613</v>
      </c>
      <c r="AZ39" s="10">
        <f t="shared" si="18"/>
        <v>67</v>
      </c>
      <c r="BA39" s="10">
        <f t="shared" si="18"/>
        <v>27</v>
      </c>
      <c r="BB39" s="27">
        <f t="shared" si="19"/>
        <v>40.298507462686565</v>
      </c>
    </row>
    <row r="40" spans="1:54">
      <c r="A40" s="12">
        <v>34</v>
      </c>
      <c r="B40" s="13">
        <v>1230321031</v>
      </c>
      <c r="C40" s="14" t="s">
        <v>56</v>
      </c>
      <c r="D40" s="39">
        <v>4</v>
      </c>
      <c r="E40" s="39">
        <v>0</v>
      </c>
      <c r="F40" s="39">
        <f t="shared" si="0"/>
        <v>0</v>
      </c>
      <c r="G40" s="39">
        <v>2</v>
      </c>
      <c r="H40" s="39">
        <v>0</v>
      </c>
      <c r="I40" s="39">
        <f t="shared" si="1"/>
        <v>0</v>
      </c>
      <c r="J40" s="40">
        <v>7</v>
      </c>
      <c r="K40" s="40">
        <v>3</v>
      </c>
      <c r="L40" s="41">
        <f t="shared" si="2"/>
        <v>42.857142857142854</v>
      </c>
      <c r="M40" s="42">
        <v>6</v>
      </c>
      <c r="N40" s="42">
        <v>3</v>
      </c>
      <c r="O40" s="41">
        <f t="shared" si="3"/>
        <v>50</v>
      </c>
      <c r="P40" s="40">
        <v>7</v>
      </c>
      <c r="Q40" s="40">
        <v>3</v>
      </c>
      <c r="R40" s="41">
        <f t="shared" si="4"/>
        <v>42.857142857142854</v>
      </c>
      <c r="S40" s="42">
        <v>2</v>
      </c>
      <c r="T40" s="42">
        <v>1</v>
      </c>
      <c r="U40" s="41">
        <f t="shared" si="5"/>
        <v>50</v>
      </c>
      <c r="V40" s="39">
        <v>4</v>
      </c>
      <c r="W40" s="39">
        <v>3</v>
      </c>
      <c r="X40" s="41">
        <f t="shared" si="6"/>
        <v>75</v>
      </c>
      <c r="Y40" s="42">
        <v>2</v>
      </c>
      <c r="Z40" s="42">
        <v>2</v>
      </c>
      <c r="AA40" s="41">
        <f t="shared" si="7"/>
        <v>100</v>
      </c>
      <c r="AB40" s="40">
        <v>4</v>
      </c>
      <c r="AC40" s="40">
        <v>2</v>
      </c>
      <c r="AD40" s="41">
        <f t="shared" si="8"/>
        <v>50</v>
      </c>
      <c r="AE40" s="42">
        <v>4</v>
      </c>
      <c r="AF40" s="42">
        <v>2</v>
      </c>
      <c r="AG40" s="41">
        <f t="shared" si="9"/>
        <v>50</v>
      </c>
      <c r="AH40" s="40">
        <v>8</v>
      </c>
      <c r="AI40" s="40">
        <v>3</v>
      </c>
      <c r="AJ40" s="41">
        <f t="shared" si="10"/>
        <v>37.5</v>
      </c>
      <c r="AK40" s="42">
        <v>6</v>
      </c>
      <c r="AL40" s="42">
        <v>0</v>
      </c>
      <c r="AM40" s="41">
        <f t="shared" si="11"/>
        <v>0</v>
      </c>
      <c r="AN40" s="42">
        <v>7</v>
      </c>
      <c r="AO40" s="42">
        <v>5</v>
      </c>
      <c r="AP40" s="41">
        <f t="shared" si="12"/>
        <v>71.428571428571431</v>
      </c>
      <c r="AQ40" s="40">
        <v>4</v>
      </c>
      <c r="AR40" s="40">
        <v>2</v>
      </c>
      <c r="AS40" s="41">
        <f t="shared" si="13"/>
        <v>50</v>
      </c>
      <c r="AT40" s="10">
        <f t="shared" si="14"/>
        <v>41</v>
      </c>
      <c r="AU40" s="10">
        <f t="shared" si="14"/>
        <v>19</v>
      </c>
      <c r="AV40" s="26">
        <f t="shared" si="15"/>
        <v>46.341463414634148</v>
      </c>
      <c r="AW40" s="10">
        <f t="shared" si="16"/>
        <v>26</v>
      </c>
      <c r="AX40" s="10">
        <f t="shared" si="16"/>
        <v>10</v>
      </c>
      <c r="AY40" s="26">
        <f t="shared" si="17"/>
        <v>38.461538461538467</v>
      </c>
      <c r="AZ40" s="10">
        <f t="shared" si="18"/>
        <v>67</v>
      </c>
      <c r="BA40" s="10">
        <f t="shared" si="18"/>
        <v>29</v>
      </c>
      <c r="BB40" s="27">
        <f t="shared" si="19"/>
        <v>43.283582089552233</v>
      </c>
    </row>
    <row r="41" spans="1:54">
      <c r="A41" s="12">
        <v>35</v>
      </c>
      <c r="B41" s="13">
        <v>1230321032</v>
      </c>
      <c r="C41" s="14" t="s">
        <v>57</v>
      </c>
      <c r="D41" s="39">
        <v>4</v>
      </c>
      <c r="E41" s="39">
        <v>2</v>
      </c>
      <c r="F41" s="39">
        <f t="shared" si="0"/>
        <v>50</v>
      </c>
      <c r="G41" s="39">
        <v>2</v>
      </c>
      <c r="H41" s="39">
        <v>0</v>
      </c>
      <c r="I41" s="39">
        <f t="shared" si="1"/>
        <v>0</v>
      </c>
      <c r="J41" s="40">
        <v>7</v>
      </c>
      <c r="K41" s="40">
        <v>1</v>
      </c>
      <c r="L41" s="41">
        <f t="shared" si="2"/>
        <v>14.285714285714285</v>
      </c>
      <c r="M41" s="42">
        <v>6</v>
      </c>
      <c r="N41" s="42">
        <v>1</v>
      </c>
      <c r="O41" s="41">
        <f t="shared" si="3"/>
        <v>16.666666666666664</v>
      </c>
      <c r="P41" s="40">
        <v>7</v>
      </c>
      <c r="Q41" s="40">
        <v>3</v>
      </c>
      <c r="R41" s="41">
        <f t="shared" si="4"/>
        <v>42.857142857142854</v>
      </c>
      <c r="S41" s="42">
        <v>2</v>
      </c>
      <c r="T41" s="42">
        <v>2</v>
      </c>
      <c r="U41" s="41">
        <f t="shared" si="5"/>
        <v>100</v>
      </c>
      <c r="V41" s="39">
        <v>4</v>
      </c>
      <c r="W41" s="39">
        <v>3</v>
      </c>
      <c r="X41" s="41">
        <f t="shared" si="6"/>
        <v>75</v>
      </c>
      <c r="Y41" s="42">
        <v>2</v>
      </c>
      <c r="Z41" s="42">
        <v>1</v>
      </c>
      <c r="AA41" s="41">
        <f t="shared" si="7"/>
        <v>50</v>
      </c>
      <c r="AB41" s="40">
        <v>4</v>
      </c>
      <c r="AC41" s="40">
        <v>4</v>
      </c>
      <c r="AD41" s="41">
        <f t="shared" si="8"/>
        <v>100</v>
      </c>
      <c r="AE41" s="42">
        <v>4</v>
      </c>
      <c r="AF41" s="42">
        <v>4</v>
      </c>
      <c r="AG41" s="41">
        <f t="shared" si="9"/>
        <v>100</v>
      </c>
      <c r="AH41" s="40">
        <v>8</v>
      </c>
      <c r="AI41" s="40">
        <v>6</v>
      </c>
      <c r="AJ41" s="41">
        <f t="shared" si="10"/>
        <v>75</v>
      </c>
      <c r="AK41" s="42">
        <v>6</v>
      </c>
      <c r="AL41" s="42">
        <v>4</v>
      </c>
      <c r="AM41" s="41">
        <f t="shared" si="11"/>
        <v>66.666666666666657</v>
      </c>
      <c r="AN41" s="42">
        <v>7</v>
      </c>
      <c r="AO41" s="42">
        <v>5</v>
      </c>
      <c r="AP41" s="41">
        <f t="shared" si="12"/>
        <v>71.428571428571431</v>
      </c>
      <c r="AQ41" s="40">
        <v>4</v>
      </c>
      <c r="AR41" s="40">
        <v>4</v>
      </c>
      <c r="AS41" s="41">
        <f t="shared" si="13"/>
        <v>100</v>
      </c>
      <c r="AT41" s="10">
        <f t="shared" si="14"/>
        <v>41</v>
      </c>
      <c r="AU41" s="10">
        <f t="shared" si="14"/>
        <v>24</v>
      </c>
      <c r="AV41" s="26">
        <f t="shared" si="15"/>
        <v>58.536585365853654</v>
      </c>
      <c r="AW41" s="10">
        <f t="shared" si="16"/>
        <v>26</v>
      </c>
      <c r="AX41" s="10">
        <f t="shared" si="16"/>
        <v>16</v>
      </c>
      <c r="AY41" s="26">
        <f t="shared" si="17"/>
        <v>61.53846153846154</v>
      </c>
      <c r="AZ41" s="10">
        <f t="shared" si="18"/>
        <v>67</v>
      </c>
      <c r="BA41" s="10">
        <f t="shared" si="18"/>
        <v>40</v>
      </c>
      <c r="BB41" s="27">
        <f t="shared" si="19"/>
        <v>59.701492537313428</v>
      </c>
    </row>
    <row r="42" spans="1:54">
      <c r="A42" s="12">
        <v>36</v>
      </c>
      <c r="B42" s="13">
        <v>1230321033</v>
      </c>
      <c r="C42" s="14" t="s">
        <v>58</v>
      </c>
      <c r="D42" s="39">
        <v>4</v>
      </c>
      <c r="E42" s="39">
        <v>2</v>
      </c>
      <c r="F42" s="39">
        <f t="shared" si="0"/>
        <v>50</v>
      </c>
      <c r="G42" s="39">
        <v>2</v>
      </c>
      <c r="H42" s="39">
        <v>0</v>
      </c>
      <c r="I42" s="39">
        <f t="shared" si="1"/>
        <v>0</v>
      </c>
      <c r="J42" s="40">
        <v>7</v>
      </c>
      <c r="K42" s="40">
        <v>5</v>
      </c>
      <c r="L42" s="41">
        <f t="shared" si="2"/>
        <v>71.428571428571431</v>
      </c>
      <c r="M42" s="42">
        <v>6</v>
      </c>
      <c r="N42" s="42">
        <v>3</v>
      </c>
      <c r="O42" s="41">
        <f t="shared" si="3"/>
        <v>50</v>
      </c>
      <c r="P42" s="40">
        <v>7</v>
      </c>
      <c r="Q42" s="40">
        <v>6</v>
      </c>
      <c r="R42" s="41">
        <f t="shared" si="4"/>
        <v>85.714285714285708</v>
      </c>
      <c r="S42" s="42">
        <v>2</v>
      </c>
      <c r="T42" s="42">
        <v>1</v>
      </c>
      <c r="U42" s="41">
        <f t="shared" si="5"/>
        <v>50</v>
      </c>
      <c r="V42" s="39">
        <v>4</v>
      </c>
      <c r="W42" s="39">
        <v>3</v>
      </c>
      <c r="X42" s="41">
        <f t="shared" si="6"/>
        <v>75</v>
      </c>
      <c r="Y42" s="42">
        <v>2</v>
      </c>
      <c r="Z42" s="42">
        <v>1</v>
      </c>
      <c r="AA42" s="41">
        <f t="shared" si="7"/>
        <v>50</v>
      </c>
      <c r="AB42" s="40">
        <v>4</v>
      </c>
      <c r="AC42" s="40">
        <v>4</v>
      </c>
      <c r="AD42" s="41">
        <f t="shared" si="8"/>
        <v>100</v>
      </c>
      <c r="AE42" s="42">
        <v>4</v>
      </c>
      <c r="AF42" s="42">
        <v>1</v>
      </c>
      <c r="AG42" s="41">
        <f t="shared" si="9"/>
        <v>25</v>
      </c>
      <c r="AH42" s="40">
        <v>8</v>
      </c>
      <c r="AI42" s="40">
        <v>7</v>
      </c>
      <c r="AJ42" s="41">
        <f t="shared" si="10"/>
        <v>87.5</v>
      </c>
      <c r="AK42" s="42">
        <v>6</v>
      </c>
      <c r="AL42" s="42">
        <v>4</v>
      </c>
      <c r="AM42" s="41">
        <f t="shared" si="11"/>
        <v>66.666666666666657</v>
      </c>
      <c r="AN42" s="42">
        <v>7</v>
      </c>
      <c r="AO42" s="42">
        <v>6</v>
      </c>
      <c r="AP42" s="41">
        <f t="shared" si="12"/>
        <v>85.714285714285708</v>
      </c>
      <c r="AQ42" s="40">
        <v>4</v>
      </c>
      <c r="AR42" s="40">
        <v>4</v>
      </c>
      <c r="AS42" s="41">
        <f t="shared" si="13"/>
        <v>100</v>
      </c>
      <c r="AT42" s="10">
        <f t="shared" si="14"/>
        <v>41</v>
      </c>
      <c r="AU42" s="10">
        <f t="shared" si="14"/>
        <v>33</v>
      </c>
      <c r="AV42" s="26">
        <f t="shared" si="15"/>
        <v>80.487804878048792</v>
      </c>
      <c r="AW42" s="10">
        <f t="shared" si="16"/>
        <v>26</v>
      </c>
      <c r="AX42" s="10">
        <f t="shared" si="16"/>
        <v>14</v>
      </c>
      <c r="AY42" s="26">
        <f t="shared" si="17"/>
        <v>53.846153846153847</v>
      </c>
      <c r="AZ42" s="10">
        <f t="shared" si="18"/>
        <v>67</v>
      </c>
      <c r="BA42" s="10">
        <f t="shared" si="18"/>
        <v>47</v>
      </c>
      <c r="BB42" s="27">
        <f t="shared" si="19"/>
        <v>70.149253731343293</v>
      </c>
    </row>
    <row r="43" spans="1:54">
      <c r="A43" s="12">
        <v>37</v>
      </c>
      <c r="B43" s="13">
        <v>1230321034</v>
      </c>
      <c r="C43" s="14" t="s">
        <v>59</v>
      </c>
      <c r="D43" s="39">
        <v>4</v>
      </c>
      <c r="E43" s="39">
        <v>0</v>
      </c>
      <c r="F43" s="39">
        <f t="shared" si="0"/>
        <v>0</v>
      </c>
      <c r="G43" s="39">
        <v>2</v>
      </c>
      <c r="H43" s="39">
        <v>0</v>
      </c>
      <c r="I43" s="39">
        <f t="shared" si="1"/>
        <v>0</v>
      </c>
      <c r="J43" s="40">
        <v>7</v>
      </c>
      <c r="K43" s="40">
        <v>5</v>
      </c>
      <c r="L43" s="41">
        <f t="shared" si="2"/>
        <v>71.428571428571431</v>
      </c>
      <c r="M43" s="42">
        <v>6</v>
      </c>
      <c r="N43" s="42">
        <v>2</v>
      </c>
      <c r="O43" s="41">
        <f t="shared" si="3"/>
        <v>33.333333333333329</v>
      </c>
      <c r="P43" s="40">
        <v>7</v>
      </c>
      <c r="Q43" s="40">
        <v>4</v>
      </c>
      <c r="R43" s="41">
        <f t="shared" si="4"/>
        <v>57.142857142857139</v>
      </c>
      <c r="S43" s="42">
        <v>2</v>
      </c>
      <c r="T43" s="42">
        <v>0</v>
      </c>
      <c r="U43" s="41">
        <f t="shared" si="5"/>
        <v>0</v>
      </c>
      <c r="V43" s="39">
        <v>4</v>
      </c>
      <c r="W43" s="39">
        <v>0</v>
      </c>
      <c r="X43" s="41">
        <f t="shared" si="6"/>
        <v>0</v>
      </c>
      <c r="Y43" s="42">
        <v>2</v>
      </c>
      <c r="Z43" s="42">
        <v>2</v>
      </c>
      <c r="AA43" s="41">
        <f t="shared" si="7"/>
        <v>100</v>
      </c>
      <c r="AB43" s="40">
        <v>4</v>
      </c>
      <c r="AC43" s="40">
        <v>3</v>
      </c>
      <c r="AD43" s="41">
        <f t="shared" si="8"/>
        <v>75</v>
      </c>
      <c r="AE43" s="42">
        <v>4</v>
      </c>
      <c r="AF43" s="42">
        <v>2</v>
      </c>
      <c r="AG43" s="41">
        <f t="shared" si="9"/>
        <v>50</v>
      </c>
      <c r="AH43" s="40">
        <v>8</v>
      </c>
      <c r="AI43" s="40">
        <v>6</v>
      </c>
      <c r="AJ43" s="41">
        <f t="shared" si="10"/>
        <v>75</v>
      </c>
      <c r="AK43" s="42">
        <v>6</v>
      </c>
      <c r="AL43" s="42">
        <v>3</v>
      </c>
      <c r="AM43" s="41">
        <f t="shared" si="11"/>
        <v>50</v>
      </c>
      <c r="AN43" s="42">
        <v>7</v>
      </c>
      <c r="AO43" s="42">
        <v>6</v>
      </c>
      <c r="AP43" s="41">
        <f t="shared" si="12"/>
        <v>85.714285714285708</v>
      </c>
      <c r="AQ43" s="40">
        <v>4</v>
      </c>
      <c r="AR43" s="40">
        <v>4</v>
      </c>
      <c r="AS43" s="41">
        <f t="shared" si="13"/>
        <v>100</v>
      </c>
      <c r="AT43" s="10">
        <f t="shared" si="14"/>
        <v>41</v>
      </c>
      <c r="AU43" s="10">
        <f t="shared" si="14"/>
        <v>24</v>
      </c>
      <c r="AV43" s="26">
        <f t="shared" si="15"/>
        <v>58.536585365853654</v>
      </c>
      <c r="AW43" s="10">
        <f t="shared" si="16"/>
        <v>26</v>
      </c>
      <c r="AX43" s="10">
        <f t="shared" si="16"/>
        <v>13</v>
      </c>
      <c r="AY43" s="26">
        <f t="shared" si="17"/>
        <v>50</v>
      </c>
      <c r="AZ43" s="10">
        <f t="shared" si="18"/>
        <v>67</v>
      </c>
      <c r="BA43" s="10">
        <f t="shared" si="18"/>
        <v>37</v>
      </c>
      <c r="BB43" s="27">
        <f t="shared" si="19"/>
        <v>55.223880597014926</v>
      </c>
    </row>
    <row r="44" spans="1:54">
      <c r="A44" s="12">
        <v>38</v>
      </c>
      <c r="B44" s="13">
        <v>1230321035</v>
      </c>
      <c r="C44" s="14" t="s">
        <v>60</v>
      </c>
      <c r="D44" s="39">
        <v>4</v>
      </c>
      <c r="E44" s="39">
        <v>1</v>
      </c>
      <c r="F44" s="39">
        <f t="shared" si="0"/>
        <v>25</v>
      </c>
      <c r="G44" s="39">
        <v>2</v>
      </c>
      <c r="H44" s="39">
        <v>0</v>
      </c>
      <c r="I44" s="39">
        <f t="shared" si="1"/>
        <v>0</v>
      </c>
      <c r="J44" s="40">
        <v>7</v>
      </c>
      <c r="K44" s="40">
        <v>3</v>
      </c>
      <c r="L44" s="41">
        <f t="shared" si="2"/>
        <v>42.857142857142854</v>
      </c>
      <c r="M44" s="42">
        <v>6</v>
      </c>
      <c r="N44" s="42">
        <v>2</v>
      </c>
      <c r="O44" s="41">
        <f t="shared" si="3"/>
        <v>33.333333333333329</v>
      </c>
      <c r="P44" s="40">
        <v>7</v>
      </c>
      <c r="Q44" s="40">
        <v>2</v>
      </c>
      <c r="R44" s="41">
        <f t="shared" si="4"/>
        <v>28.571428571428569</v>
      </c>
      <c r="S44" s="42">
        <v>2</v>
      </c>
      <c r="T44" s="42">
        <v>1</v>
      </c>
      <c r="U44" s="41">
        <f t="shared" si="5"/>
        <v>50</v>
      </c>
      <c r="V44" s="39">
        <v>4</v>
      </c>
      <c r="W44" s="39">
        <v>2</v>
      </c>
      <c r="X44" s="41">
        <f t="shared" si="6"/>
        <v>50</v>
      </c>
      <c r="Y44" s="42">
        <v>2</v>
      </c>
      <c r="Z44" s="42">
        <v>2</v>
      </c>
      <c r="AA44" s="41">
        <f t="shared" si="7"/>
        <v>100</v>
      </c>
      <c r="AB44" s="40">
        <v>4</v>
      </c>
      <c r="AC44" s="40">
        <v>2</v>
      </c>
      <c r="AD44" s="41">
        <f t="shared" si="8"/>
        <v>50</v>
      </c>
      <c r="AE44" s="42">
        <v>4</v>
      </c>
      <c r="AF44" s="42">
        <v>1</v>
      </c>
      <c r="AG44" s="41">
        <f t="shared" si="9"/>
        <v>25</v>
      </c>
      <c r="AH44" s="40">
        <v>8</v>
      </c>
      <c r="AI44" s="40">
        <v>4</v>
      </c>
      <c r="AJ44" s="41">
        <f t="shared" si="10"/>
        <v>50</v>
      </c>
      <c r="AK44" s="42">
        <v>6</v>
      </c>
      <c r="AL44" s="42">
        <v>2</v>
      </c>
      <c r="AM44" s="41">
        <f t="shared" si="11"/>
        <v>33.333333333333329</v>
      </c>
      <c r="AN44" s="42">
        <v>7</v>
      </c>
      <c r="AO44" s="42">
        <v>6</v>
      </c>
      <c r="AP44" s="41">
        <f t="shared" si="12"/>
        <v>85.714285714285708</v>
      </c>
      <c r="AQ44" s="40">
        <v>4</v>
      </c>
      <c r="AR44" s="40">
        <v>3</v>
      </c>
      <c r="AS44" s="41">
        <f t="shared" si="13"/>
        <v>75</v>
      </c>
      <c r="AT44" s="10">
        <f t="shared" si="14"/>
        <v>41</v>
      </c>
      <c r="AU44" s="10">
        <f t="shared" si="14"/>
        <v>20</v>
      </c>
      <c r="AV44" s="26">
        <f t="shared" si="15"/>
        <v>48.780487804878049</v>
      </c>
      <c r="AW44" s="10">
        <f t="shared" si="16"/>
        <v>26</v>
      </c>
      <c r="AX44" s="10">
        <f t="shared" si="16"/>
        <v>11</v>
      </c>
      <c r="AY44" s="26">
        <f t="shared" si="17"/>
        <v>42.307692307692307</v>
      </c>
      <c r="AZ44" s="10">
        <f t="shared" si="18"/>
        <v>67</v>
      </c>
      <c r="BA44" s="10">
        <f t="shared" si="18"/>
        <v>31</v>
      </c>
      <c r="BB44" s="27">
        <f t="shared" si="19"/>
        <v>46.268656716417908</v>
      </c>
    </row>
    <row r="45" spans="1:54">
      <c r="A45" s="12">
        <v>39</v>
      </c>
      <c r="B45" s="13">
        <v>1230321036</v>
      </c>
      <c r="C45" s="14" t="s">
        <v>61</v>
      </c>
      <c r="D45" s="39">
        <v>4</v>
      </c>
      <c r="E45" s="39">
        <v>2</v>
      </c>
      <c r="F45" s="39">
        <f t="shared" si="0"/>
        <v>50</v>
      </c>
      <c r="G45" s="39">
        <v>2</v>
      </c>
      <c r="H45" s="39">
        <v>0</v>
      </c>
      <c r="I45" s="39">
        <f t="shared" si="1"/>
        <v>0</v>
      </c>
      <c r="J45" s="40">
        <v>7</v>
      </c>
      <c r="K45" s="40">
        <v>5</v>
      </c>
      <c r="L45" s="41">
        <f t="shared" si="2"/>
        <v>71.428571428571431</v>
      </c>
      <c r="M45" s="42">
        <v>6</v>
      </c>
      <c r="N45" s="42">
        <v>3</v>
      </c>
      <c r="O45" s="41">
        <f t="shared" si="3"/>
        <v>50</v>
      </c>
      <c r="P45" s="40">
        <v>7</v>
      </c>
      <c r="Q45" s="40">
        <v>3</v>
      </c>
      <c r="R45" s="41">
        <f t="shared" si="4"/>
        <v>42.857142857142854</v>
      </c>
      <c r="S45" s="42">
        <v>2</v>
      </c>
      <c r="T45" s="42">
        <v>2</v>
      </c>
      <c r="U45" s="41">
        <f t="shared" si="5"/>
        <v>100</v>
      </c>
      <c r="V45" s="39">
        <v>4</v>
      </c>
      <c r="W45" s="39">
        <v>1</v>
      </c>
      <c r="X45" s="41">
        <f t="shared" si="6"/>
        <v>25</v>
      </c>
      <c r="Y45" s="42">
        <v>2</v>
      </c>
      <c r="Z45" s="42">
        <v>2</v>
      </c>
      <c r="AA45" s="41">
        <f t="shared" si="7"/>
        <v>100</v>
      </c>
      <c r="AB45" s="40">
        <v>4</v>
      </c>
      <c r="AC45" s="40">
        <v>4</v>
      </c>
      <c r="AD45" s="41">
        <f t="shared" si="8"/>
        <v>100</v>
      </c>
      <c r="AE45" s="42">
        <v>4</v>
      </c>
      <c r="AF45" s="42">
        <v>2</v>
      </c>
      <c r="AG45" s="41">
        <f t="shared" si="9"/>
        <v>50</v>
      </c>
      <c r="AH45" s="40">
        <v>8</v>
      </c>
      <c r="AI45" s="40">
        <v>6</v>
      </c>
      <c r="AJ45" s="41">
        <f t="shared" si="10"/>
        <v>75</v>
      </c>
      <c r="AK45" s="42">
        <v>6</v>
      </c>
      <c r="AL45" s="42">
        <v>5</v>
      </c>
      <c r="AM45" s="41">
        <f t="shared" si="11"/>
        <v>83.333333333333343</v>
      </c>
      <c r="AN45" s="42">
        <v>7</v>
      </c>
      <c r="AO45" s="42">
        <v>7</v>
      </c>
      <c r="AP45" s="41">
        <f t="shared" si="12"/>
        <v>100</v>
      </c>
      <c r="AQ45" s="40">
        <v>4</v>
      </c>
      <c r="AR45" s="40">
        <v>4</v>
      </c>
      <c r="AS45" s="41">
        <f t="shared" si="13"/>
        <v>100</v>
      </c>
      <c r="AT45" s="10">
        <f t="shared" si="14"/>
        <v>41</v>
      </c>
      <c r="AU45" s="10">
        <f t="shared" si="14"/>
        <v>28</v>
      </c>
      <c r="AV45" s="26">
        <f t="shared" si="15"/>
        <v>68.292682926829272</v>
      </c>
      <c r="AW45" s="10">
        <f t="shared" si="16"/>
        <v>26</v>
      </c>
      <c r="AX45" s="10">
        <f t="shared" si="16"/>
        <v>18</v>
      </c>
      <c r="AY45" s="26">
        <f t="shared" si="17"/>
        <v>69.230769230769226</v>
      </c>
      <c r="AZ45" s="10">
        <f t="shared" si="18"/>
        <v>67</v>
      </c>
      <c r="BA45" s="10">
        <f t="shared" si="18"/>
        <v>46</v>
      </c>
      <c r="BB45" s="27">
        <f t="shared" si="19"/>
        <v>68.656716417910445</v>
      </c>
    </row>
    <row r="46" spans="1:54">
      <c r="A46" s="12">
        <v>40</v>
      </c>
      <c r="B46" s="13">
        <v>1230321037</v>
      </c>
      <c r="C46" s="14" t="s">
        <v>62</v>
      </c>
      <c r="D46" s="39">
        <v>4</v>
      </c>
      <c r="E46" s="39">
        <v>0</v>
      </c>
      <c r="F46" s="39">
        <f t="shared" si="0"/>
        <v>0</v>
      </c>
      <c r="G46" s="39">
        <v>2</v>
      </c>
      <c r="H46" s="39">
        <v>0</v>
      </c>
      <c r="I46" s="39">
        <f t="shared" si="1"/>
        <v>0</v>
      </c>
      <c r="J46" s="40">
        <v>7</v>
      </c>
      <c r="K46" s="40">
        <v>6</v>
      </c>
      <c r="L46" s="41">
        <f t="shared" si="2"/>
        <v>85.714285714285708</v>
      </c>
      <c r="M46" s="42">
        <v>6</v>
      </c>
      <c r="N46" s="42">
        <v>4</v>
      </c>
      <c r="O46" s="41">
        <f t="shared" si="3"/>
        <v>66.666666666666657</v>
      </c>
      <c r="P46" s="40">
        <v>7</v>
      </c>
      <c r="Q46" s="40">
        <v>2</v>
      </c>
      <c r="R46" s="41">
        <f t="shared" si="4"/>
        <v>28.571428571428569</v>
      </c>
      <c r="S46" s="42">
        <v>2</v>
      </c>
      <c r="T46" s="42">
        <v>2</v>
      </c>
      <c r="U46" s="41">
        <f t="shared" si="5"/>
        <v>100</v>
      </c>
      <c r="V46" s="39">
        <v>4</v>
      </c>
      <c r="W46" s="39">
        <v>3</v>
      </c>
      <c r="X46" s="41">
        <f t="shared" si="6"/>
        <v>75</v>
      </c>
      <c r="Y46" s="42">
        <v>2</v>
      </c>
      <c r="Z46" s="42">
        <v>0</v>
      </c>
      <c r="AA46" s="41">
        <f t="shared" si="7"/>
        <v>0</v>
      </c>
      <c r="AB46" s="40">
        <v>4</v>
      </c>
      <c r="AC46" s="40">
        <v>4</v>
      </c>
      <c r="AD46" s="41">
        <f t="shared" si="8"/>
        <v>100</v>
      </c>
      <c r="AE46" s="42">
        <v>4</v>
      </c>
      <c r="AF46" s="42">
        <v>4</v>
      </c>
      <c r="AG46" s="41">
        <f t="shared" si="9"/>
        <v>100</v>
      </c>
      <c r="AH46" s="40">
        <v>8</v>
      </c>
      <c r="AI46" s="40">
        <v>4</v>
      </c>
      <c r="AJ46" s="41">
        <f t="shared" si="10"/>
        <v>50</v>
      </c>
      <c r="AK46" s="42">
        <v>6</v>
      </c>
      <c r="AL46" s="42">
        <v>3</v>
      </c>
      <c r="AM46" s="41">
        <f t="shared" si="11"/>
        <v>50</v>
      </c>
      <c r="AN46" s="42">
        <v>7</v>
      </c>
      <c r="AO46" s="42">
        <v>7</v>
      </c>
      <c r="AP46" s="41">
        <f t="shared" si="12"/>
        <v>100</v>
      </c>
      <c r="AQ46" s="40">
        <v>4</v>
      </c>
      <c r="AR46" s="40">
        <v>4</v>
      </c>
      <c r="AS46" s="41">
        <f t="shared" si="13"/>
        <v>100</v>
      </c>
      <c r="AT46" s="10">
        <f t="shared" si="14"/>
        <v>41</v>
      </c>
      <c r="AU46" s="10">
        <f t="shared" si="14"/>
        <v>26</v>
      </c>
      <c r="AV46" s="26">
        <f t="shared" si="15"/>
        <v>63.414634146341463</v>
      </c>
      <c r="AW46" s="10">
        <f t="shared" si="16"/>
        <v>26</v>
      </c>
      <c r="AX46" s="10">
        <f t="shared" si="16"/>
        <v>17</v>
      </c>
      <c r="AY46" s="26">
        <f t="shared" si="17"/>
        <v>65.384615384615387</v>
      </c>
      <c r="AZ46" s="10">
        <f t="shared" si="18"/>
        <v>67</v>
      </c>
      <c r="BA46" s="10">
        <f t="shared" si="18"/>
        <v>43</v>
      </c>
      <c r="BB46" s="27">
        <f t="shared" si="19"/>
        <v>64.179104477611943</v>
      </c>
    </row>
    <row r="47" spans="1:54">
      <c r="A47" s="12">
        <v>41</v>
      </c>
      <c r="B47" s="13">
        <v>1230321038</v>
      </c>
      <c r="C47" s="14" t="s">
        <v>63</v>
      </c>
      <c r="D47" s="39">
        <v>4</v>
      </c>
      <c r="E47" s="39">
        <v>0</v>
      </c>
      <c r="F47" s="39">
        <f t="shared" si="0"/>
        <v>0</v>
      </c>
      <c r="G47" s="39">
        <v>2</v>
      </c>
      <c r="H47" s="39">
        <v>0</v>
      </c>
      <c r="I47" s="39">
        <f t="shared" si="1"/>
        <v>0</v>
      </c>
      <c r="J47" s="40">
        <v>7</v>
      </c>
      <c r="K47" s="40">
        <v>3</v>
      </c>
      <c r="L47" s="41">
        <f t="shared" si="2"/>
        <v>42.857142857142854</v>
      </c>
      <c r="M47" s="42">
        <v>6</v>
      </c>
      <c r="N47" s="42">
        <v>4</v>
      </c>
      <c r="O47" s="41">
        <f t="shared" si="3"/>
        <v>66.666666666666657</v>
      </c>
      <c r="P47" s="40">
        <v>7</v>
      </c>
      <c r="Q47" s="40">
        <v>1</v>
      </c>
      <c r="R47" s="41">
        <f t="shared" si="4"/>
        <v>14.285714285714285</v>
      </c>
      <c r="S47" s="42">
        <v>2</v>
      </c>
      <c r="T47" s="42">
        <v>1</v>
      </c>
      <c r="U47" s="41">
        <f t="shared" si="5"/>
        <v>50</v>
      </c>
      <c r="V47" s="39">
        <v>4</v>
      </c>
      <c r="W47" s="39">
        <v>2</v>
      </c>
      <c r="X47" s="41">
        <f t="shared" si="6"/>
        <v>50</v>
      </c>
      <c r="Y47" s="42">
        <v>2</v>
      </c>
      <c r="Z47" s="42">
        <v>1</v>
      </c>
      <c r="AA47" s="41">
        <f t="shared" si="7"/>
        <v>50</v>
      </c>
      <c r="AB47" s="40">
        <v>4</v>
      </c>
      <c r="AC47" s="40">
        <v>0</v>
      </c>
      <c r="AD47" s="41">
        <f t="shared" si="8"/>
        <v>0</v>
      </c>
      <c r="AE47" s="42">
        <v>4</v>
      </c>
      <c r="AF47" s="42">
        <v>2</v>
      </c>
      <c r="AG47" s="41">
        <f t="shared" si="9"/>
        <v>50</v>
      </c>
      <c r="AH47" s="40">
        <v>8</v>
      </c>
      <c r="AI47" s="40">
        <v>4</v>
      </c>
      <c r="AJ47" s="41">
        <f t="shared" si="10"/>
        <v>50</v>
      </c>
      <c r="AK47" s="42">
        <v>6</v>
      </c>
      <c r="AL47" s="42">
        <v>2</v>
      </c>
      <c r="AM47" s="41">
        <f t="shared" si="11"/>
        <v>33.333333333333329</v>
      </c>
      <c r="AN47" s="42">
        <v>7</v>
      </c>
      <c r="AO47" s="42">
        <v>3</v>
      </c>
      <c r="AP47" s="41">
        <f t="shared" si="12"/>
        <v>42.857142857142854</v>
      </c>
      <c r="AQ47" s="40">
        <v>4</v>
      </c>
      <c r="AR47" s="40">
        <v>2</v>
      </c>
      <c r="AS47" s="41">
        <f t="shared" si="13"/>
        <v>50</v>
      </c>
      <c r="AT47" s="10">
        <f t="shared" si="14"/>
        <v>41</v>
      </c>
      <c r="AU47" s="10">
        <f t="shared" si="14"/>
        <v>13</v>
      </c>
      <c r="AV47" s="26">
        <f t="shared" si="15"/>
        <v>31.707317073170731</v>
      </c>
      <c r="AW47" s="10">
        <f t="shared" si="16"/>
        <v>26</v>
      </c>
      <c r="AX47" s="10">
        <f t="shared" si="16"/>
        <v>12</v>
      </c>
      <c r="AY47" s="26">
        <f t="shared" si="17"/>
        <v>46.153846153846153</v>
      </c>
      <c r="AZ47" s="10">
        <f t="shared" si="18"/>
        <v>67</v>
      </c>
      <c r="BA47" s="10">
        <f t="shared" si="18"/>
        <v>25</v>
      </c>
      <c r="BB47" s="27">
        <f t="shared" si="19"/>
        <v>37.313432835820898</v>
      </c>
    </row>
    <row r="48" spans="1:54">
      <c r="A48" s="12">
        <v>42</v>
      </c>
      <c r="B48" s="13">
        <v>1230321039</v>
      </c>
      <c r="C48" s="14" t="s">
        <v>64</v>
      </c>
      <c r="D48" s="39">
        <v>4</v>
      </c>
      <c r="E48" s="39">
        <v>2</v>
      </c>
      <c r="F48" s="39">
        <f t="shared" si="0"/>
        <v>50</v>
      </c>
      <c r="G48" s="39">
        <v>2</v>
      </c>
      <c r="H48" s="39">
        <v>0</v>
      </c>
      <c r="I48" s="39">
        <f t="shared" si="1"/>
        <v>0</v>
      </c>
      <c r="J48" s="40">
        <v>7</v>
      </c>
      <c r="K48" s="40">
        <v>6</v>
      </c>
      <c r="L48" s="41">
        <f t="shared" si="2"/>
        <v>85.714285714285708</v>
      </c>
      <c r="M48" s="42">
        <v>7</v>
      </c>
      <c r="N48" s="42">
        <v>2</v>
      </c>
      <c r="O48" s="41">
        <f t="shared" si="3"/>
        <v>28.571428571428569</v>
      </c>
      <c r="P48" s="40">
        <v>7</v>
      </c>
      <c r="Q48" s="40">
        <v>4</v>
      </c>
      <c r="R48" s="41">
        <f t="shared" si="4"/>
        <v>57.142857142857139</v>
      </c>
      <c r="S48" s="42">
        <v>3</v>
      </c>
      <c r="T48" s="42">
        <v>1</v>
      </c>
      <c r="U48" s="41">
        <f t="shared" si="5"/>
        <v>33.333333333333329</v>
      </c>
      <c r="V48" s="39">
        <v>4</v>
      </c>
      <c r="W48" s="39">
        <v>2</v>
      </c>
      <c r="X48" s="41">
        <f t="shared" si="6"/>
        <v>50</v>
      </c>
      <c r="Y48" s="42">
        <v>2</v>
      </c>
      <c r="Z48" s="42">
        <v>2</v>
      </c>
      <c r="AA48" s="41">
        <f t="shared" si="7"/>
        <v>100</v>
      </c>
      <c r="AB48" s="40">
        <v>4</v>
      </c>
      <c r="AC48" s="40">
        <v>3</v>
      </c>
      <c r="AD48" s="41">
        <f t="shared" si="8"/>
        <v>75</v>
      </c>
      <c r="AE48" s="42">
        <v>4</v>
      </c>
      <c r="AF48" s="42">
        <v>1</v>
      </c>
      <c r="AG48" s="41">
        <f t="shared" si="9"/>
        <v>25</v>
      </c>
      <c r="AH48" s="40">
        <v>8</v>
      </c>
      <c r="AI48" s="40">
        <v>6</v>
      </c>
      <c r="AJ48" s="41">
        <f t="shared" si="10"/>
        <v>75</v>
      </c>
      <c r="AK48" s="42">
        <v>5</v>
      </c>
      <c r="AL48" s="42">
        <v>2</v>
      </c>
      <c r="AM48" s="41">
        <f t="shared" si="11"/>
        <v>40</v>
      </c>
      <c r="AN48" s="42">
        <v>7</v>
      </c>
      <c r="AO48" s="42">
        <v>6</v>
      </c>
      <c r="AP48" s="41">
        <f t="shared" si="12"/>
        <v>85.714285714285708</v>
      </c>
      <c r="AQ48" s="40">
        <v>4</v>
      </c>
      <c r="AR48" s="40">
        <v>2</v>
      </c>
      <c r="AS48" s="41">
        <f t="shared" si="13"/>
        <v>50</v>
      </c>
      <c r="AT48" s="10">
        <f t="shared" si="14"/>
        <v>41</v>
      </c>
      <c r="AU48" s="10">
        <f t="shared" si="14"/>
        <v>29</v>
      </c>
      <c r="AV48" s="26">
        <f t="shared" si="15"/>
        <v>70.731707317073173</v>
      </c>
      <c r="AW48" s="10">
        <f t="shared" si="16"/>
        <v>27</v>
      </c>
      <c r="AX48" s="10">
        <f t="shared" si="16"/>
        <v>10</v>
      </c>
      <c r="AY48" s="26">
        <f t="shared" si="17"/>
        <v>37.037037037037038</v>
      </c>
      <c r="AZ48" s="10">
        <f t="shared" si="18"/>
        <v>68</v>
      </c>
      <c r="BA48" s="10">
        <f t="shared" si="18"/>
        <v>39</v>
      </c>
      <c r="BB48" s="27">
        <f t="shared" si="19"/>
        <v>57.352941176470587</v>
      </c>
    </row>
    <row r="49" spans="1:54">
      <c r="A49" s="12">
        <v>43</v>
      </c>
      <c r="B49" s="13">
        <v>1230321040</v>
      </c>
      <c r="C49" s="14" t="s">
        <v>65</v>
      </c>
      <c r="D49" s="39">
        <v>4</v>
      </c>
      <c r="E49" s="39">
        <v>2</v>
      </c>
      <c r="F49" s="39">
        <f t="shared" si="0"/>
        <v>50</v>
      </c>
      <c r="G49" s="39">
        <v>2</v>
      </c>
      <c r="H49" s="39">
        <v>0</v>
      </c>
      <c r="I49" s="39">
        <f t="shared" si="1"/>
        <v>0</v>
      </c>
      <c r="J49" s="40">
        <v>7</v>
      </c>
      <c r="K49" s="40">
        <v>3</v>
      </c>
      <c r="L49" s="41">
        <f t="shared" si="2"/>
        <v>42.857142857142854</v>
      </c>
      <c r="M49" s="42">
        <v>7</v>
      </c>
      <c r="N49" s="42">
        <v>2</v>
      </c>
      <c r="O49" s="41">
        <f t="shared" si="3"/>
        <v>28.571428571428569</v>
      </c>
      <c r="P49" s="40">
        <v>7</v>
      </c>
      <c r="Q49" s="40">
        <v>4</v>
      </c>
      <c r="R49" s="41">
        <f t="shared" si="4"/>
        <v>57.142857142857139</v>
      </c>
      <c r="S49" s="42">
        <v>3</v>
      </c>
      <c r="T49" s="42">
        <v>1</v>
      </c>
      <c r="U49" s="41">
        <f t="shared" si="5"/>
        <v>33.333333333333329</v>
      </c>
      <c r="V49" s="39">
        <v>4</v>
      </c>
      <c r="W49" s="39">
        <v>1</v>
      </c>
      <c r="X49" s="41">
        <f t="shared" si="6"/>
        <v>25</v>
      </c>
      <c r="Y49" s="42">
        <v>2</v>
      </c>
      <c r="Z49" s="42">
        <v>2</v>
      </c>
      <c r="AA49" s="41">
        <f t="shared" si="7"/>
        <v>100</v>
      </c>
      <c r="AB49" s="40">
        <v>4</v>
      </c>
      <c r="AC49" s="40">
        <v>3</v>
      </c>
      <c r="AD49" s="41">
        <f t="shared" si="8"/>
        <v>75</v>
      </c>
      <c r="AE49" s="42">
        <v>4</v>
      </c>
      <c r="AF49" s="42">
        <v>1</v>
      </c>
      <c r="AG49" s="41">
        <f t="shared" si="9"/>
        <v>25</v>
      </c>
      <c r="AH49" s="40">
        <v>8</v>
      </c>
      <c r="AI49" s="40">
        <v>5</v>
      </c>
      <c r="AJ49" s="41">
        <f t="shared" si="10"/>
        <v>62.5</v>
      </c>
      <c r="AK49" s="42">
        <v>5</v>
      </c>
      <c r="AL49" s="42">
        <v>2</v>
      </c>
      <c r="AM49" s="41">
        <f t="shared" si="11"/>
        <v>40</v>
      </c>
      <c r="AN49" s="42">
        <v>7</v>
      </c>
      <c r="AO49" s="42">
        <v>4</v>
      </c>
      <c r="AP49" s="41">
        <f t="shared" si="12"/>
        <v>57.142857142857139</v>
      </c>
      <c r="AQ49" s="40">
        <v>4</v>
      </c>
      <c r="AR49" s="40">
        <v>1</v>
      </c>
      <c r="AS49" s="41">
        <f t="shared" si="13"/>
        <v>25</v>
      </c>
      <c r="AT49" s="10">
        <f t="shared" si="14"/>
        <v>41</v>
      </c>
      <c r="AU49" s="10">
        <f t="shared" si="14"/>
        <v>22</v>
      </c>
      <c r="AV49" s="26">
        <f t="shared" si="15"/>
        <v>53.658536585365859</v>
      </c>
      <c r="AW49" s="10">
        <f t="shared" si="16"/>
        <v>27</v>
      </c>
      <c r="AX49" s="10">
        <f t="shared" si="16"/>
        <v>9</v>
      </c>
      <c r="AY49" s="26">
        <f t="shared" si="17"/>
        <v>33.333333333333329</v>
      </c>
      <c r="AZ49" s="10">
        <f t="shared" si="18"/>
        <v>68</v>
      </c>
      <c r="BA49" s="10">
        <f t="shared" si="18"/>
        <v>31</v>
      </c>
      <c r="BB49" s="27">
        <f t="shared" si="19"/>
        <v>45.588235294117645</v>
      </c>
    </row>
    <row r="50" spans="1:54" s="11" customFormat="1">
      <c r="A50" s="12">
        <v>44</v>
      </c>
      <c r="B50" s="13">
        <v>1230321041</v>
      </c>
      <c r="C50" s="14" t="s">
        <v>66</v>
      </c>
      <c r="D50" s="39">
        <v>4</v>
      </c>
      <c r="E50" s="39">
        <v>0</v>
      </c>
      <c r="F50" s="39">
        <f t="shared" si="0"/>
        <v>0</v>
      </c>
      <c r="G50" s="39">
        <v>2</v>
      </c>
      <c r="H50" s="39">
        <v>0</v>
      </c>
      <c r="I50" s="39">
        <f t="shared" si="1"/>
        <v>0</v>
      </c>
      <c r="J50" s="40">
        <v>7</v>
      </c>
      <c r="K50" s="42">
        <v>2</v>
      </c>
      <c r="L50" s="41">
        <f t="shared" si="2"/>
        <v>28.571428571428569</v>
      </c>
      <c r="M50" s="42">
        <v>7</v>
      </c>
      <c r="N50" s="42">
        <v>3</v>
      </c>
      <c r="O50" s="41">
        <f t="shared" si="3"/>
        <v>42.857142857142854</v>
      </c>
      <c r="P50" s="40">
        <v>7</v>
      </c>
      <c r="Q50" s="42">
        <v>3</v>
      </c>
      <c r="R50" s="41">
        <f t="shared" si="4"/>
        <v>42.857142857142854</v>
      </c>
      <c r="S50" s="42">
        <v>3</v>
      </c>
      <c r="T50" s="42">
        <v>0</v>
      </c>
      <c r="U50" s="41">
        <f t="shared" si="5"/>
        <v>0</v>
      </c>
      <c r="V50" s="39">
        <v>4</v>
      </c>
      <c r="W50" s="39">
        <v>0</v>
      </c>
      <c r="X50" s="41">
        <f t="shared" si="6"/>
        <v>0</v>
      </c>
      <c r="Y50" s="42">
        <v>2</v>
      </c>
      <c r="Z50" s="42">
        <v>2</v>
      </c>
      <c r="AA50" s="41">
        <f t="shared" si="7"/>
        <v>100</v>
      </c>
      <c r="AB50" s="40">
        <v>4</v>
      </c>
      <c r="AC50" s="42">
        <v>4</v>
      </c>
      <c r="AD50" s="41">
        <f t="shared" si="8"/>
        <v>100</v>
      </c>
      <c r="AE50" s="42">
        <v>4</v>
      </c>
      <c r="AF50" s="42">
        <v>4</v>
      </c>
      <c r="AG50" s="41">
        <f t="shared" si="9"/>
        <v>100</v>
      </c>
      <c r="AH50" s="40">
        <v>8</v>
      </c>
      <c r="AI50" s="42">
        <v>4</v>
      </c>
      <c r="AJ50" s="41">
        <f t="shared" si="10"/>
        <v>50</v>
      </c>
      <c r="AK50" s="42">
        <v>5</v>
      </c>
      <c r="AL50" s="42">
        <v>4</v>
      </c>
      <c r="AM50" s="41">
        <f t="shared" si="11"/>
        <v>80</v>
      </c>
      <c r="AN50" s="42">
        <v>7</v>
      </c>
      <c r="AO50" s="42">
        <v>6</v>
      </c>
      <c r="AP50" s="41">
        <f t="shared" si="12"/>
        <v>85.714285714285708</v>
      </c>
      <c r="AQ50" s="40">
        <v>4</v>
      </c>
      <c r="AR50" s="42">
        <v>1</v>
      </c>
      <c r="AS50" s="41">
        <f t="shared" si="13"/>
        <v>25</v>
      </c>
      <c r="AT50" s="10">
        <f t="shared" si="14"/>
        <v>41</v>
      </c>
      <c r="AU50" s="10">
        <f t="shared" si="14"/>
        <v>19</v>
      </c>
      <c r="AV50" s="26">
        <f t="shared" si="15"/>
        <v>46.341463414634148</v>
      </c>
      <c r="AW50" s="10">
        <f t="shared" si="16"/>
        <v>27</v>
      </c>
      <c r="AX50" s="10">
        <f t="shared" si="16"/>
        <v>14</v>
      </c>
      <c r="AY50" s="26">
        <f t="shared" si="17"/>
        <v>51.851851851851848</v>
      </c>
      <c r="AZ50" s="10">
        <f t="shared" si="18"/>
        <v>68</v>
      </c>
      <c r="BA50" s="10">
        <f t="shared" si="18"/>
        <v>33</v>
      </c>
      <c r="BB50" s="27">
        <f t="shared" si="19"/>
        <v>48.529411764705884</v>
      </c>
    </row>
    <row r="51" spans="1:54" s="11" customFormat="1">
      <c r="A51" s="12">
        <v>45</v>
      </c>
      <c r="B51" s="13">
        <v>1230321042</v>
      </c>
      <c r="C51" s="14" t="s">
        <v>67</v>
      </c>
      <c r="D51" s="39">
        <v>4</v>
      </c>
      <c r="E51" s="39">
        <v>1</v>
      </c>
      <c r="F51" s="39">
        <f t="shared" si="0"/>
        <v>25</v>
      </c>
      <c r="G51" s="39">
        <v>2</v>
      </c>
      <c r="H51" s="39">
        <v>0</v>
      </c>
      <c r="I51" s="39">
        <f t="shared" si="1"/>
        <v>0</v>
      </c>
      <c r="J51" s="40">
        <v>7</v>
      </c>
      <c r="K51" s="42">
        <v>5</v>
      </c>
      <c r="L51" s="41">
        <f t="shared" si="2"/>
        <v>71.428571428571431</v>
      </c>
      <c r="M51" s="42">
        <v>7</v>
      </c>
      <c r="N51" s="42">
        <v>5</v>
      </c>
      <c r="O51" s="41">
        <f t="shared" si="3"/>
        <v>71.428571428571431</v>
      </c>
      <c r="P51" s="40">
        <v>7</v>
      </c>
      <c r="Q51" s="42">
        <v>4</v>
      </c>
      <c r="R51" s="41">
        <f t="shared" si="4"/>
        <v>57.142857142857139</v>
      </c>
      <c r="S51" s="42">
        <v>3</v>
      </c>
      <c r="T51" s="42">
        <v>3</v>
      </c>
      <c r="U51" s="41">
        <f t="shared" si="5"/>
        <v>100</v>
      </c>
      <c r="V51" s="39">
        <v>4</v>
      </c>
      <c r="W51" s="39">
        <v>1</v>
      </c>
      <c r="X51" s="41">
        <f t="shared" si="6"/>
        <v>25</v>
      </c>
      <c r="Y51" s="42">
        <v>2</v>
      </c>
      <c r="Z51" s="42">
        <v>1</v>
      </c>
      <c r="AA51" s="41">
        <f t="shared" si="7"/>
        <v>50</v>
      </c>
      <c r="AB51" s="40">
        <v>4</v>
      </c>
      <c r="AC51" s="42">
        <v>3</v>
      </c>
      <c r="AD51" s="41">
        <f t="shared" si="8"/>
        <v>75</v>
      </c>
      <c r="AE51" s="42">
        <v>4</v>
      </c>
      <c r="AF51" s="42">
        <v>4</v>
      </c>
      <c r="AG51" s="41">
        <f t="shared" si="9"/>
        <v>100</v>
      </c>
      <c r="AH51" s="40">
        <v>8</v>
      </c>
      <c r="AI51" s="42">
        <v>6</v>
      </c>
      <c r="AJ51" s="41">
        <f t="shared" si="10"/>
        <v>75</v>
      </c>
      <c r="AK51" s="42">
        <v>5</v>
      </c>
      <c r="AL51" s="42">
        <v>5</v>
      </c>
      <c r="AM51" s="41">
        <f t="shared" si="11"/>
        <v>100</v>
      </c>
      <c r="AN51" s="42">
        <v>7</v>
      </c>
      <c r="AO51" s="42">
        <v>6</v>
      </c>
      <c r="AP51" s="41">
        <f t="shared" si="12"/>
        <v>85.714285714285708</v>
      </c>
      <c r="AQ51" s="40">
        <v>4</v>
      </c>
      <c r="AR51" s="42">
        <v>4</v>
      </c>
      <c r="AS51" s="41">
        <f t="shared" si="13"/>
        <v>100</v>
      </c>
      <c r="AT51" s="10">
        <f t="shared" si="14"/>
        <v>41</v>
      </c>
      <c r="AU51" s="10">
        <f t="shared" si="14"/>
        <v>26</v>
      </c>
      <c r="AV51" s="26">
        <f t="shared" si="15"/>
        <v>63.414634146341463</v>
      </c>
      <c r="AW51" s="10">
        <f t="shared" si="16"/>
        <v>27</v>
      </c>
      <c r="AX51" s="10">
        <f t="shared" si="16"/>
        <v>22</v>
      </c>
      <c r="AY51" s="26">
        <f t="shared" si="17"/>
        <v>81.481481481481481</v>
      </c>
      <c r="AZ51" s="10">
        <f t="shared" si="18"/>
        <v>68</v>
      </c>
      <c r="BA51" s="10">
        <f t="shared" si="18"/>
        <v>48</v>
      </c>
      <c r="BB51" s="27">
        <f t="shared" si="19"/>
        <v>70.588235294117652</v>
      </c>
    </row>
    <row r="52" spans="1:54" s="11" customFormat="1">
      <c r="A52" s="12">
        <v>46</v>
      </c>
      <c r="B52" s="13">
        <v>1230321043</v>
      </c>
      <c r="C52" s="14" t="s">
        <v>68</v>
      </c>
      <c r="D52" s="39">
        <v>4</v>
      </c>
      <c r="E52" s="39">
        <v>1</v>
      </c>
      <c r="F52" s="39">
        <f t="shared" si="0"/>
        <v>25</v>
      </c>
      <c r="G52" s="39">
        <v>2</v>
      </c>
      <c r="H52" s="39">
        <v>0</v>
      </c>
      <c r="I52" s="39">
        <f t="shared" si="1"/>
        <v>0</v>
      </c>
      <c r="J52" s="40">
        <v>7</v>
      </c>
      <c r="K52" s="42">
        <v>4</v>
      </c>
      <c r="L52" s="41">
        <f t="shared" si="2"/>
        <v>57.142857142857139</v>
      </c>
      <c r="M52" s="42">
        <v>7</v>
      </c>
      <c r="N52" s="42">
        <v>2</v>
      </c>
      <c r="O52" s="41">
        <f t="shared" si="3"/>
        <v>28.571428571428569</v>
      </c>
      <c r="P52" s="40">
        <v>7</v>
      </c>
      <c r="Q52" s="42">
        <v>2</v>
      </c>
      <c r="R52" s="41">
        <f t="shared" si="4"/>
        <v>28.571428571428569</v>
      </c>
      <c r="S52" s="42">
        <v>3</v>
      </c>
      <c r="T52" s="42">
        <v>0</v>
      </c>
      <c r="U52" s="41">
        <f t="shared" si="5"/>
        <v>0</v>
      </c>
      <c r="V52" s="39">
        <v>4</v>
      </c>
      <c r="W52" s="39">
        <v>2</v>
      </c>
      <c r="X52" s="41">
        <f t="shared" si="6"/>
        <v>50</v>
      </c>
      <c r="Y52" s="42">
        <v>2</v>
      </c>
      <c r="Z52" s="42">
        <v>2</v>
      </c>
      <c r="AA52" s="41">
        <f t="shared" si="7"/>
        <v>100</v>
      </c>
      <c r="AB52" s="40">
        <v>4</v>
      </c>
      <c r="AC52" s="42">
        <v>1</v>
      </c>
      <c r="AD52" s="41">
        <f t="shared" si="8"/>
        <v>25</v>
      </c>
      <c r="AE52" s="42">
        <v>4</v>
      </c>
      <c r="AF52" s="42">
        <v>0</v>
      </c>
      <c r="AG52" s="41">
        <f t="shared" si="9"/>
        <v>0</v>
      </c>
      <c r="AH52" s="40">
        <v>8</v>
      </c>
      <c r="AI52" s="42">
        <v>3</v>
      </c>
      <c r="AJ52" s="41">
        <f t="shared" si="10"/>
        <v>37.5</v>
      </c>
      <c r="AK52" s="42">
        <v>5</v>
      </c>
      <c r="AL52" s="42">
        <v>2</v>
      </c>
      <c r="AM52" s="41">
        <f t="shared" si="11"/>
        <v>40</v>
      </c>
      <c r="AN52" s="42">
        <v>7</v>
      </c>
      <c r="AO52" s="42">
        <v>3</v>
      </c>
      <c r="AP52" s="41">
        <f t="shared" si="12"/>
        <v>42.857142857142854</v>
      </c>
      <c r="AQ52" s="40">
        <v>4</v>
      </c>
      <c r="AR52" s="42">
        <v>2</v>
      </c>
      <c r="AS52" s="41">
        <f t="shared" si="13"/>
        <v>50</v>
      </c>
      <c r="AT52" s="10">
        <f t="shared" si="14"/>
        <v>41</v>
      </c>
      <c r="AU52" s="10">
        <f t="shared" si="14"/>
        <v>16</v>
      </c>
      <c r="AV52" s="26">
        <f t="shared" si="15"/>
        <v>39.024390243902438</v>
      </c>
      <c r="AW52" s="10">
        <f t="shared" si="16"/>
        <v>27</v>
      </c>
      <c r="AX52" s="10">
        <f t="shared" si="16"/>
        <v>8</v>
      </c>
      <c r="AY52" s="26">
        <f t="shared" si="17"/>
        <v>29.629629629629626</v>
      </c>
      <c r="AZ52" s="10">
        <f t="shared" si="18"/>
        <v>68</v>
      </c>
      <c r="BA52" s="10">
        <f t="shared" si="18"/>
        <v>24</v>
      </c>
      <c r="BB52" s="27">
        <f t="shared" si="19"/>
        <v>35.294117647058826</v>
      </c>
    </row>
    <row r="53" spans="1:54" s="11" customFormat="1">
      <c r="A53" s="12">
        <v>47</v>
      </c>
      <c r="B53" s="13">
        <v>1230321044</v>
      </c>
      <c r="C53" s="14" t="s">
        <v>69</v>
      </c>
      <c r="D53" s="39">
        <v>4</v>
      </c>
      <c r="E53" s="39">
        <v>0</v>
      </c>
      <c r="F53" s="39">
        <f t="shared" si="0"/>
        <v>0</v>
      </c>
      <c r="G53" s="39">
        <v>2</v>
      </c>
      <c r="H53" s="39">
        <v>0</v>
      </c>
      <c r="I53" s="39">
        <f t="shared" si="1"/>
        <v>0</v>
      </c>
      <c r="J53" s="40">
        <v>7</v>
      </c>
      <c r="K53" s="42">
        <v>3</v>
      </c>
      <c r="L53" s="41">
        <f t="shared" si="2"/>
        <v>42.857142857142854</v>
      </c>
      <c r="M53" s="42">
        <v>7</v>
      </c>
      <c r="N53" s="42">
        <v>1</v>
      </c>
      <c r="O53" s="41">
        <f t="shared" si="3"/>
        <v>14.285714285714285</v>
      </c>
      <c r="P53" s="40">
        <v>7</v>
      </c>
      <c r="Q53" s="42">
        <v>2</v>
      </c>
      <c r="R53" s="41">
        <f t="shared" si="4"/>
        <v>28.571428571428569</v>
      </c>
      <c r="S53" s="42">
        <v>3</v>
      </c>
      <c r="T53" s="42">
        <v>1</v>
      </c>
      <c r="U53" s="41">
        <f t="shared" si="5"/>
        <v>33.333333333333329</v>
      </c>
      <c r="V53" s="39">
        <v>4</v>
      </c>
      <c r="W53" s="39">
        <v>2</v>
      </c>
      <c r="X53" s="41">
        <f t="shared" si="6"/>
        <v>50</v>
      </c>
      <c r="Y53" s="42">
        <v>2</v>
      </c>
      <c r="Z53" s="42">
        <v>2</v>
      </c>
      <c r="AA53" s="41">
        <f t="shared" si="7"/>
        <v>100</v>
      </c>
      <c r="AB53" s="40">
        <v>4</v>
      </c>
      <c r="AC53" s="42">
        <v>3</v>
      </c>
      <c r="AD53" s="41">
        <f t="shared" si="8"/>
        <v>75</v>
      </c>
      <c r="AE53" s="42">
        <v>4</v>
      </c>
      <c r="AF53" s="42">
        <v>2</v>
      </c>
      <c r="AG53" s="41">
        <f t="shared" si="9"/>
        <v>50</v>
      </c>
      <c r="AH53" s="40">
        <v>8</v>
      </c>
      <c r="AI53" s="42">
        <v>1</v>
      </c>
      <c r="AJ53" s="41">
        <f t="shared" si="10"/>
        <v>12.5</v>
      </c>
      <c r="AK53" s="42">
        <v>5</v>
      </c>
      <c r="AL53" s="42">
        <v>3</v>
      </c>
      <c r="AM53" s="41">
        <f t="shared" si="11"/>
        <v>60</v>
      </c>
      <c r="AN53" s="42">
        <v>7</v>
      </c>
      <c r="AO53" s="42">
        <v>4</v>
      </c>
      <c r="AP53" s="41">
        <f t="shared" si="12"/>
        <v>57.142857142857139</v>
      </c>
      <c r="AQ53" s="40">
        <v>4</v>
      </c>
      <c r="AR53" s="42">
        <v>2</v>
      </c>
      <c r="AS53" s="41">
        <f t="shared" si="13"/>
        <v>50</v>
      </c>
      <c r="AT53" s="10">
        <f t="shared" si="14"/>
        <v>41</v>
      </c>
      <c r="AU53" s="10">
        <f t="shared" si="14"/>
        <v>15</v>
      </c>
      <c r="AV53" s="26">
        <f t="shared" si="15"/>
        <v>36.585365853658537</v>
      </c>
      <c r="AW53" s="10">
        <f t="shared" si="16"/>
        <v>27</v>
      </c>
      <c r="AX53" s="10">
        <f t="shared" si="16"/>
        <v>11</v>
      </c>
      <c r="AY53" s="26">
        <f t="shared" si="17"/>
        <v>40.74074074074074</v>
      </c>
      <c r="AZ53" s="10">
        <f t="shared" si="18"/>
        <v>68</v>
      </c>
      <c r="BA53" s="10">
        <f t="shared" si="18"/>
        <v>26</v>
      </c>
      <c r="BB53" s="27">
        <f t="shared" si="19"/>
        <v>38.235294117647058</v>
      </c>
    </row>
    <row r="54" spans="1:54" s="11" customFormat="1">
      <c r="A54" s="12">
        <v>48</v>
      </c>
      <c r="B54" s="13">
        <v>1230321045</v>
      </c>
      <c r="C54" s="14" t="s">
        <v>70</v>
      </c>
      <c r="D54" s="39">
        <v>4</v>
      </c>
      <c r="E54" s="39">
        <v>1</v>
      </c>
      <c r="F54" s="39">
        <f t="shared" si="0"/>
        <v>25</v>
      </c>
      <c r="G54" s="39">
        <v>2</v>
      </c>
      <c r="H54" s="39">
        <v>0</v>
      </c>
      <c r="I54" s="39">
        <f t="shared" si="1"/>
        <v>0</v>
      </c>
      <c r="J54" s="40">
        <v>7</v>
      </c>
      <c r="K54" s="42">
        <v>5</v>
      </c>
      <c r="L54" s="41">
        <f t="shared" si="2"/>
        <v>71.428571428571431</v>
      </c>
      <c r="M54" s="42">
        <v>7</v>
      </c>
      <c r="N54" s="42">
        <v>5</v>
      </c>
      <c r="O54" s="41">
        <f t="shared" si="3"/>
        <v>71.428571428571431</v>
      </c>
      <c r="P54" s="40">
        <v>7</v>
      </c>
      <c r="Q54" s="42">
        <v>3</v>
      </c>
      <c r="R54" s="41">
        <f t="shared" si="4"/>
        <v>42.857142857142854</v>
      </c>
      <c r="S54" s="42">
        <v>3</v>
      </c>
      <c r="T54" s="42">
        <v>3</v>
      </c>
      <c r="U54" s="41">
        <f t="shared" si="5"/>
        <v>100</v>
      </c>
      <c r="V54" s="39">
        <v>4</v>
      </c>
      <c r="W54" s="39">
        <v>2</v>
      </c>
      <c r="X54" s="41">
        <f t="shared" si="6"/>
        <v>50</v>
      </c>
      <c r="Y54" s="42">
        <v>2</v>
      </c>
      <c r="Z54" s="42">
        <v>1</v>
      </c>
      <c r="AA54" s="41">
        <f t="shared" si="7"/>
        <v>50</v>
      </c>
      <c r="AB54" s="40">
        <v>4</v>
      </c>
      <c r="AC54" s="42">
        <v>3</v>
      </c>
      <c r="AD54" s="41">
        <f t="shared" si="8"/>
        <v>75</v>
      </c>
      <c r="AE54" s="42">
        <v>4</v>
      </c>
      <c r="AF54" s="42">
        <v>2</v>
      </c>
      <c r="AG54" s="41">
        <f t="shared" si="9"/>
        <v>50</v>
      </c>
      <c r="AH54" s="40">
        <v>8</v>
      </c>
      <c r="AI54" s="42">
        <v>4</v>
      </c>
      <c r="AJ54" s="41">
        <f t="shared" si="10"/>
        <v>50</v>
      </c>
      <c r="AK54" s="42">
        <v>5</v>
      </c>
      <c r="AL54" s="42">
        <v>5</v>
      </c>
      <c r="AM54" s="41">
        <f t="shared" si="11"/>
        <v>100</v>
      </c>
      <c r="AN54" s="42">
        <v>7</v>
      </c>
      <c r="AO54" s="42">
        <v>4</v>
      </c>
      <c r="AP54" s="41">
        <f t="shared" si="12"/>
        <v>57.142857142857139</v>
      </c>
      <c r="AQ54" s="40">
        <v>4</v>
      </c>
      <c r="AR54" s="42">
        <v>4</v>
      </c>
      <c r="AS54" s="41">
        <f t="shared" si="13"/>
        <v>100</v>
      </c>
      <c r="AT54" s="10">
        <f t="shared" si="14"/>
        <v>41</v>
      </c>
      <c r="AU54" s="10">
        <f t="shared" si="14"/>
        <v>22</v>
      </c>
      <c r="AV54" s="26">
        <f t="shared" si="15"/>
        <v>53.658536585365859</v>
      </c>
      <c r="AW54" s="10">
        <f t="shared" si="16"/>
        <v>27</v>
      </c>
      <c r="AX54" s="10">
        <f t="shared" si="16"/>
        <v>20</v>
      </c>
      <c r="AY54" s="26">
        <f t="shared" si="17"/>
        <v>74.074074074074076</v>
      </c>
      <c r="AZ54" s="10">
        <f t="shared" si="18"/>
        <v>68</v>
      </c>
      <c r="BA54" s="10">
        <f t="shared" si="18"/>
        <v>42</v>
      </c>
      <c r="BB54" s="27">
        <f t="shared" si="19"/>
        <v>61.764705882352942</v>
      </c>
    </row>
    <row r="55" spans="1:54" s="11" customFormat="1">
      <c r="A55" s="12">
        <v>49</v>
      </c>
      <c r="B55" s="13">
        <v>1230321046</v>
      </c>
      <c r="C55" s="14" t="s">
        <v>71</v>
      </c>
      <c r="D55" s="39">
        <v>4</v>
      </c>
      <c r="E55" s="39">
        <v>2</v>
      </c>
      <c r="F55" s="39">
        <f t="shared" si="0"/>
        <v>50</v>
      </c>
      <c r="G55" s="39">
        <v>2</v>
      </c>
      <c r="H55" s="39">
        <v>0</v>
      </c>
      <c r="I55" s="39">
        <f t="shared" si="1"/>
        <v>0</v>
      </c>
      <c r="J55" s="40">
        <v>7</v>
      </c>
      <c r="K55" s="42">
        <v>3</v>
      </c>
      <c r="L55" s="41">
        <f t="shared" si="2"/>
        <v>42.857142857142854</v>
      </c>
      <c r="M55" s="42">
        <v>7</v>
      </c>
      <c r="N55" s="42">
        <v>1</v>
      </c>
      <c r="O55" s="41">
        <f t="shared" si="3"/>
        <v>14.285714285714285</v>
      </c>
      <c r="P55" s="40">
        <v>7</v>
      </c>
      <c r="Q55" s="42">
        <v>3</v>
      </c>
      <c r="R55" s="41">
        <f t="shared" si="4"/>
        <v>42.857142857142854</v>
      </c>
      <c r="S55" s="42">
        <v>3</v>
      </c>
      <c r="T55" s="42">
        <v>0</v>
      </c>
      <c r="U55" s="41">
        <f t="shared" si="5"/>
        <v>0</v>
      </c>
      <c r="V55" s="39">
        <v>4</v>
      </c>
      <c r="W55" s="39">
        <v>3</v>
      </c>
      <c r="X55" s="41">
        <f t="shared" si="6"/>
        <v>75</v>
      </c>
      <c r="Y55" s="42">
        <v>2</v>
      </c>
      <c r="Z55" s="42">
        <v>2</v>
      </c>
      <c r="AA55" s="41">
        <f t="shared" si="7"/>
        <v>100</v>
      </c>
      <c r="AB55" s="40">
        <v>4</v>
      </c>
      <c r="AC55" s="42">
        <v>3</v>
      </c>
      <c r="AD55" s="41">
        <f t="shared" si="8"/>
        <v>75</v>
      </c>
      <c r="AE55" s="42">
        <v>4</v>
      </c>
      <c r="AF55" s="42">
        <v>1</v>
      </c>
      <c r="AG55" s="41">
        <f t="shared" si="9"/>
        <v>25</v>
      </c>
      <c r="AH55" s="40">
        <v>8</v>
      </c>
      <c r="AI55" s="42">
        <v>2</v>
      </c>
      <c r="AJ55" s="41">
        <f t="shared" si="10"/>
        <v>25</v>
      </c>
      <c r="AK55" s="42">
        <v>5</v>
      </c>
      <c r="AL55" s="42">
        <v>2</v>
      </c>
      <c r="AM55" s="41">
        <f t="shared" si="11"/>
        <v>40</v>
      </c>
      <c r="AN55" s="42">
        <v>7</v>
      </c>
      <c r="AO55" s="42">
        <v>7</v>
      </c>
      <c r="AP55" s="41">
        <f t="shared" si="12"/>
        <v>100</v>
      </c>
      <c r="AQ55" s="40">
        <v>4</v>
      </c>
      <c r="AR55" s="42">
        <v>4</v>
      </c>
      <c r="AS55" s="41">
        <f t="shared" si="13"/>
        <v>100</v>
      </c>
      <c r="AT55" s="10">
        <f t="shared" si="14"/>
        <v>41</v>
      </c>
      <c r="AU55" s="10">
        <f t="shared" si="14"/>
        <v>23</v>
      </c>
      <c r="AV55" s="26">
        <f t="shared" si="15"/>
        <v>56.09756097560976</v>
      </c>
      <c r="AW55" s="10">
        <f t="shared" si="16"/>
        <v>27</v>
      </c>
      <c r="AX55" s="10">
        <f t="shared" si="16"/>
        <v>10</v>
      </c>
      <c r="AY55" s="26">
        <f t="shared" si="17"/>
        <v>37.037037037037038</v>
      </c>
      <c r="AZ55" s="10">
        <f t="shared" si="18"/>
        <v>68</v>
      </c>
      <c r="BA55" s="10">
        <f t="shared" si="18"/>
        <v>33</v>
      </c>
      <c r="BB55" s="27">
        <f t="shared" si="19"/>
        <v>48.529411764705884</v>
      </c>
    </row>
    <row r="56" spans="1:54" s="11" customFormat="1">
      <c r="A56" s="12">
        <v>50</v>
      </c>
      <c r="B56" s="13">
        <v>1230321047</v>
      </c>
      <c r="C56" s="14" t="s">
        <v>72</v>
      </c>
      <c r="D56" s="39">
        <v>4</v>
      </c>
      <c r="E56" s="39">
        <v>2</v>
      </c>
      <c r="F56" s="39">
        <f t="shared" si="0"/>
        <v>50</v>
      </c>
      <c r="G56" s="39">
        <v>2</v>
      </c>
      <c r="H56" s="39">
        <v>1</v>
      </c>
      <c r="I56" s="39">
        <f t="shared" si="1"/>
        <v>50</v>
      </c>
      <c r="J56" s="40">
        <v>7</v>
      </c>
      <c r="K56" s="42">
        <v>3</v>
      </c>
      <c r="L56" s="41">
        <f t="shared" si="2"/>
        <v>42.857142857142854</v>
      </c>
      <c r="M56" s="42">
        <v>7</v>
      </c>
      <c r="N56" s="42">
        <v>3</v>
      </c>
      <c r="O56" s="41">
        <f t="shared" si="3"/>
        <v>42.857142857142854</v>
      </c>
      <c r="P56" s="40">
        <v>7</v>
      </c>
      <c r="Q56" s="42">
        <v>3</v>
      </c>
      <c r="R56" s="41">
        <f t="shared" si="4"/>
        <v>42.857142857142854</v>
      </c>
      <c r="S56" s="42">
        <v>3</v>
      </c>
      <c r="T56" s="42">
        <v>3</v>
      </c>
      <c r="U56" s="41">
        <f t="shared" si="5"/>
        <v>100</v>
      </c>
      <c r="V56" s="39">
        <v>4</v>
      </c>
      <c r="W56" s="39">
        <v>2</v>
      </c>
      <c r="X56" s="41">
        <f t="shared" si="6"/>
        <v>50</v>
      </c>
      <c r="Y56" s="42">
        <v>2</v>
      </c>
      <c r="Z56" s="42">
        <v>2</v>
      </c>
      <c r="AA56" s="41">
        <f t="shared" si="7"/>
        <v>100</v>
      </c>
      <c r="AB56" s="40">
        <v>4</v>
      </c>
      <c r="AC56" s="42">
        <v>4</v>
      </c>
      <c r="AD56" s="41">
        <f t="shared" si="8"/>
        <v>100</v>
      </c>
      <c r="AE56" s="42">
        <v>4</v>
      </c>
      <c r="AF56" s="42">
        <v>2</v>
      </c>
      <c r="AG56" s="41">
        <f t="shared" si="9"/>
        <v>50</v>
      </c>
      <c r="AH56" s="40">
        <v>8</v>
      </c>
      <c r="AI56" s="42">
        <v>5</v>
      </c>
      <c r="AJ56" s="41">
        <f t="shared" si="10"/>
        <v>62.5</v>
      </c>
      <c r="AK56" s="42">
        <v>5</v>
      </c>
      <c r="AL56" s="42">
        <v>4</v>
      </c>
      <c r="AM56" s="41">
        <f t="shared" si="11"/>
        <v>80</v>
      </c>
      <c r="AN56" s="42">
        <v>7</v>
      </c>
      <c r="AO56" s="42">
        <v>5</v>
      </c>
      <c r="AP56" s="41">
        <f t="shared" si="12"/>
        <v>71.428571428571431</v>
      </c>
      <c r="AQ56" s="40">
        <v>4</v>
      </c>
      <c r="AR56" s="42">
        <v>4</v>
      </c>
      <c r="AS56" s="41">
        <f t="shared" si="13"/>
        <v>100</v>
      </c>
      <c r="AT56" s="10">
        <f t="shared" si="14"/>
        <v>41</v>
      </c>
      <c r="AU56" s="10">
        <f t="shared" si="14"/>
        <v>24</v>
      </c>
      <c r="AV56" s="26">
        <f t="shared" si="15"/>
        <v>58.536585365853654</v>
      </c>
      <c r="AW56" s="10">
        <f t="shared" si="16"/>
        <v>27</v>
      </c>
      <c r="AX56" s="10">
        <f t="shared" si="16"/>
        <v>19</v>
      </c>
      <c r="AY56" s="26">
        <f t="shared" si="17"/>
        <v>70.370370370370367</v>
      </c>
      <c r="AZ56" s="10">
        <f t="shared" si="18"/>
        <v>68</v>
      </c>
      <c r="BA56" s="10">
        <f t="shared" si="18"/>
        <v>43</v>
      </c>
      <c r="BB56" s="27">
        <f t="shared" si="19"/>
        <v>63.235294117647058</v>
      </c>
    </row>
    <row r="57" spans="1:54" s="11" customFormat="1">
      <c r="A57" s="12">
        <v>51</v>
      </c>
      <c r="B57" s="13">
        <v>1230321048</v>
      </c>
      <c r="C57" s="14" t="s">
        <v>73</v>
      </c>
      <c r="D57" s="39">
        <v>4</v>
      </c>
      <c r="E57" s="39">
        <v>2</v>
      </c>
      <c r="F57" s="39">
        <f t="shared" si="0"/>
        <v>50</v>
      </c>
      <c r="G57" s="39">
        <v>2</v>
      </c>
      <c r="H57" s="39">
        <v>0</v>
      </c>
      <c r="I57" s="39">
        <f t="shared" si="1"/>
        <v>0</v>
      </c>
      <c r="J57" s="40">
        <v>7</v>
      </c>
      <c r="K57" s="42">
        <v>5</v>
      </c>
      <c r="L57" s="41">
        <f t="shared" si="2"/>
        <v>71.428571428571431</v>
      </c>
      <c r="M57" s="42">
        <v>7</v>
      </c>
      <c r="N57" s="42">
        <v>2</v>
      </c>
      <c r="O57" s="41">
        <f t="shared" si="3"/>
        <v>28.571428571428569</v>
      </c>
      <c r="P57" s="40">
        <v>7</v>
      </c>
      <c r="Q57" s="42">
        <v>4</v>
      </c>
      <c r="R57" s="41">
        <f t="shared" si="4"/>
        <v>57.142857142857139</v>
      </c>
      <c r="S57" s="42">
        <v>3</v>
      </c>
      <c r="T57" s="42">
        <v>1</v>
      </c>
      <c r="U57" s="41">
        <f t="shared" si="5"/>
        <v>33.333333333333329</v>
      </c>
      <c r="V57" s="39">
        <v>4</v>
      </c>
      <c r="W57" s="39">
        <v>2</v>
      </c>
      <c r="X57" s="41">
        <f t="shared" si="6"/>
        <v>50</v>
      </c>
      <c r="Y57" s="42">
        <v>2</v>
      </c>
      <c r="Z57" s="42">
        <v>2</v>
      </c>
      <c r="AA57" s="41">
        <f t="shared" si="7"/>
        <v>100</v>
      </c>
      <c r="AB57" s="40">
        <v>4</v>
      </c>
      <c r="AC57" s="42">
        <v>3</v>
      </c>
      <c r="AD57" s="41">
        <f t="shared" si="8"/>
        <v>75</v>
      </c>
      <c r="AE57" s="42">
        <v>4</v>
      </c>
      <c r="AF57" s="42">
        <v>3</v>
      </c>
      <c r="AG57" s="41">
        <f t="shared" si="9"/>
        <v>75</v>
      </c>
      <c r="AH57" s="40">
        <v>8</v>
      </c>
      <c r="AI57" s="42">
        <v>7</v>
      </c>
      <c r="AJ57" s="41">
        <f t="shared" si="10"/>
        <v>87.5</v>
      </c>
      <c r="AK57" s="42">
        <v>5</v>
      </c>
      <c r="AL57" s="42">
        <v>3</v>
      </c>
      <c r="AM57" s="41">
        <f t="shared" si="11"/>
        <v>60</v>
      </c>
      <c r="AN57" s="42">
        <v>7</v>
      </c>
      <c r="AO57" s="42">
        <v>7</v>
      </c>
      <c r="AP57" s="41">
        <f t="shared" si="12"/>
        <v>100</v>
      </c>
      <c r="AQ57" s="40">
        <v>4</v>
      </c>
      <c r="AR57" s="42">
        <v>3</v>
      </c>
      <c r="AS57" s="41">
        <f t="shared" si="13"/>
        <v>75</v>
      </c>
      <c r="AT57" s="10">
        <f t="shared" si="14"/>
        <v>41</v>
      </c>
      <c r="AU57" s="10">
        <f t="shared" si="14"/>
        <v>30</v>
      </c>
      <c r="AV57" s="26">
        <f t="shared" si="15"/>
        <v>73.170731707317074</v>
      </c>
      <c r="AW57" s="10">
        <f t="shared" si="16"/>
        <v>27</v>
      </c>
      <c r="AX57" s="10">
        <f t="shared" si="16"/>
        <v>14</v>
      </c>
      <c r="AY57" s="26">
        <f t="shared" si="17"/>
        <v>51.851851851851848</v>
      </c>
      <c r="AZ57" s="10">
        <f t="shared" si="18"/>
        <v>68</v>
      </c>
      <c r="BA57" s="10">
        <f t="shared" si="18"/>
        <v>44</v>
      </c>
      <c r="BB57" s="27">
        <f t="shared" si="19"/>
        <v>64.705882352941174</v>
      </c>
    </row>
    <row r="58" spans="1:54" s="11" customFormat="1">
      <c r="A58" s="12">
        <v>52</v>
      </c>
      <c r="B58" s="13">
        <v>1230321049</v>
      </c>
      <c r="C58" s="14" t="s">
        <v>74</v>
      </c>
      <c r="D58" s="39">
        <v>4</v>
      </c>
      <c r="E58" s="39">
        <v>3</v>
      </c>
      <c r="F58" s="39">
        <f t="shared" si="0"/>
        <v>75</v>
      </c>
      <c r="G58" s="39">
        <v>2</v>
      </c>
      <c r="H58" s="39">
        <v>0</v>
      </c>
      <c r="I58" s="39">
        <f t="shared" si="1"/>
        <v>0</v>
      </c>
      <c r="J58" s="40">
        <v>7</v>
      </c>
      <c r="K58" s="42">
        <v>5</v>
      </c>
      <c r="L58" s="41">
        <f t="shared" si="2"/>
        <v>71.428571428571431</v>
      </c>
      <c r="M58" s="42">
        <v>7</v>
      </c>
      <c r="N58" s="42">
        <v>5</v>
      </c>
      <c r="O58" s="41">
        <f t="shared" si="3"/>
        <v>71.428571428571431</v>
      </c>
      <c r="P58" s="40">
        <v>7</v>
      </c>
      <c r="Q58" s="42">
        <v>4</v>
      </c>
      <c r="R58" s="41">
        <f t="shared" si="4"/>
        <v>57.142857142857139</v>
      </c>
      <c r="S58" s="42">
        <v>3</v>
      </c>
      <c r="T58" s="42">
        <v>2</v>
      </c>
      <c r="U58" s="41">
        <f t="shared" si="5"/>
        <v>66.666666666666657</v>
      </c>
      <c r="V58" s="39">
        <v>4</v>
      </c>
      <c r="W58" s="39">
        <v>2</v>
      </c>
      <c r="X58" s="41">
        <f t="shared" si="6"/>
        <v>50</v>
      </c>
      <c r="Y58" s="42">
        <v>2</v>
      </c>
      <c r="Z58" s="42">
        <v>2</v>
      </c>
      <c r="AA58" s="41">
        <f t="shared" si="7"/>
        <v>100</v>
      </c>
      <c r="AB58" s="40">
        <v>4</v>
      </c>
      <c r="AC58" s="42">
        <v>4</v>
      </c>
      <c r="AD58" s="41">
        <f t="shared" si="8"/>
        <v>100</v>
      </c>
      <c r="AE58" s="42">
        <v>4</v>
      </c>
      <c r="AF58" s="42">
        <v>3</v>
      </c>
      <c r="AG58" s="41">
        <f t="shared" si="9"/>
        <v>75</v>
      </c>
      <c r="AH58" s="40">
        <v>8</v>
      </c>
      <c r="AI58" s="42">
        <v>4</v>
      </c>
      <c r="AJ58" s="41">
        <f t="shared" si="10"/>
        <v>50</v>
      </c>
      <c r="AK58" s="42">
        <v>5</v>
      </c>
      <c r="AL58" s="42">
        <v>4</v>
      </c>
      <c r="AM58" s="41">
        <f t="shared" si="11"/>
        <v>80</v>
      </c>
      <c r="AN58" s="42">
        <v>7</v>
      </c>
      <c r="AO58" s="42">
        <v>6</v>
      </c>
      <c r="AP58" s="41">
        <f t="shared" si="12"/>
        <v>85.714285714285708</v>
      </c>
      <c r="AQ58" s="40">
        <v>4</v>
      </c>
      <c r="AR58" s="42">
        <v>3</v>
      </c>
      <c r="AS58" s="41">
        <f t="shared" si="13"/>
        <v>75</v>
      </c>
      <c r="AT58" s="10">
        <f t="shared" si="14"/>
        <v>41</v>
      </c>
      <c r="AU58" s="10">
        <f t="shared" si="14"/>
        <v>28</v>
      </c>
      <c r="AV58" s="26">
        <f t="shared" si="15"/>
        <v>68.292682926829272</v>
      </c>
      <c r="AW58" s="10">
        <f t="shared" si="16"/>
        <v>27</v>
      </c>
      <c r="AX58" s="10">
        <f t="shared" si="16"/>
        <v>19</v>
      </c>
      <c r="AY58" s="26">
        <f t="shared" si="17"/>
        <v>70.370370370370367</v>
      </c>
      <c r="AZ58" s="10">
        <f t="shared" si="18"/>
        <v>68</v>
      </c>
      <c r="BA58" s="10">
        <f t="shared" si="18"/>
        <v>47</v>
      </c>
      <c r="BB58" s="27">
        <f t="shared" si="19"/>
        <v>69.117647058823522</v>
      </c>
    </row>
    <row r="59" spans="1:54" s="11" customFormat="1">
      <c r="A59" s="12">
        <v>53</v>
      </c>
      <c r="B59" s="13">
        <v>1230321050</v>
      </c>
      <c r="C59" s="14" t="s">
        <v>75</v>
      </c>
      <c r="D59" s="39">
        <v>4</v>
      </c>
      <c r="E59" s="39">
        <v>2</v>
      </c>
      <c r="F59" s="39">
        <f t="shared" si="0"/>
        <v>50</v>
      </c>
      <c r="G59" s="39">
        <v>2</v>
      </c>
      <c r="H59" s="39">
        <v>1</v>
      </c>
      <c r="I59" s="39">
        <f t="shared" si="1"/>
        <v>50</v>
      </c>
      <c r="J59" s="40">
        <v>7</v>
      </c>
      <c r="K59" s="42">
        <v>4</v>
      </c>
      <c r="L59" s="41">
        <f t="shared" si="2"/>
        <v>57.142857142857139</v>
      </c>
      <c r="M59" s="42">
        <v>7</v>
      </c>
      <c r="N59" s="42">
        <v>3</v>
      </c>
      <c r="O59" s="41">
        <f t="shared" si="3"/>
        <v>42.857142857142854</v>
      </c>
      <c r="P59" s="40">
        <v>7</v>
      </c>
      <c r="Q59" s="42">
        <v>4</v>
      </c>
      <c r="R59" s="41">
        <f t="shared" si="4"/>
        <v>57.142857142857139</v>
      </c>
      <c r="S59" s="42">
        <v>3</v>
      </c>
      <c r="T59" s="42">
        <v>3</v>
      </c>
      <c r="U59" s="41">
        <f t="shared" si="5"/>
        <v>100</v>
      </c>
      <c r="V59" s="39">
        <v>4</v>
      </c>
      <c r="W59" s="39">
        <v>1</v>
      </c>
      <c r="X59" s="41">
        <f t="shared" si="6"/>
        <v>25</v>
      </c>
      <c r="Y59" s="42">
        <v>2</v>
      </c>
      <c r="Z59" s="42">
        <v>2</v>
      </c>
      <c r="AA59" s="41">
        <f t="shared" si="7"/>
        <v>100</v>
      </c>
      <c r="AB59" s="40">
        <v>4</v>
      </c>
      <c r="AC59" s="42">
        <v>4</v>
      </c>
      <c r="AD59" s="41">
        <f t="shared" si="8"/>
        <v>100</v>
      </c>
      <c r="AE59" s="42">
        <v>4</v>
      </c>
      <c r="AF59" s="42">
        <v>4</v>
      </c>
      <c r="AG59" s="41">
        <f t="shared" si="9"/>
        <v>100</v>
      </c>
      <c r="AH59" s="40">
        <v>8</v>
      </c>
      <c r="AI59" s="42">
        <v>4</v>
      </c>
      <c r="AJ59" s="41">
        <f t="shared" si="10"/>
        <v>50</v>
      </c>
      <c r="AK59" s="42">
        <v>5</v>
      </c>
      <c r="AL59" s="42">
        <v>4</v>
      </c>
      <c r="AM59" s="41">
        <f t="shared" si="11"/>
        <v>80</v>
      </c>
      <c r="AN59" s="42">
        <v>7</v>
      </c>
      <c r="AO59" s="42">
        <v>7</v>
      </c>
      <c r="AP59" s="41">
        <f t="shared" si="12"/>
        <v>100</v>
      </c>
      <c r="AQ59" s="40">
        <v>4</v>
      </c>
      <c r="AR59" s="42">
        <v>3</v>
      </c>
      <c r="AS59" s="41">
        <f t="shared" si="13"/>
        <v>75</v>
      </c>
      <c r="AT59" s="10">
        <f t="shared" si="14"/>
        <v>41</v>
      </c>
      <c r="AU59" s="10">
        <f t="shared" si="14"/>
        <v>26</v>
      </c>
      <c r="AV59" s="26">
        <f t="shared" si="15"/>
        <v>63.414634146341463</v>
      </c>
      <c r="AW59" s="10">
        <f t="shared" si="16"/>
        <v>27</v>
      </c>
      <c r="AX59" s="10">
        <f t="shared" si="16"/>
        <v>20</v>
      </c>
      <c r="AY59" s="26">
        <f t="shared" si="17"/>
        <v>74.074074074074076</v>
      </c>
      <c r="AZ59" s="10">
        <f t="shared" si="18"/>
        <v>68</v>
      </c>
      <c r="BA59" s="10">
        <f t="shared" si="18"/>
        <v>46</v>
      </c>
      <c r="BB59" s="27">
        <f t="shared" si="19"/>
        <v>67.64705882352942</v>
      </c>
    </row>
    <row r="60" spans="1:54" s="11" customFormat="1">
      <c r="A60" s="12">
        <v>54</v>
      </c>
      <c r="B60" s="13">
        <v>1230321052</v>
      </c>
      <c r="C60" s="14" t="s">
        <v>76</v>
      </c>
      <c r="D60" s="39">
        <v>4</v>
      </c>
      <c r="E60" s="39">
        <v>2</v>
      </c>
      <c r="F60" s="39">
        <f t="shared" si="0"/>
        <v>50</v>
      </c>
      <c r="G60" s="39">
        <v>2</v>
      </c>
      <c r="H60" s="39">
        <v>1</v>
      </c>
      <c r="I60" s="39">
        <f t="shared" si="1"/>
        <v>50</v>
      </c>
      <c r="J60" s="40">
        <v>7</v>
      </c>
      <c r="K60" s="42">
        <v>4</v>
      </c>
      <c r="L60" s="41">
        <f t="shared" si="2"/>
        <v>57.142857142857139</v>
      </c>
      <c r="M60" s="42">
        <v>7</v>
      </c>
      <c r="N60" s="42">
        <v>4</v>
      </c>
      <c r="O60" s="41">
        <f t="shared" si="3"/>
        <v>57.142857142857139</v>
      </c>
      <c r="P60" s="40">
        <v>7</v>
      </c>
      <c r="Q60" s="42">
        <v>3</v>
      </c>
      <c r="R60" s="41">
        <f t="shared" si="4"/>
        <v>42.857142857142854</v>
      </c>
      <c r="S60" s="42">
        <v>3</v>
      </c>
      <c r="T60" s="42">
        <v>1</v>
      </c>
      <c r="U60" s="41">
        <f t="shared" si="5"/>
        <v>33.333333333333329</v>
      </c>
      <c r="V60" s="39">
        <v>4</v>
      </c>
      <c r="W60" s="39">
        <v>2</v>
      </c>
      <c r="X60" s="41">
        <f t="shared" si="6"/>
        <v>50</v>
      </c>
      <c r="Y60" s="42">
        <v>2</v>
      </c>
      <c r="Z60" s="42">
        <v>2</v>
      </c>
      <c r="AA60" s="41">
        <f t="shared" si="7"/>
        <v>100</v>
      </c>
      <c r="AB60" s="40">
        <v>4</v>
      </c>
      <c r="AC60" s="42">
        <v>1</v>
      </c>
      <c r="AD60" s="41">
        <f t="shared" si="8"/>
        <v>25</v>
      </c>
      <c r="AE60" s="42">
        <v>4</v>
      </c>
      <c r="AF60" s="42">
        <v>2</v>
      </c>
      <c r="AG60" s="41">
        <f t="shared" si="9"/>
        <v>50</v>
      </c>
      <c r="AH60" s="40">
        <v>8</v>
      </c>
      <c r="AI60" s="42">
        <v>1</v>
      </c>
      <c r="AJ60" s="41">
        <f t="shared" si="10"/>
        <v>12.5</v>
      </c>
      <c r="AK60" s="42">
        <v>5</v>
      </c>
      <c r="AL60" s="42">
        <v>1</v>
      </c>
      <c r="AM60" s="41">
        <f t="shared" si="11"/>
        <v>20</v>
      </c>
      <c r="AN60" s="42">
        <v>7</v>
      </c>
      <c r="AO60" s="42">
        <v>6</v>
      </c>
      <c r="AP60" s="41">
        <f t="shared" si="12"/>
        <v>85.714285714285708</v>
      </c>
      <c r="AQ60" s="40">
        <v>4</v>
      </c>
      <c r="AR60" s="42">
        <v>3</v>
      </c>
      <c r="AS60" s="41">
        <f t="shared" si="13"/>
        <v>75</v>
      </c>
      <c r="AT60" s="10">
        <f t="shared" si="14"/>
        <v>41</v>
      </c>
      <c r="AU60" s="10">
        <f t="shared" si="14"/>
        <v>19</v>
      </c>
      <c r="AV60" s="26">
        <f t="shared" si="15"/>
        <v>46.341463414634148</v>
      </c>
      <c r="AW60" s="10">
        <f t="shared" si="16"/>
        <v>27</v>
      </c>
      <c r="AX60" s="10">
        <f t="shared" si="16"/>
        <v>14</v>
      </c>
      <c r="AY60" s="26">
        <f t="shared" si="17"/>
        <v>51.851851851851848</v>
      </c>
      <c r="AZ60" s="10">
        <f t="shared" si="18"/>
        <v>68</v>
      </c>
      <c r="BA60" s="10">
        <f t="shared" si="18"/>
        <v>33</v>
      </c>
      <c r="BB60" s="27">
        <f t="shared" si="19"/>
        <v>48.529411764705884</v>
      </c>
    </row>
    <row r="61" spans="1:54" s="11" customFormat="1">
      <c r="A61" s="12">
        <v>55</v>
      </c>
      <c r="B61" s="13">
        <v>1230321053</v>
      </c>
      <c r="C61" s="14" t="s">
        <v>77</v>
      </c>
      <c r="D61" s="39">
        <v>4</v>
      </c>
      <c r="E61" s="39">
        <v>3</v>
      </c>
      <c r="F61" s="39">
        <f t="shared" si="0"/>
        <v>75</v>
      </c>
      <c r="G61" s="39">
        <v>2</v>
      </c>
      <c r="H61" s="39">
        <v>1</v>
      </c>
      <c r="I61" s="39">
        <f t="shared" si="1"/>
        <v>50</v>
      </c>
      <c r="J61" s="40">
        <v>7</v>
      </c>
      <c r="K61" s="42">
        <v>6</v>
      </c>
      <c r="L61" s="41">
        <f t="shared" si="2"/>
        <v>85.714285714285708</v>
      </c>
      <c r="M61" s="42">
        <v>7</v>
      </c>
      <c r="N61" s="42">
        <v>6</v>
      </c>
      <c r="O61" s="41">
        <f t="shared" si="3"/>
        <v>85.714285714285708</v>
      </c>
      <c r="P61" s="40">
        <v>7</v>
      </c>
      <c r="Q61" s="42">
        <v>4</v>
      </c>
      <c r="R61" s="41">
        <f t="shared" si="4"/>
        <v>57.142857142857139</v>
      </c>
      <c r="S61" s="42">
        <v>3</v>
      </c>
      <c r="T61" s="42">
        <v>2</v>
      </c>
      <c r="U61" s="41">
        <f t="shared" si="5"/>
        <v>66.666666666666657</v>
      </c>
      <c r="V61" s="39">
        <v>4</v>
      </c>
      <c r="W61" s="39">
        <v>3</v>
      </c>
      <c r="X61" s="41">
        <f t="shared" si="6"/>
        <v>75</v>
      </c>
      <c r="Y61" s="42">
        <v>2</v>
      </c>
      <c r="Z61" s="42">
        <v>2</v>
      </c>
      <c r="AA61" s="41">
        <f t="shared" si="7"/>
        <v>100</v>
      </c>
      <c r="AB61" s="40">
        <v>4</v>
      </c>
      <c r="AC61" s="42">
        <v>3</v>
      </c>
      <c r="AD61" s="41">
        <f t="shared" si="8"/>
        <v>75</v>
      </c>
      <c r="AE61" s="42">
        <v>4</v>
      </c>
      <c r="AF61" s="42">
        <v>4</v>
      </c>
      <c r="AG61" s="41">
        <f t="shared" si="9"/>
        <v>100</v>
      </c>
      <c r="AH61" s="40">
        <v>8</v>
      </c>
      <c r="AI61" s="42">
        <v>4</v>
      </c>
      <c r="AJ61" s="41">
        <f t="shared" si="10"/>
        <v>50</v>
      </c>
      <c r="AK61" s="42">
        <v>5</v>
      </c>
      <c r="AL61" s="42">
        <v>4</v>
      </c>
      <c r="AM61" s="41">
        <f t="shared" si="11"/>
        <v>80</v>
      </c>
      <c r="AN61" s="42">
        <v>7</v>
      </c>
      <c r="AO61" s="42">
        <v>7</v>
      </c>
      <c r="AP61" s="41">
        <f t="shared" si="12"/>
        <v>100</v>
      </c>
      <c r="AQ61" s="40">
        <v>4</v>
      </c>
      <c r="AR61" s="42">
        <v>4</v>
      </c>
      <c r="AS61" s="41">
        <f t="shared" si="13"/>
        <v>100</v>
      </c>
      <c r="AT61" s="10">
        <f t="shared" si="14"/>
        <v>41</v>
      </c>
      <c r="AU61" s="10">
        <f t="shared" si="14"/>
        <v>30</v>
      </c>
      <c r="AV61" s="26">
        <f t="shared" si="15"/>
        <v>73.170731707317074</v>
      </c>
      <c r="AW61" s="10">
        <f t="shared" si="16"/>
        <v>27</v>
      </c>
      <c r="AX61" s="10">
        <f t="shared" si="16"/>
        <v>23</v>
      </c>
      <c r="AY61" s="26">
        <f t="shared" si="17"/>
        <v>85.18518518518519</v>
      </c>
      <c r="AZ61" s="10">
        <f t="shared" si="18"/>
        <v>68</v>
      </c>
      <c r="BA61" s="10">
        <f t="shared" si="18"/>
        <v>53</v>
      </c>
      <c r="BB61" s="27">
        <f t="shared" si="19"/>
        <v>77.941176470588232</v>
      </c>
    </row>
    <row r="62" spans="1:54" s="11" customFormat="1">
      <c r="A62" s="12">
        <v>56</v>
      </c>
      <c r="B62" s="13">
        <v>1230321054</v>
      </c>
      <c r="C62" s="14" t="s">
        <v>100</v>
      </c>
      <c r="D62" s="39">
        <v>4</v>
      </c>
      <c r="E62" s="39">
        <v>0</v>
      </c>
      <c r="F62" s="39">
        <f t="shared" si="0"/>
        <v>0</v>
      </c>
      <c r="G62" s="39">
        <v>2</v>
      </c>
      <c r="H62" s="39">
        <v>0</v>
      </c>
      <c r="I62" s="39">
        <f t="shared" si="1"/>
        <v>0</v>
      </c>
      <c r="J62" s="40">
        <v>7</v>
      </c>
      <c r="K62" s="42">
        <v>2</v>
      </c>
      <c r="L62" s="41">
        <f t="shared" si="2"/>
        <v>28.571428571428569</v>
      </c>
      <c r="M62" s="42">
        <v>7</v>
      </c>
      <c r="N62" s="42">
        <v>1</v>
      </c>
      <c r="O62" s="41">
        <f t="shared" si="3"/>
        <v>14.285714285714285</v>
      </c>
      <c r="P62" s="40">
        <v>7</v>
      </c>
      <c r="Q62" s="42">
        <v>0</v>
      </c>
      <c r="R62" s="41">
        <f t="shared" si="4"/>
        <v>0</v>
      </c>
      <c r="S62" s="42">
        <v>3</v>
      </c>
      <c r="T62" s="42">
        <v>0</v>
      </c>
      <c r="U62" s="41">
        <f t="shared" si="5"/>
        <v>0</v>
      </c>
      <c r="V62" s="39">
        <v>4</v>
      </c>
      <c r="W62" s="39">
        <v>1</v>
      </c>
      <c r="X62" s="41">
        <f t="shared" si="6"/>
        <v>25</v>
      </c>
      <c r="Y62" s="42">
        <v>2</v>
      </c>
      <c r="Z62" s="42">
        <v>2</v>
      </c>
      <c r="AA62" s="41">
        <f t="shared" si="7"/>
        <v>100</v>
      </c>
      <c r="AB62" s="40">
        <v>4</v>
      </c>
      <c r="AC62" s="42">
        <v>2</v>
      </c>
      <c r="AD62" s="41">
        <f t="shared" si="8"/>
        <v>50</v>
      </c>
      <c r="AE62" s="42">
        <v>4</v>
      </c>
      <c r="AF62" s="42">
        <v>0</v>
      </c>
      <c r="AG62" s="41">
        <f t="shared" si="9"/>
        <v>0</v>
      </c>
      <c r="AH62" s="40">
        <v>8</v>
      </c>
      <c r="AI62" s="42">
        <v>5</v>
      </c>
      <c r="AJ62" s="41">
        <f t="shared" si="10"/>
        <v>62.5</v>
      </c>
      <c r="AK62" s="42">
        <v>5</v>
      </c>
      <c r="AL62" s="42">
        <v>5</v>
      </c>
      <c r="AM62" s="41">
        <f t="shared" si="11"/>
        <v>100</v>
      </c>
      <c r="AN62" s="42">
        <v>7</v>
      </c>
      <c r="AO62" s="42">
        <v>3</v>
      </c>
      <c r="AP62" s="41">
        <f t="shared" si="12"/>
        <v>42.857142857142854</v>
      </c>
      <c r="AQ62" s="40">
        <v>4</v>
      </c>
      <c r="AR62" s="42">
        <v>0</v>
      </c>
      <c r="AS62" s="41">
        <f t="shared" si="13"/>
        <v>0</v>
      </c>
      <c r="AT62" s="10">
        <f t="shared" si="14"/>
        <v>41</v>
      </c>
      <c r="AU62" s="10">
        <f t="shared" si="14"/>
        <v>13</v>
      </c>
      <c r="AV62" s="26">
        <f t="shared" si="15"/>
        <v>31.707317073170731</v>
      </c>
      <c r="AW62" s="10">
        <f t="shared" si="16"/>
        <v>27</v>
      </c>
      <c r="AX62" s="10">
        <f t="shared" si="16"/>
        <v>8</v>
      </c>
      <c r="AY62" s="26">
        <f t="shared" si="17"/>
        <v>29.629629629629626</v>
      </c>
      <c r="AZ62" s="10">
        <f t="shared" si="18"/>
        <v>68</v>
      </c>
      <c r="BA62" s="10">
        <f t="shared" si="18"/>
        <v>21</v>
      </c>
      <c r="BB62" s="27">
        <f t="shared" si="19"/>
        <v>30.882352941176471</v>
      </c>
    </row>
    <row r="63" spans="1:54">
      <c r="A63" s="12">
        <v>57</v>
      </c>
      <c r="B63" s="13">
        <v>1230321055</v>
      </c>
      <c r="C63" s="14" t="s">
        <v>78</v>
      </c>
      <c r="D63" s="39">
        <v>4</v>
      </c>
      <c r="E63" s="39">
        <v>2</v>
      </c>
      <c r="F63" s="39">
        <f t="shared" si="0"/>
        <v>50</v>
      </c>
      <c r="G63" s="39">
        <v>2</v>
      </c>
      <c r="H63" s="39">
        <v>1</v>
      </c>
      <c r="I63" s="39">
        <f t="shared" si="1"/>
        <v>50</v>
      </c>
      <c r="J63" s="40">
        <v>7</v>
      </c>
      <c r="K63" s="40">
        <v>6</v>
      </c>
      <c r="L63" s="41">
        <f t="shared" si="2"/>
        <v>85.714285714285708</v>
      </c>
      <c r="M63" s="42">
        <v>7</v>
      </c>
      <c r="N63" s="40">
        <v>3</v>
      </c>
      <c r="O63" s="41">
        <f t="shared" si="3"/>
        <v>42.857142857142854</v>
      </c>
      <c r="P63" s="40">
        <v>7</v>
      </c>
      <c r="Q63" s="40">
        <v>4</v>
      </c>
      <c r="R63" s="41">
        <f t="shared" si="4"/>
        <v>57.142857142857139</v>
      </c>
      <c r="S63" s="42">
        <v>3</v>
      </c>
      <c r="T63" s="40">
        <v>2</v>
      </c>
      <c r="U63" s="41">
        <f t="shared" si="5"/>
        <v>66.666666666666657</v>
      </c>
      <c r="V63" s="39">
        <v>4</v>
      </c>
      <c r="W63" s="39">
        <v>3</v>
      </c>
      <c r="X63" s="41">
        <f t="shared" si="6"/>
        <v>75</v>
      </c>
      <c r="Y63" s="42">
        <v>2</v>
      </c>
      <c r="Z63" s="40">
        <v>1</v>
      </c>
      <c r="AA63" s="41">
        <f t="shared" si="7"/>
        <v>50</v>
      </c>
      <c r="AB63" s="40">
        <v>4</v>
      </c>
      <c r="AC63" s="40">
        <v>2</v>
      </c>
      <c r="AD63" s="41">
        <f t="shared" si="8"/>
        <v>50</v>
      </c>
      <c r="AE63" s="42">
        <v>4</v>
      </c>
      <c r="AF63" s="40">
        <v>3</v>
      </c>
      <c r="AG63" s="41">
        <f t="shared" si="9"/>
        <v>75</v>
      </c>
      <c r="AH63" s="40">
        <v>8</v>
      </c>
      <c r="AI63" s="40">
        <v>4</v>
      </c>
      <c r="AJ63" s="41">
        <f t="shared" si="10"/>
        <v>50</v>
      </c>
      <c r="AK63" s="42">
        <v>5</v>
      </c>
      <c r="AL63" s="40">
        <v>5</v>
      </c>
      <c r="AM63" s="41">
        <f t="shared" si="11"/>
        <v>100</v>
      </c>
      <c r="AN63" s="42">
        <v>7</v>
      </c>
      <c r="AO63" s="40">
        <v>7</v>
      </c>
      <c r="AP63" s="41">
        <f t="shared" si="12"/>
        <v>100</v>
      </c>
      <c r="AQ63" s="40">
        <v>4</v>
      </c>
      <c r="AR63" s="40">
        <v>4</v>
      </c>
      <c r="AS63" s="41">
        <f t="shared" si="13"/>
        <v>100</v>
      </c>
      <c r="AT63" s="10">
        <f t="shared" si="14"/>
        <v>41</v>
      </c>
      <c r="AU63" s="10">
        <f t="shared" si="14"/>
        <v>28</v>
      </c>
      <c r="AV63" s="26">
        <f t="shared" si="15"/>
        <v>68.292682926829272</v>
      </c>
      <c r="AW63" s="10">
        <f t="shared" si="16"/>
        <v>27</v>
      </c>
      <c r="AX63" s="10">
        <f t="shared" si="16"/>
        <v>19</v>
      </c>
      <c r="AY63" s="26">
        <f t="shared" si="17"/>
        <v>70.370370370370367</v>
      </c>
      <c r="AZ63" s="10">
        <f t="shared" si="18"/>
        <v>68</v>
      </c>
      <c r="BA63" s="10">
        <f t="shared" si="18"/>
        <v>47</v>
      </c>
      <c r="BB63" s="27">
        <f t="shared" si="19"/>
        <v>69.117647058823522</v>
      </c>
    </row>
    <row r="64" spans="1:54">
      <c r="A64" s="12">
        <v>58</v>
      </c>
      <c r="B64" s="13">
        <v>1230321056</v>
      </c>
      <c r="C64" s="14" t="s">
        <v>79</v>
      </c>
      <c r="D64" s="39">
        <v>4</v>
      </c>
      <c r="E64" s="39">
        <v>1</v>
      </c>
      <c r="F64" s="39">
        <f t="shared" si="0"/>
        <v>25</v>
      </c>
      <c r="G64" s="39">
        <v>2</v>
      </c>
      <c r="H64" s="39">
        <v>0</v>
      </c>
      <c r="I64" s="39">
        <f t="shared" si="1"/>
        <v>0</v>
      </c>
      <c r="J64" s="40">
        <v>7</v>
      </c>
      <c r="K64" s="40">
        <v>5</v>
      </c>
      <c r="L64" s="41">
        <f t="shared" si="2"/>
        <v>71.428571428571431</v>
      </c>
      <c r="M64" s="42">
        <v>7</v>
      </c>
      <c r="N64" s="40">
        <v>5</v>
      </c>
      <c r="O64" s="41">
        <f t="shared" si="3"/>
        <v>71.428571428571431</v>
      </c>
      <c r="P64" s="40">
        <v>7</v>
      </c>
      <c r="Q64" s="40">
        <v>6</v>
      </c>
      <c r="R64" s="41">
        <f t="shared" si="4"/>
        <v>85.714285714285708</v>
      </c>
      <c r="S64" s="42">
        <v>3</v>
      </c>
      <c r="T64" s="40">
        <v>3</v>
      </c>
      <c r="U64" s="41">
        <f t="shared" si="5"/>
        <v>100</v>
      </c>
      <c r="V64" s="39">
        <v>4</v>
      </c>
      <c r="W64" s="39">
        <v>1</v>
      </c>
      <c r="X64" s="41">
        <f t="shared" si="6"/>
        <v>25</v>
      </c>
      <c r="Y64" s="42">
        <v>2</v>
      </c>
      <c r="Z64" s="40">
        <v>2</v>
      </c>
      <c r="AA64" s="41">
        <f t="shared" si="7"/>
        <v>100</v>
      </c>
      <c r="AB64" s="40">
        <v>4</v>
      </c>
      <c r="AC64" s="40">
        <v>4</v>
      </c>
      <c r="AD64" s="41">
        <f t="shared" si="8"/>
        <v>100</v>
      </c>
      <c r="AE64" s="42">
        <v>4</v>
      </c>
      <c r="AF64" s="40">
        <v>4</v>
      </c>
      <c r="AG64" s="41">
        <f t="shared" si="9"/>
        <v>100</v>
      </c>
      <c r="AH64" s="40">
        <v>8</v>
      </c>
      <c r="AI64" s="40">
        <v>7</v>
      </c>
      <c r="AJ64" s="41">
        <f t="shared" si="10"/>
        <v>87.5</v>
      </c>
      <c r="AK64" s="42">
        <v>5</v>
      </c>
      <c r="AL64" s="40">
        <v>4</v>
      </c>
      <c r="AM64" s="41">
        <f t="shared" si="11"/>
        <v>80</v>
      </c>
      <c r="AN64" s="42">
        <v>7</v>
      </c>
      <c r="AO64" s="40">
        <v>6</v>
      </c>
      <c r="AP64" s="41">
        <f t="shared" si="12"/>
        <v>85.714285714285708</v>
      </c>
      <c r="AQ64" s="40">
        <v>4</v>
      </c>
      <c r="AR64" s="40">
        <v>2</v>
      </c>
      <c r="AS64" s="41">
        <f t="shared" si="13"/>
        <v>50</v>
      </c>
      <c r="AT64" s="10">
        <f t="shared" si="14"/>
        <v>41</v>
      </c>
      <c r="AU64" s="10">
        <f t="shared" si="14"/>
        <v>30</v>
      </c>
      <c r="AV64" s="26">
        <f t="shared" si="15"/>
        <v>73.170731707317074</v>
      </c>
      <c r="AW64" s="10">
        <f t="shared" si="16"/>
        <v>27</v>
      </c>
      <c r="AX64" s="10">
        <f t="shared" si="16"/>
        <v>20</v>
      </c>
      <c r="AY64" s="26">
        <f t="shared" si="17"/>
        <v>74.074074074074076</v>
      </c>
      <c r="AZ64" s="10">
        <f t="shared" si="18"/>
        <v>68</v>
      </c>
      <c r="BA64" s="10">
        <f t="shared" si="18"/>
        <v>50</v>
      </c>
      <c r="BB64" s="27">
        <f t="shared" si="19"/>
        <v>73.529411764705884</v>
      </c>
    </row>
    <row r="65" spans="1:54">
      <c r="A65" s="12">
        <v>59</v>
      </c>
      <c r="B65" s="13">
        <v>1230321057</v>
      </c>
      <c r="C65" s="14" t="s">
        <v>80</v>
      </c>
      <c r="D65" s="39">
        <v>4</v>
      </c>
      <c r="E65" s="39">
        <v>0</v>
      </c>
      <c r="F65" s="39">
        <f t="shared" si="0"/>
        <v>0</v>
      </c>
      <c r="G65" s="39">
        <v>2</v>
      </c>
      <c r="H65" s="39">
        <v>0</v>
      </c>
      <c r="I65" s="39">
        <f t="shared" si="1"/>
        <v>0</v>
      </c>
      <c r="J65" s="40">
        <v>7</v>
      </c>
      <c r="K65" s="40">
        <v>5</v>
      </c>
      <c r="L65" s="41">
        <f t="shared" si="2"/>
        <v>71.428571428571431</v>
      </c>
      <c r="M65" s="42">
        <v>7</v>
      </c>
      <c r="N65" s="40">
        <v>2</v>
      </c>
      <c r="O65" s="41">
        <f t="shared" si="3"/>
        <v>28.571428571428569</v>
      </c>
      <c r="P65" s="40">
        <v>7</v>
      </c>
      <c r="Q65" s="40">
        <v>2</v>
      </c>
      <c r="R65" s="41">
        <f t="shared" si="4"/>
        <v>28.571428571428569</v>
      </c>
      <c r="S65" s="42">
        <v>3</v>
      </c>
      <c r="T65" s="40">
        <v>1</v>
      </c>
      <c r="U65" s="41">
        <f t="shared" si="5"/>
        <v>33.333333333333329</v>
      </c>
      <c r="V65" s="39">
        <v>4</v>
      </c>
      <c r="W65" s="39">
        <v>2</v>
      </c>
      <c r="X65" s="41">
        <f t="shared" si="6"/>
        <v>50</v>
      </c>
      <c r="Y65" s="42">
        <v>2</v>
      </c>
      <c r="Z65" s="40">
        <v>0</v>
      </c>
      <c r="AA65" s="41">
        <f t="shared" si="7"/>
        <v>0</v>
      </c>
      <c r="AB65" s="40">
        <v>4</v>
      </c>
      <c r="AC65" s="40">
        <v>4</v>
      </c>
      <c r="AD65" s="41">
        <f t="shared" si="8"/>
        <v>100</v>
      </c>
      <c r="AE65" s="42">
        <v>4</v>
      </c>
      <c r="AF65" s="40">
        <v>1</v>
      </c>
      <c r="AG65" s="41">
        <f t="shared" si="9"/>
        <v>25</v>
      </c>
      <c r="AH65" s="40">
        <v>8</v>
      </c>
      <c r="AI65" s="40">
        <v>6</v>
      </c>
      <c r="AJ65" s="41">
        <f t="shared" si="10"/>
        <v>75</v>
      </c>
      <c r="AK65" s="42">
        <v>5</v>
      </c>
      <c r="AL65" s="40">
        <v>3</v>
      </c>
      <c r="AM65" s="41">
        <f t="shared" si="11"/>
        <v>60</v>
      </c>
      <c r="AN65" s="42">
        <v>7</v>
      </c>
      <c r="AO65" s="40">
        <v>5</v>
      </c>
      <c r="AP65" s="41">
        <f t="shared" si="12"/>
        <v>71.428571428571431</v>
      </c>
      <c r="AQ65" s="40">
        <v>4</v>
      </c>
      <c r="AR65" s="40">
        <v>2</v>
      </c>
      <c r="AS65" s="41">
        <f t="shared" si="13"/>
        <v>50</v>
      </c>
      <c r="AT65" s="10">
        <f t="shared" si="14"/>
        <v>41</v>
      </c>
      <c r="AU65" s="10">
        <f t="shared" si="14"/>
        <v>24</v>
      </c>
      <c r="AV65" s="26">
        <f t="shared" si="15"/>
        <v>58.536585365853654</v>
      </c>
      <c r="AW65" s="10">
        <f t="shared" si="16"/>
        <v>27</v>
      </c>
      <c r="AX65" s="10">
        <f t="shared" si="16"/>
        <v>9</v>
      </c>
      <c r="AY65" s="26">
        <f t="shared" si="17"/>
        <v>33.333333333333329</v>
      </c>
      <c r="AZ65" s="10">
        <f t="shared" si="18"/>
        <v>68</v>
      </c>
      <c r="BA65" s="10">
        <f t="shared" si="18"/>
        <v>33</v>
      </c>
      <c r="BB65" s="27">
        <f t="shared" si="19"/>
        <v>48.529411764705884</v>
      </c>
    </row>
    <row r="66" spans="1:54">
      <c r="A66" s="12">
        <v>60</v>
      </c>
      <c r="B66" s="13">
        <v>1230321058</v>
      </c>
      <c r="C66" s="14" t="s">
        <v>81</v>
      </c>
      <c r="D66" s="39">
        <v>4</v>
      </c>
      <c r="E66" s="39">
        <v>1</v>
      </c>
      <c r="F66" s="39">
        <f t="shared" si="0"/>
        <v>25</v>
      </c>
      <c r="G66" s="39">
        <v>2</v>
      </c>
      <c r="H66" s="39">
        <v>0</v>
      </c>
      <c r="I66" s="39">
        <f t="shared" si="1"/>
        <v>0</v>
      </c>
      <c r="J66" s="40">
        <v>7</v>
      </c>
      <c r="K66" s="40">
        <v>6</v>
      </c>
      <c r="L66" s="41">
        <f t="shared" si="2"/>
        <v>85.714285714285708</v>
      </c>
      <c r="M66" s="42">
        <v>7</v>
      </c>
      <c r="N66" s="40">
        <v>5</v>
      </c>
      <c r="O66" s="41">
        <f t="shared" si="3"/>
        <v>71.428571428571431</v>
      </c>
      <c r="P66" s="40">
        <v>7</v>
      </c>
      <c r="Q66" s="40">
        <v>6</v>
      </c>
      <c r="R66" s="41">
        <f t="shared" si="4"/>
        <v>85.714285714285708</v>
      </c>
      <c r="S66" s="42">
        <v>3</v>
      </c>
      <c r="T66" s="40">
        <v>2</v>
      </c>
      <c r="U66" s="41">
        <f t="shared" si="5"/>
        <v>66.666666666666657</v>
      </c>
      <c r="V66" s="39">
        <v>4</v>
      </c>
      <c r="W66" s="39">
        <v>0</v>
      </c>
      <c r="X66" s="41">
        <f t="shared" si="6"/>
        <v>0</v>
      </c>
      <c r="Y66" s="42">
        <v>2</v>
      </c>
      <c r="Z66" s="40">
        <v>2</v>
      </c>
      <c r="AA66" s="41">
        <f t="shared" si="7"/>
        <v>100</v>
      </c>
      <c r="AB66" s="40">
        <v>4</v>
      </c>
      <c r="AC66" s="40">
        <v>3</v>
      </c>
      <c r="AD66" s="41">
        <f t="shared" si="8"/>
        <v>75</v>
      </c>
      <c r="AE66" s="42">
        <v>4</v>
      </c>
      <c r="AF66" s="40">
        <v>2</v>
      </c>
      <c r="AG66" s="41">
        <f t="shared" si="9"/>
        <v>50</v>
      </c>
      <c r="AH66" s="40">
        <v>8</v>
      </c>
      <c r="AI66" s="40">
        <v>7</v>
      </c>
      <c r="AJ66" s="41">
        <f t="shared" si="10"/>
        <v>87.5</v>
      </c>
      <c r="AK66" s="42">
        <v>5</v>
      </c>
      <c r="AL66" s="40">
        <v>5</v>
      </c>
      <c r="AM66" s="41">
        <f t="shared" si="11"/>
        <v>100</v>
      </c>
      <c r="AN66" s="42">
        <v>7</v>
      </c>
      <c r="AO66" s="40">
        <v>5</v>
      </c>
      <c r="AP66" s="41">
        <f t="shared" si="12"/>
        <v>71.428571428571431</v>
      </c>
      <c r="AQ66" s="40">
        <v>4</v>
      </c>
      <c r="AR66" s="40">
        <v>3</v>
      </c>
      <c r="AS66" s="41">
        <f t="shared" si="13"/>
        <v>75</v>
      </c>
      <c r="AT66" s="10">
        <f t="shared" si="14"/>
        <v>41</v>
      </c>
      <c r="AU66" s="10">
        <f t="shared" si="14"/>
        <v>28</v>
      </c>
      <c r="AV66" s="26">
        <f t="shared" si="15"/>
        <v>68.292682926829272</v>
      </c>
      <c r="AW66" s="10">
        <f t="shared" si="16"/>
        <v>27</v>
      </c>
      <c r="AX66" s="10">
        <f t="shared" si="16"/>
        <v>19</v>
      </c>
      <c r="AY66" s="26">
        <f t="shared" si="17"/>
        <v>70.370370370370367</v>
      </c>
      <c r="AZ66" s="10">
        <f t="shared" si="18"/>
        <v>68</v>
      </c>
      <c r="BA66" s="10">
        <f t="shared" si="18"/>
        <v>47</v>
      </c>
      <c r="BB66" s="27">
        <f t="shared" si="19"/>
        <v>69.117647058823522</v>
      </c>
    </row>
    <row r="67" spans="1:54">
      <c r="A67" s="12">
        <v>61</v>
      </c>
      <c r="B67" s="13">
        <v>1230321060</v>
      </c>
      <c r="C67" s="14" t="s">
        <v>82</v>
      </c>
      <c r="D67" s="39">
        <v>4</v>
      </c>
      <c r="E67" s="39">
        <v>0</v>
      </c>
      <c r="F67" s="39">
        <f t="shared" si="0"/>
        <v>0</v>
      </c>
      <c r="G67" s="39">
        <v>2</v>
      </c>
      <c r="H67" s="39">
        <v>1</v>
      </c>
      <c r="I67" s="39">
        <f t="shared" si="1"/>
        <v>50</v>
      </c>
      <c r="J67" s="40">
        <v>7</v>
      </c>
      <c r="K67" s="40">
        <v>0</v>
      </c>
      <c r="L67" s="41">
        <f t="shared" si="2"/>
        <v>0</v>
      </c>
      <c r="M67" s="42">
        <v>7</v>
      </c>
      <c r="N67" s="40">
        <v>2</v>
      </c>
      <c r="O67" s="41">
        <f t="shared" si="3"/>
        <v>28.571428571428569</v>
      </c>
      <c r="P67" s="40">
        <v>7</v>
      </c>
      <c r="Q67" s="40">
        <v>5</v>
      </c>
      <c r="R67" s="41">
        <f t="shared" si="4"/>
        <v>71.428571428571431</v>
      </c>
      <c r="S67" s="42">
        <v>3</v>
      </c>
      <c r="T67" s="40">
        <v>0</v>
      </c>
      <c r="U67" s="41">
        <f t="shared" si="5"/>
        <v>0</v>
      </c>
      <c r="V67" s="39">
        <v>4</v>
      </c>
      <c r="W67" s="39">
        <v>1</v>
      </c>
      <c r="X67" s="41">
        <f t="shared" si="6"/>
        <v>25</v>
      </c>
      <c r="Y67" s="42">
        <v>2</v>
      </c>
      <c r="Z67" s="40">
        <v>2</v>
      </c>
      <c r="AA67" s="41">
        <f t="shared" si="7"/>
        <v>100</v>
      </c>
      <c r="AB67" s="40">
        <v>4</v>
      </c>
      <c r="AC67" s="40">
        <v>1</v>
      </c>
      <c r="AD67" s="41">
        <f t="shared" si="8"/>
        <v>25</v>
      </c>
      <c r="AE67" s="42">
        <v>4</v>
      </c>
      <c r="AF67" s="40">
        <v>1</v>
      </c>
      <c r="AG67" s="41">
        <f t="shared" si="9"/>
        <v>25</v>
      </c>
      <c r="AH67" s="40">
        <v>8</v>
      </c>
      <c r="AI67" s="40">
        <v>2</v>
      </c>
      <c r="AJ67" s="41">
        <f t="shared" si="10"/>
        <v>25</v>
      </c>
      <c r="AK67" s="42">
        <v>5</v>
      </c>
      <c r="AL67" s="40">
        <v>0</v>
      </c>
      <c r="AM67" s="41">
        <f t="shared" si="11"/>
        <v>0</v>
      </c>
      <c r="AN67" s="42">
        <v>7</v>
      </c>
      <c r="AO67" s="40">
        <v>3</v>
      </c>
      <c r="AP67" s="41">
        <f t="shared" si="12"/>
        <v>42.857142857142854</v>
      </c>
      <c r="AQ67" s="40">
        <v>4</v>
      </c>
      <c r="AR67" s="40">
        <v>3</v>
      </c>
      <c r="AS67" s="41">
        <f t="shared" si="13"/>
        <v>75</v>
      </c>
      <c r="AT67" s="10">
        <f t="shared" si="14"/>
        <v>41</v>
      </c>
      <c r="AU67" s="10">
        <f t="shared" si="14"/>
        <v>12</v>
      </c>
      <c r="AV67" s="26">
        <f t="shared" si="15"/>
        <v>29.268292682926827</v>
      </c>
      <c r="AW67" s="10">
        <f t="shared" si="16"/>
        <v>27</v>
      </c>
      <c r="AX67" s="10">
        <f t="shared" si="16"/>
        <v>9</v>
      </c>
      <c r="AY67" s="26">
        <f t="shared" si="17"/>
        <v>33.333333333333329</v>
      </c>
      <c r="AZ67" s="10">
        <f t="shared" si="18"/>
        <v>68</v>
      </c>
      <c r="BA67" s="10">
        <f t="shared" si="18"/>
        <v>21</v>
      </c>
      <c r="BB67" s="27">
        <f t="shared" si="19"/>
        <v>30.882352941176471</v>
      </c>
    </row>
    <row r="68" spans="1:54">
      <c r="A68" s="12">
        <v>62</v>
      </c>
      <c r="B68" s="13">
        <v>1230321061</v>
      </c>
      <c r="C68" s="14" t="s">
        <v>101</v>
      </c>
      <c r="D68" s="39">
        <v>4</v>
      </c>
      <c r="E68" s="39">
        <v>0</v>
      </c>
      <c r="F68" s="39">
        <f t="shared" si="0"/>
        <v>0</v>
      </c>
      <c r="G68" s="39">
        <v>2</v>
      </c>
      <c r="H68" s="39">
        <v>1</v>
      </c>
      <c r="I68" s="39">
        <f t="shared" si="1"/>
        <v>50</v>
      </c>
      <c r="J68" s="40">
        <v>7</v>
      </c>
      <c r="K68" s="40">
        <v>0</v>
      </c>
      <c r="L68" s="41">
        <f t="shared" si="2"/>
        <v>0</v>
      </c>
      <c r="M68" s="42">
        <v>7</v>
      </c>
      <c r="N68" s="40">
        <v>1</v>
      </c>
      <c r="O68" s="41">
        <f t="shared" si="3"/>
        <v>14.285714285714285</v>
      </c>
      <c r="P68" s="40">
        <v>7</v>
      </c>
      <c r="Q68" s="40">
        <v>0</v>
      </c>
      <c r="R68" s="41">
        <f t="shared" si="4"/>
        <v>0</v>
      </c>
      <c r="S68" s="42">
        <v>3</v>
      </c>
      <c r="T68" s="40">
        <v>0</v>
      </c>
      <c r="U68" s="41">
        <f t="shared" si="5"/>
        <v>0</v>
      </c>
      <c r="V68" s="39">
        <v>4</v>
      </c>
      <c r="W68" s="39">
        <v>1</v>
      </c>
      <c r="X68" s="41">
        <f t="shared" si="6"/>
        <v>25</v>
      </c>
      <c r="Y68" s="42">
        <v>2</v>
      </c>
      <c r="Z68" s="40">
        <v>0</v>
      </c>
      <c r="AA68" s="41">
        <f t="shared" si="7"/>
        <v>0</v>
      </c>
      <c r="AB68" s="40">
        <v>4</v>
      </c>
      <c r="AC68" s="40">
        <v>0</v>
      </c>
      <c r="AD68" s="41">
        <f t="shared" si="8"/>
        <v>0</v>
      </c>
      <c r="AE68" s="42">
        <v>4</v>
      </c>
      <c r="AF68" s="40">
        <v>0</v>
      </c>
      <c r="AG68" s="41">
        <f t="shared" si="9"/>
        <v>0</v>
      </c>
      <c r="AH68" s="40">
        <v>8</v>
      </c>
      <c r="AI68" s="40">
        <v>0</v>
      </c>
      <c r="AJ68" s="41">
        <f t="shared" si="10"/>
        <v>0</v>
      </c>
      <c r="AK68" s="42">
        <v>5</v>
      </c>
      <c r="AL68" s="40">
        <v>0</v>
      </c>
      <c r="AM68" s="41">
        <f t="shared" si="11"/>
        <v>0</v>
      </c>
      <c r="AN68" s="42">
        <v>7</v>
      </c>
      <c r="AO68" s="40">
        <v>0</v>
      </c>
      <c r="AP68" s="41">
        <f t="shared" si="12"/>
        <v>0</v>
      </c>
      <c r="AQ68" s="40">
        <v>4</v>
      </c>
      <c r="AR68" s="40">
        <v>0</v>
      </c>
      <c r="AS68" s="41">
        <f t="shared" si="13"/>
        <v>0</v>
      </c>
      <c r="AT68" s="10">
        <f t="shared" si="14"/>
        <v>41</v>
      </c>
      <c r="AU68" s="10">
        <f t="shared" si="14"/>
        <v>1</v>
      </c>
      <c r="AV68" s="26">
        <f t="shared" si="15"/>
        <v>2.4390243902439024</v>
      </c>
      <c r="AW68" s="10">
        <f t="shared" si="16"/>
        <v>27</v>
      </c>
      <c r="AX68" s="10">
        <f t="shared" si="16"/>
        <v>2</v>
      </c>
      <c r="AY68" s="26">
        <f t="shared" si="17"/>
        <v>7.4074074074074066</v>
      </c>
      <c r="AZ68" s="10">
        <f t="shared" si="18"/>
        <v>68</v>
      </c>
      <c r="BA68" s="10">
        <f t="shared" si="18"/>
        <v>3</v>
      </c>
      <c r="BB68" s="27">
        <f t="shared" si="19"/>
        <v>4.4117647058823533</v>
      </c>
    </row>
    <row r="69" spans="1:54">
      <c r="A69" s="12">
        <v>63</v>
      </c>
      <c r="B69" s="13">
        <v>1230321062</v>
      </c>
      <c r="C69" s="14" t="s">
        <v>83</v>
      </c>
      <c r="D69" s="39">
        <v>4</v>
      </c>
      <c r="E69" s="39">
        <v>1</v>
      </c>
      <c r="F69" s="39">
        <f t="shared" si="0"/>
        <v>25</v>
      </c>
      <c r="G69" s="39">
        <v>2</v>
      </c>
      <c r="H69" s="39">
        <v>0</v>
      </c>
      <c r="I69" s="39">
        <f t="shared" si="1"/>
        <v>0</v>
      </c>
      <c r="J69" s="40">
        <v>7</v>
      </c>
      <c r="K69" s="40">
        <v>2</v>
      </c>
      <c r="L69" s="41">
        <f t="shared" si="2"/>
        <v>28.571428571428569</v>
      </c>
      <c r="M69" s="42">
        <v>7</v>
      </c>
      <c r="N69" s="40">
        <v>2</v>
      </c>
      <c r="O69" s="41">
        <f t="shared" si="3"/>
        <v>28.571428571428569</v>
      </c>
      <c r="P69" s="40">
        <v>7</v>
      </c>
      <c r="Q69" s="40">
        <v>4</v>
      </c>
      <c r="R69" s="41">
        <f t="shared" si="4"/>
        <v>57.142857142857139</v>
      </c>
      <c r="S69" s="42">
        <v>3</v>
      </c>
      <c r="T69" s="40">
        <v>2</v>
      </c>
      <c r="U69" s="41">
        <f t="shared" si="5"/>
        <v>66.666666666666657</v>
      </c>
      <c r="V69" s="39">
        <v>4</v>
      </c>
      <c r="W69" s="39">
        <v>3</v>
      </c>
      <c r="X69" s="41">
        <f t="shared" si="6"/>
        <v>75</v>
      </c>
      <c r="Y69" s="42">
        <v>2</v>
      </c>
      <c r="Z69" s="40">
        <v>2</v>
      </c>
      <c r="AA69" s="41">
        <f t="shared" si="7"/>
        <v>100</v>
      </c>
      <c r="AB69" s="40">
        <v>4</v>
      </c>
      <c r="AC69" s="40">
        <v>3</v>
      </c>
      <c r="AD69" s="41">
        <f t="shared" si="8"/>
        <v>75</v>
      </c>
      <c r="AE69" s="42">
        <v>4</v>
      </c>
      <c r="AF69" s="40">
        <v>1</v>
      </c>
      <c r="AG69" s="41">
        <f t="shared" si="9"/>
        <v>25</v>
      </c>
      <c r="AH69" s="40">
        <v>8</v>
      </c>
      <c r="AI69" s="40">
        <v>4</v>
      </c>
      <c r="AJ69" s="41">
        <f t="shared" si="10"/>
        <v>50</v>
      </c>
      <c r="AK69" s="42">
        <v>5</v>
      </c>
      <c r="AL69" s="40">
        <v>3</v>
      </c>
      <c r="AM69" s="41">
        <f t="shared" si="11"/>
        <v>60</v>
      </c>
      <c r="AN69" s="42">
        <v>7</v>
      </c>
      <c r="AO69" s="40">
        <v>7</v>
      </c>
      <c r="AP69" s="41">
        <f t="shared" si="12"/>
        <v>100</v>
      </c>
      <c r="AQ69" s="40">
        <v>4</v>
      </c>
      <c r="AR69" s="40">
        <v>3</v>
      </c>
      <c r="AS69" s="41">
        <f t="shared" si="13"/>
        <v>75</v>
      </c>
      <c r="AT69" s="10">
        <f t="shared" si="14"/>
        <v>41</v>
      </c>
      <c r="AU69" s="10">
        <f t="shared" si="14"/>
        <v>24</v>
      </c>
      <c r="AV69" s="26">
        <f t="shared" si="15"/>
        <v>58.536585365853654</v>
      </c>
      <c r="AW69" s="10">
        <f t="shared" si="16"/>
        <v>27</v>
      </c>
      <c r="AX69" s="10">
        <f t="shared" si="16"/>
        <v>13</v>
      </c>
      <c r="AY69" s="26">
        <f t="shared" si="17"/>
        <v>48.148148148148145</v>
      </c>
      <c r="AZ69" s="10">
        <f t="shared" si="18"/>
        <v>68</v>
      </c>
      <c r="BA69" s="10">
        <f t="shared" si="18"/>
        <v>37</v>
      </c>
      <c r="BB69" s="27">
        <f t="shared" si="19"/>
        <v>54.411764705882348</v>
      </c>
    </row>
    <row r="70" spans="1:54">
      <c r="A70" s="12">
        <v>64</v>
      </c>
      <c r="B70" s="13">
        <v>1230321063</v>
      </c>
      <c r="C70" s="14" t="s">
        <v>84</v>
      </c>
      <c r="D70" s="39">
        <v>4</v>
      </c>
      <c r="E70" s="39">
        <v>1</v>
      </c>
      <c r="F70" s="39">
        <f t="shared" si="0"/>
        <v>25</v>
      </c>
      <c r="G70" s="39">
        <v>2</v>
      </c>
      <c r="H70" s="39">
        <v>1</v>
      </c>
      <c r="I70" s="39">
        <f t="shared" si="1"/>
        <v>50</v>
      </c>
      <c r="J70" s="40">
        <v>7</v>
      </c>
      <c r="K70" s="40">
        <v>3</v>
      </c>
      <c r="L70" s="41">
        <f t="shared" si="2"/>
        <v>42.857142857142854</v>
      </c>
      <c r="M70" s="42">
        <v>7</v>
      </c>
      <c r="N70" s="40">
        <v>2</v>
      </c>
      <c r="O70" s="41">
        <f t="shared" si="3"/>
        <v>28.571428571428569</v>
      </c>
      <c r="P70" s="40">
        <v>7</v>
      </c>
      <c r="Q70" s="40">
        <v>6</v>
      </c>
      <c r="R70" s="41">
        <f t="shared" si="4"/>
        <v>85.714285714285708</v>
      </c>
      <c r="S70" s="42">
        <v>3</v>
      </c>
      <c r="T70" s="40">
        <v>2</v>
      </c>
      <c r="U70" s="41">
        <f t="shared" si="5"/>
        <v>66.666666666666657</v>
      </c>
      <c r="V70" s="39">
        <v>4</v>
      </c>
      <c r="W70" s="39">
        <v>2</v>
      </c>
      <c r="X70" s="41">
        <f t="shared" si="6"/>
        <v>50</v>
      </c>
      <c r="Y70" s="42">
        <v>2</v>
      </c>
      <c r="Z70" s="40">
        <v>0</v>
      </c>
      <c r="AA70" s="41">
        <f t="shared" si="7"/>
        <v>0</v>
      </c>
      <c r="AB70" s="40">
        <v>4</v>
      </c>
      <c r="AC70" s="40">
        <v>4</v>
      </c>
      <c r="AD70" s="41">
        <f t="shared" si="8"/>
        <v>100</v>
      </c>
      <c r="AE70" s="42">
        <v>4</v>
      </c>
      <c r="AF70" s="40">
        <v>4</v>
      </c>
      <c r="AG70" s="41">
        <f t="shared" si="9"/>
        <v>100</v>
      </c>
      <c r="AH70" s="40">
        <v>8</v>
      </c>
      <c r="AI70" s="40">
        <v>6</v>
      </c>
      <c r="AJ70" s="41">
        <f t="shared" si="10"/>
        <v>75</v>
      </c>
      <c r="AK70" s="42">
        <v>5</v>
      </c>
      <c r="AL70" s="40">
        <v>5</v>
      </c>
      <c r="AM70" s="41">
        <f t="shared" si="11"/>
        <v>100</v>
      </c>
      <c r="AN70" s="42">
        <v>7</v>
      </c>
      <c r="AO70" s="40">
        <v>6</v>
      </c>
      <c r="AP70" s="41">
        <f t="shared" si="12"/>
        <v>85.714285714285708</v>
      </c>
      <c r="AQ70" s="40">
        <v>4</v>
      </c>
      <c r="AR70" s="40">
        <v>2</v>
      </c>
      <c r="AS70" s="41">
        <f t="shared" si="13"/>
        <v>50</v>
      </c>
      <c r="AT70" s="10">
        <f t="shared" si="14"/>
        <v>41</v>
      </c>
      <c r="AU70" s="10">
        <f t="shared" si="14"/>
        <v>28</v>
      </c>
      <c r="AV70" s="26">
        <f t="shared" si="15"/>
        <v>68.292682926829272</v>
      </c>
      <c r="AW70" s="10">
        <f t="shared" si="16"/>
        <v>27</v>
      </c>
      <c r="AX70" s="10">
        <f t="shared" si="16"/>
        <v>16</v>
      </c>
      <c r="AY70" s="26">
        <f t="shared" si="17"/>
        <v>59.259259259259252</v>
      </c>
      <c r="AZ70" s="10">
        <f t="shared" si="18"/>
        <v>68</v>
      </c>
      <c r="BA70" s="10">
        <f t="shared" si="18"/>
        <v>44</v>
      </c>
      <c r="BB70" s="27">
        <f t="shared" si="19"/>
        <v>64.705882352941174</v>
      </c>
    </row>
    <row r="71" spans="1:54">
      <c r="A71" s="12">
        <v>65</v>
      </c>
      <c r="B71" s="13">
        <v>1230321064</v>
      </c>
      <c r="C71" s="14" t="s">
        <v>102</v>
      </c>
      <c r="D71" s="39">
        <v>4</v>
      </c>
      <c r="E71" s="39">
        <v>1</v>
      </c>
      <c r="F71" s="39">
        <f t="shared" ref="F71:F88" si="20">E71/D71*100</f>
        <v>25</v>
      </c>
      <c r="G71" s="39">
        <v>2</v>
      </c>
      <c r="H71" s="39">
        <v>1</v>
      </c>
      <c r="I71" s="39">
        <f t="shared" ref="I71:I83" si="21">H71/G71*100</f>
        <v>50</v>
      </c>
      <c r="J71" s="40">
        <v>7</v>
      </c>
      <c r="K71" s="40">
        <v>3</v>
      </c>
      <c r="L71" s="41">
        <f t="shared" ref="L71:L88" si="22">K71/J71*100</f>
        <v>42.857142857142854</v>
      </c>
      <c r="M71" s="42">
        <v>7</v>
      </c>
      <c r="N71" s="40">
        <v>3</v>
      </c>
      <c r="O71" s="41">
        <f t="shared" ref="O71:O88" si="23">N71/M71*100</f>
        <v>42.857142857142854</v>
      </c>
      <c r="P71" s="40">
        <v>7</v>
      </c>
      <c r="Q71" s="40">
        <v>5</v>
      </c>
      <c r="R71" s="41">
        <f t="shared" ref="R71:R88" si="24">Q71/P71*100</f>
        <v>71.428571428571431</v>
      </c>
      <c r="S71" s="42">
        <v>3</v>
      </c>
      <c r="T71" s="40">
        <v>2</v>
      </c>
      <c r="U71" s="41">
        <f t="shared" ref="U71:U88" si="25">T71/S71*100</f>
        <v>66.666666666666657</v>
      </c>
      <c r="V71" s="39">
        <v>4</v>
      </c>
      <c r="W71" s="39">
        <v>2</v>
      </c>
      <c r="X71" s="41">
        <f t="shared" ref="X71:X88" si="26">W71/V71*100</f>
        <v>50</v>
      </c>
      <c r="Y71" s="42">
        <v>2</v>
      </c>
      <c r="Z71" s="40">
        <v>1</v>
      </c>
      <c r="AA71" s="41">
        <f t="shared" ref="AA71:AA88" si="27">Z71/Y71*100</f>
        <v>50</v>
      </c>
      <c r="AB71" s="40">
        <v>4</v>
      </c>
      <c r="AC71" s="40">
        <v>4</v>
      </c>
      <c r="AD71" s="41">
        <f t="shared" ref="AD71:AD88" si="28">AC71/AB71*100</f>
        <v>100</v>
      </c>
      <c r="AE71" s="42">
        <v>4</v>
      </c>
      <c r="AF71" s="40">
        <v>2</v>
      </c>
      <c r="AG71" s="41">
        <f t="shared" ref="AG71:AG88" si="29">AF71/AE71*100</f>
        <v>50</v>
      </c>
      <c r="AH71" s="40">
        <v>8</v>
      </c>
      <c r="AI71" s="40">
        <v>4</v>
      </c>
      <c r="AJ71" s="41">
        <f t="shared" ref="AJ71:AJ88" si="30">AI71/AH71*100</f>
        <v>50</v>
      </c>
      <c r="AK71" s="42">
        <v>5</v>
      </c>
      <c r="AL71" s="40">
        <v>4</v>
      </c>
      <c r="AM71" s="41">
        <f t="shared" ref="AM71:AM88" si="31">AL71/AK71*100</f>
        <v>80</v>
      </c>
      <c r="AN71" s="42">
        <v>7</v>
      </c>
      <c r="AO71" s="40">
        <v>4</v>
      </c>
      <c r="AP71" s="41">
        <f t="shared" ref="AP71:AP88" si="32">AO71/AN71*100</f>
        <v>57.142857142857139</v>
      </c>
      <c r="AQ71" s="40">
        <v>4</v>
      </c>
      <c r="AR71" s="40">
        <v>2</v>
      </c>
      <c r="AS71" s="41">
        <f t="shared" ref="AS71:AS88" si="33">AR71/AQ71*100</f>
        <v>50</v>
      </c>
      <c r="AT71" s="10">
        <f t="shared" si="14"/>
        <v>41</v>
      </c>
      <c r="AU71" s="10">
        <f t="shared" si="14"/>
        <v>23</v>
      </c>
      <c r="AV71" s="26">
        <f t="shared" si="15"/>
        <v>56.09756097560976</v>
      </c>
      <c r="AW71" s="10">
        <f t="shared" si="16"/>
        <v>27</v>
      </c>
      <c r="AX71" s="10">
        <f t="shared" si="16"/>
        <v>15</v>
      </c>
      <c r="AY71" s="26">
        <f t="shared" si="17"/>
        <v>55.555555555555557</v>
      </c>
      <c r="AZ71" s="10">
        <f t="shared" si="18"/>
        <v>68</v>
      </c>
      <c r="BA71" s="10">
        <f t="shared" si="18"/>
        <v>38</v>
      </c>
      <c r="BB71" s="27">
        <f t="shared" si="19"/>
        <v>55.882352941176471</v>
      </c>
    </row>
    <row r="72" spans="1:54">
      <c r="A72" s="12">
        <v>66</v>
      </c>
      <c r="B72" s="13">
        <v>1230321065</v>
      </c>
      <c r="C72" s="14" t="s">
        <v>85</v>
      </c>
      <c r="D72" s="39">
        <v>4</v>
      </c>
      <c r="E72" s="39">
        <v>2</v>
      </c>
      <c r="F72" s="39">
        <f t="shared" si="20"/>
        <v>50</v>
      </c>
      <c r="G72" s="39">
        <v>2</v>
      </c>
      <c r="H72" s="39">
        <v>1</v>
      </c>
      <c r="I72" s="39">
        <f t="shared" si="21"/>
        <v>50</v>
      </c>
      <c r="J72" s="40">
        <v>7</v>
      </c>
      <c r="K72" s="40">
        <v>2</v>
      </c>
      <c r="L72" s="41">
        <f t="shared" si="22"/>
        <v>28.571428571428569</v>
      </c>
      <c r="M72" s="42">
        <v>7</v>
      </c>
      <c r="N72" s="40">
        <v>3</v>
      </c>
      <c r="O72" s="41">
        <f t="shared" si="23"/>
        <v>42.857142857142854</v>
      </c>
      <c r="P72" s="40">
        <v>7</v>
      </c>
      <c r="Q72" s="40">
        <v>6</v>
      </c>
      <c r="R72" s="41">
        <f t="shared" si="24"/>
        <v>85.714285714285708</v>
      </c>
      <c r="S72" s="42">
        <v>3</v>
      </c>
      <c r="T72" s="40">
        <v>2</v>
      </c>
      <c r="U72" s="41">
        <f t="shared" si="25"/>
        <v>66.666666666666657</v>
      </c>
      <c r="V72" s="39">
        <v>4</v>
      </c>
      <c r="W72" s="39">
        <v>3</v>
      </c>
      <c r="X72" s="41">
        <f t="shared" si="26"/>
        <v>75</v>
      </c>
      <c r="Y72" s="42">
        <v>2</v>
      </c>
      <c r="Z72" s="40">
        <v>1</v>
      </c>
      <c r="AA72" s="41">
        <f t="shared" si="27"/>
        <v>50</v>
      </c>
      <c r="AB72" s="40">
        <v>4</v>
      </c>
      <c r="AC72" s="40">
        <v>0</v>
      </c>
      <c r="AD72" s="41">
        <f t="shared" si="28"/>
        <v>0</v>
      </c>
      <c r="AE72" s="42">
        <v>4</v>
      </c>
      <c r="AF72" s="40">
        <v>0</v>
      </c>
      <c r="AG72" s="41">
        <f t="shared" si="29"/>
        <v>0</v>
      </c>
      <c r="AH72" s="40">
        <v>8</v>
      </c>
      <c r="AI72" s="40">
        <v>1</v>
      </c>
      <c r="AJ72" s="41">
        <f t="shared" si="30"/>
        <v>12.5</v>
      </c>
      <c r="AK72" s="42">
        <v>5</v>
      </c>
      <c r="AL72" s="40">
        <v>3</v>
      </c>
      <c r="AM72" s="41">
        <f t="shared" si="31"/>
        <v>60</v>
      </c>
      <c r="AN72" s="42">
        <v>7</v>
      </c>
      <c r="AO72" s="40">
        <v>5</v>
      </c>
      <c r="AP72" s="41">
        <f t="shared" si="32"/>
        <v>71.428571428571431</v>
      </c>
      <c r="AQ72" s="40">
        <v>4</v>
      </c>
      <c r="AR72" s="40">
        <v>2</v>
      </c>
      <c r="AS72" s="41">
        <f t="shared" si="33"/>
        <v>50</v>
      </c>
      <c r="AT72" s="10">
        <f t="shared" ref="AT72:AU87" si="34">SUM(D72,J72,P72,V72,AB72,AH72,AN72)</f>
        <v>41</v>
      </c>
      <c r="AU72" s="10">
        <f t="shared" si="34"/>
        <v>19</v>
      </c>
      <c r="AV72" s="26">
        <f t="shared" ref="AV72:AV88" si="35">AU72/AT72*100</f>
        <v>46.341463414634148</v>
      </c>
      <c r="AW72" s="10">
        <f t="shared" ref="AW72:AX87" si="36">SUM(G72,M72,S72,Y72,AE72,AK72,AQ72)</f>
        <v>27</v>
      </c>
      <c r="AX72" s="10">
        <f t="shared" si="36"/>
        <v>12</v>
      </c>
      <c r="AY72" s="26">
        <f t="shared" ref="AY72:AY88" si="37">AX72/AW72*100</f>
        <v>44.444444444444443</v>
      </c>
      <c r="AZ72" s="10">
        <f t="shared" ref="AZ72:BA87" si="38">SUM(AT72,AW72)</f>
        <v>68</v>
      </c>
      <c r="BA72" s="10">
        <f t="shared" si="38"/>
        <v>31</v>
      </c>
      <c r="BB72" s="27">
        <f t="shared" ref="BB72:BB88" si="39">BA72/AZ72*100</f>
        <v>45.588235294117645</v>
      </c>
    </row>
    <row r="73" spans="1:54">
      <c r="A73" s="12">
        <v>67</v>
      </c>
      <c r="B73" s="13">
        <v>1230321066</v>
      </c>
      <c r="C73" s="14" t="s">
        <v>86</v>
      </c>
      <c r="D73" s="39">
        <v>4</v>
      </c>
      <c r="E73" s="39">
        <v>2</v>
      </c>
      <c r="F73" s="39">
        <f t="shared" si="20"/>
        <v>50</v>
      </c>
      <c r="G73" s="39">
        <v>2</v>
      </c>
      <c r="H73" s="39">
        <v>0</v>
      </c>
      <c r="I73" s="39">
        <f t="shared" si="21"/>
        <v>0</v>
      </c>
      <c r="J73" s="40">
        <v>7</v>
      </c>
      <c r="K73" s="40">
        <v>4</v>
      </c>
      <c r="L73" s="41">
        <f t="shared" si="22"/>
        <v>57.142857142857139</v>
      </c>
      <c r="M73" s="42">
        <v>7</v>
      </c>
      <c r="N73" s="40">
        <v>2</v>
      </c>
      <c r="O73" s="41">
        <f t="shared" si="23"/>
        <v>28.571428571428569</v>
      </c>
      <c r="P73" s="40">
        <v>7</v>
      </c>
      <c r="Q73" s="40">
        <v>5</v>
      </c>
      <c r="R73" s="41">
        <f t="shared" si="24"/>
        <v>71.428571428571431</v>
      </c>
      <c r="S73" s="42">
        <v>3</v>
      </c>
      <c r="T73" s="40">
        <v>2</v>
      </c>
      <c r="U73" s="41">
        <f t="shared" si="25"/>
        <v>66.666666666666657</v>
      </c>
      <c r="V73" s="39">
        <v>4</v>
      </c>
      <c r="W73" s="39">
        <v>3</v>
      </c>
      <c r="X73" s="41">
        <f t="shared" si="26"/>
        <v>75</v>
      </c>
      <c r="Y73" s="42">
        <v>2</v>
      </c>
      <c r="Z73" s="40">
        <v>0</v>
      </c>
      <c r="AA73" s="41">
        <f t="shared" si="27"/>
        <v>0</v>
      </c>
      <c r="AB73" s="40">
        <v>4</v>
      </c>
      <c r="AC73" s="40">
        <v>1</v>
      </c>
      <c r="AD73" s="41">
        <f t="shared" si="28"/>
        <v>25</v>
      </c>
      <c r="AE73" s="42">
        <v>4</v>
      </c>
      <c r="AF73" s="40">
        <v>1</v>
      </c>
      <c r="AG73" s="41">
        <f t="shared" si="29"/>
        <v>25</v>
      </c>
      <c r="AH73" s="40">
        <v>8</v>
      </c>
      <c r="AI73" s="40">
        <v>4</v>
      </c>
      <c r="AJ73" s="41">
        <f t="shared" si="30"/>
        <v>50</v>
      </c>
      <c r="AK73" s="42">
        <v>4</v>
      </c>
      <c r="AL73" s="40">
        <v>4</v>
      </c>
      <c r="AM73" s="41">
        <f t="shared" si="31"/>
        <v>100</v>
      </c>
      <c r="AN73" s="42">
        <v>7</v>
      </c>
      <c r="AO73" s="40">
        <v>7</v>
      </c>
      <c r="AP73" s="41">
        <f t="shared" si="32"/>
        <v>100</v>
      </c>
      <c r="AQ73" s="40">
        <v>4</v>
      </c>
      <c r="AR73" s="40">
        <v>3</v>
      </c>
      <c r="AS73" s="41">
        <f t="shared" si="33"/>
        <v>75</v>
      </c>
      <c r="AT73" s="10">
        <f t="shared" si="34"/>
        <v>41</v>
      </c>
      <c r="AU73" s="10">
        <f t="shared" si="34"/>
        <v>26</v>
      </c>
      <c r="AV73" s="26">
        <f t="shared" si="35"/>
        <v>63.414634146341463</v>
      </c>
      <c r="AW73" s="10">
        <f t="shared" si="36"/>
        <v>26</v>
      </c>
      <c r="AX73" s="10">
        <f t="shared" si="36"/>
        <v>12</v>
      </c>
      <c r="AY73" s="26">
        <f t="shared" si="37"/>
        <v>46.153846153846153</v>
      </c>
      <c r="AZ73" s="10">
        <f t="shared" si="38"/>
        <v>67</v>
      </c>
      <c r="BA73" s="10">
        <f t="shared" si="38"/>
        <v>38</v>
      </c>
      <c r="BB73" s="27">
        <f t="shared" si="39"/>
        <v>56.71641791044776</v>
      </c>
    </row>
    <row r="74" spans="1:54">
      <c r="A74" s="12">
        <v>68</v>
      </c>
      <c r="B74" s="13">
        <v>1230321067</v>
      </c>
      <c r="C74" s="14" t="s">
        <v>87</v>
      </c>
      <c r="D74" s="39">
        <v>4</v>
      </c>
      <c r="E74" s="39">
        <v>3</v>
      </c>
      <c r="F74" s="39">
        <f t="shared" si="20"/>
        <v>75</v>
      </c>
      <c r="G74" s="39">
        <v>2</v>
      </c>
      <c r="H74" s="39">
        <v>0</v>
      </c>
      <c r="I74" s="39">
        <f t="shared" si="21"/>
        <v>0</v>
      </c>
      <c r="J74" s="40">
        <v>7</v>
      </c>
      <c r="K74" s="40">
        <v>5</v>
      </c>
      <c r="L74" s="41">
        <f t="shared" si="22"/>
        <v>71.428571428571431</v>
      </c>
      <c r="M74" s="42">
        <v>7</v>
      </c>
      <c r="N74" s="40">
        <v>4</v>
      </c>
      <c r="O74" s="41">
        <f t="shared" si="23"/>
        <v>57.142857142857139</v>
      </c>
      <c r="P74" s="40">
        <v>7</v>
      </c>
      <c r="Q74" s="40">
        <v>5</v>
      </c>
      <c r="R74" s="41">
        <f t="shared" si="24"/>
        <v>71.428571428571431</v>
      </c>
      <c r="S74" s="42">
        <v>3</v>
      </c>
      <c r="T74" s="40">
        <v>2</v>
      </c>
      <c r="U74" s="41">
        <f t="shared" si="25"/>
        <v>66.666666666666657</v>
      </c>
      <c r="V74" s="39">
        <v>4</v>
      </c>
      <c r="W74" s="39">
        <v>3</v>
      </c>
      <c r="X74" s="41">
        <f t="shared" si="26"/>
        <v>75</v>
      </c>
      <c r="Y74" s="42">
        <v>2</v>
      </c>
      <c r="Z74" s="40">
        <v>2</v>
      </c>
      <c r="AA74" s="41">
        <f t="shared" si="27"/>
        <v>100</v>
      </c>
      <c r="AB74" s="40">
        <v>4</v>
      </c>
      <c r="AC74" s="40">
        <v>3</v>
      </c>
      <c r="AD74" s="41">
        <f t="shared" si="28"/>
        <v>75</v>
      </c>
      <c r="AE74" s="42">
        <v>4</v>
      </c>
      <c r="AF74" s="40">
        <v>4</v>
      </c>
      <c r="AG74" s="41">
        <f t="shared" si="29"/>
        <v>100</v>
      </c>
      <c r="AH74" s="40">
        <v>8</v>
      </c>
      <c r="AI74" s="40">
        <v>6</v>
      </c>
      <c r="AJ74" s="41">
        <f t="shared" si="30"/>
        <v>75</v>
      </c>
      <c r="AK74" s="42">
        <v>5</v>
      </c>
      <c r="AL74" s="40">
        <v>4</v>
      </c>
      <c r="AM74" s="41">
        <f t="shared" si="31"/>
        <v>80</v>
      </c>
      <c r="AN74" s="42">
        <v>7</v>
      </c>
      <c r="AO74" s="40">
        <v>7</v>
      </c>
      <c r="AP74" s="41">
        <f t="shared" si="32"/>
        <v>100</v>
      </c>
      <c r="AQ74" s="40">
        <v>4</v>
      </c>
      <c r="AR74" s="40">
        <v>4</v>
      </c>
      <c r="AS74" s="41">
        <f t="shared" si="33"/>
        <v>100</v>
      </c>
      <c r="AT74" s="10">
        <f t="shared" si="34"/>
        <v>41</v>
      </c>
      <c r="AU74" s="10">
        <f t="shared" si="34"/>
        <v>32</v>
      </c>
      <c r="AV74" s="26">
        <f t="shared" si="35"/>
        <v>78.048780487804876</v>
      </c>
      <c r="AW74" s="10">
        <f t="shared" si="36"/>
        <v>27</v>
      </c>
      <c r="AX74" s="10">
        <f t="shared" si="36"/>
        <v>20</v>
      </c>
      <c r="AY74" s="26">
        <f t="shared" si="37"/>
        <v>74.074074074074076</v>
      </c>
      <c r="AZ74" s="10">
        <f t="shared" si="38"/>
        <v>68</v>
      </c>
      <c r="BA74" s="10">
        <f t="shared" si="38"/>
        <v>52</v>
      </c>
      <c r="BB74" s="27">
        <f t="shared" si="39"/>
        <v>76.470588235294116</v>
      </c>
    </row>
    <row r="75" spans="1:54">
      <c r="A75" s="12">
        <v>69</v>
      </c>
      <c r="B75" s="13">
        <v>1230321068</v>
      </c>
      <c r="C75" s="14" t="s">
        <v>88</v>
      </c>
      <c r="D75" s="39">
        <v>4</v>
      </c>
      <c r="E75" s="39">
        <v>2</v>
      </c>
      <c r="F75" s="39">
        <f t="shared" si="20"/>
        <v>50</v>
      </c>
      <c r="G75" s="39">
        <v>2</v>
      </c>
      <c r="H75" s="39">
        <v>1</v>
      </c>
      <c r="I75" s="39">
        <f t="shared" si="21"/>
        <v>50</v>
      </c>
      <c r="J75" s="40">
        <v>7</v>
      </c>
      <c r="K75" s="40">
        <v>4</v>
      </c>
      <c r="L75" s="41">
        <f t="shared" si="22"/>
        <v>57.142857142857139</v>
      </c>
      <c r="M75" s="42">
        <v>7</v>
      </c>
      <c r="N75" s="40">
        <v>3</v>
      </c>
      <c r="O75" s="41">
        <f t="shared" si="23"/>
        <v>42.857142857142854</v>
      </c>
      <c r="P75" s="40">
        <v>7</v>
      </c>
      <c r="Q75" s="40">
        <v>4</v>
      </c>
      <c r="R75" s="41">
        <f t="shared" si="24"/>
        <v>57.142857142857139</v>
      </c>
      <c r="S75" s="42">
        <v>3</v>
      </c>
      <c r="T75" s="40">
        <v>2</v>
      </c>
      <c r="U75" s="41">
        <f t="shared" si="25"/>
        <v>66.666666666666657</v>
      </c>
      <c r="V75" s="39">
        <v>4</v>
      </c>
      <c r="W75" s="39">
        <v>3</v>
      </c>
      <c r="X75" s="41">
        <f t="shared" si="26"/>
        <v>75</v>
      </c>
      <c r="Y75" s="42">
        <v>2</v>
      </c>
      <c r="Z75" s="40">
        <v>1</v>
      </c>
      <c r="AA75" s="41">
        <f t="shared" si="27"/>
        <v>50</v>
      </c>
      <c r="AB75" s="40">
        <v>4</v>
      </c>
      <c r="AC75" s="40">
        <v>4</v>
      </c>
      <c r="AD75" s="41">
        <f t="shared" si="28"/>
        <v>100</v>
      </c>
      <c r="AE75" s="42">
        <v>4</v>
      </c>
      <c r="AF75" s="40">
        <v>3</v>
      </c>
      <c r="AG75" s="41">
        <f t="shared" si="29"/>
        <v>75</v>
      </c>
      <c r="AH75" s="40">
        <v>8</v>
      </c>
      <c r="AI75" s="40">
        <v>4</v>
      </c>
      <c r="AJ75" s="41">
        <f t="shared" si="30"/>
        <v>50</v>
      </c>
      <c r="AK75" s="42">
        <v>5</v>
      </c>
      <c r="AL75" s="40">
        <v>4</v>
      </c>
      <c r="AM75" s="41">
        <f t="shared" si="31"/>
        <v>80</v>
      </c>
      <c r="AN75" s="42">
        <v>7</v>
      </c>
      <c r="AO75" s="40">
        <v>5</v>
      </c>
      <c r="AP75" s="41">
        <f t="shared" si="32"/>
        <v>71.428571428571431</v>
      </c>
      <c r="AQ75" s="40">
        <v>4</v>
      </c>
      <c r="AR75" s="40">
        <v>3</v>
      </c>
      <c r="AS75" s="41">
        <f t="shared" si="33"/>
        <v>75</v>
      </c>
      <c r="AT75" s="10">
        <f t="shared" si="34"/>
        <v>41</v>
      </c>
      <c r="AU75" s="10">
        <f t="shared" si="34"/>
        <v>26</v>
      </c>
      <c r="AV75" s="26">
        <f t="shared" si="35"/>
        <v>63.414634146341463</v>
      </c>
      <c r="AW75" s="10">
        <f t="shared" si="36"/>
        <v>27</v>
      </c>
      <c r="AX75" s="10">
        <f t="shared" si="36"/>
        <v>17</v>
      </c>
      <c r="AY75" s="26">
        <f t="shared" si="37"/>
        <v>62.962962962962962</v>
      </c>
      <c r="AZ75" s="10">
        <f t="shared" si="38"/>
        <v>68</v>
      </c>
      <c r="BA75" s="10">
        <f t="shared" si="38"/>
        <v>43</v>
      </c>
      <c r="BB75" s="27">
        <f t="shared" si="39"/>
        <v>63.235294117647058</v>
      </c>
    </row>
    <row r="76" spans="1:54">
      <c r="A76" s="12">
        <v>70</v>
      </c>
      <c r="B76" s="13">
        <v>1230321069</v>
      </c>
      <c r="C76" s="14" t="s">
        <v>89</v>
      </c>
      <c r="D76" s="39">
        <v>4</v>
      </c>
      <c r="E76" s="39">
        <v>2</v>
      </c>
      <c r="F76" s="39">
        <f t="shared" si="20"/>
        <v>50</v>
      </c>
      <c r="G76" s="39">
        <v>2</v>
      </c>
      <c r="H76" s="39">
        <v>0</v>
      </c>
      <c r="I76" s="39">
        <f t="shared" si="21"/>
        <v>0</v>
      </c>
      <c r="J76" s="40">
        <v>7</v>
      </c>
      <c r="K76" s="40">
        <v>4</v>
      </c>
      <c r="L76" s="41">
        <f t="shared" si="22"/>
        <v>57.142857142857139</v>
      </c>
      <c r="M76" s="42">
        <v>7</v>
      </c>
      <c r="N76" s="40">
        <v>5</v>
      </c>
      <c r="O76" s="41">
        <f t="shared" si="23"/>
        <v>71.428571428571431</v>
      </c>
      <c r="P76" s="40">
        <v>7</v>
      </c>
      <c r="Q76" s="40">
        <v>4</v>
      </c>
      <c r="R76" s="41">
        <f t="shared" si="24"/>
        <v>57.142857142857139</v>
      </c>
      <c r="S76" s="42">
        <v>3</v>
      </c>
      <c r="T76" s="40">
        <v>2</v>
      </c>
      <c r="U76" s="41">
        <f t="shared" si="25"/>
        <v>66.666666666666657</v>
      </c>
      <c r="V76" s="39">
        <v>4</v>
      </c>
      <c r="W76" s="39">
        <v>2</v>
      </c>
      <c r="X76" s="41">
        <f t="shared" si="26"/>
        <v>50</v>
      </c>
      <c r="Y76" s="42">
        <v>2</v>
      </c>
      <c r="Z76" s="40">
        <v>0</v>
      </c>
      <c r="AA76" s="41">
        <f t="shared" si="27"/>
        <v>0</v>
      </c>
      <c r="AB76" s="40">
        <v>4</v>
      </c>
      <c r="AC76" s="40">
        <v>3</v>
      </c>
      <c r="AD76" s="41">
        <f t="shared" si="28"/>
        <v>75</v>
      </c>
      <c r="AE76" s="42">
        <v>4</v>
      </c>
      <c r="AF76" s="40">
        <v>2</v>
      </c>
      <c r="AG76" s="41">
        <f t="shared" si="29"/>
        <v>50</v>
      </c>
      <c r="AH76" s="40">
        <v>8</v>
      </c>
      <c r="AI76" s="40">
        <v>5</v>
      </c>
      <c r="AJ76" s="41">
        <f t="shared" si="30"/>
        <v>62.5</v>
      </c>
      <c r="AK76" s="42">
        <v>5</v>
      </c>
      <c r="AL76" s="40">
        <v>4</v>
      </c>
      <c r="AM76" s="41">
        <f t="shared" si="31"/>
        <v>80</v>
      </c>
      <c r="AN76" s="42">
        <v>7</v>
      </c>
      <c r="AO76" s="40">
        <v>5</v>
      </c>
      <c r="AP76" s="41">
        <f t="shared" si="32"/>
        <v>71.428571428571431</v>
      </c>
      <c r="AQ76" s="40">
        <v>4</v>
      </c>
      <c r="AR76" s="40">
        <v>2</v>
      </c>
      <c r="AS76" s="41">
        <f t="shared" si="33"/>
        <v>50</v>
      </c>
      <c r="AT76" s="10">
        <f t="shared" si="34"/>
        <v>41</v>
      </c>
      <c r="AU76" s="10">
        <f t="shared" si="34"/>
        <v>25</v>
      </c>
      <c r="AV76" s="26">
        <f t="shared" si="35"/>
        <v>60.975609756097562</v>
      </c>
      <c r="AW76" s="10">
        <f t="shared" si="36"/>
        <v>27</v>
      </c>
      <c r="AX76" s="10">
        <f t="shared" si="36"/>
        <v>15</v>
      </c>
      <c r="AY76" s="26">
        <f t="shared" si="37"/>
        <v>55.555555555555557</v>
      </c>
      <c r="AZ76" s="10">
        <f t="shared" si="38"/>
        <v>68</v>
      </c>
      <c r="BA76" s="10">
        <f t="shared" si="38"/>
        <v>40</v>
      </c>
      <c r="BB76" s="27">
        <f t="shared" si="39"/>
        <v>58.82352941176471</v>
      </c>
    </row>
    <row r="77" spans="1:54">
      <c r="A77" s="12">
        <v>71</v>
      </c>
      <c r="B77" s="13">
        <v>1230321070</v>
      </c>
      <c r="C77" s="14" t="s">
        <v>90</v>
      </c>
      <c r="D77" s="39">
        <v>4</v>
      </c>
      <c r="E77" s="39">
        <v>1</v>
      </c>
      <c r="F77" s="39">
        <f t="shared" si="20"/>
        <v>25</v>
      </c>
      <c r="G77" s="39">
        <v>2</v>
      </c>
      <c r="H77" s="39">
        <v>0</v>
      </c>
      <c r="I77" s="39">
        <f t="shared" si="21"/>
        <v>0</v>
      </c>
      <c r="J77" s="40">
        <v>7</v>
      </c>
      <c r="K77" s="40">
        <v>3</v>
      </c>
      <c r="L77" s="41">
        <f t="shared" si="22"/>
        <v>42.857142857142854</v>
      </c>
      <c r="M77" s="42">
        <v>7</v>
      </c>
      <c r="N77" s="40">
        <v>0</v>
      </c>
      <c r="O77" s="41">
        <f t="shared" si="23"/>
        <v>0</v>
      </c>
      <c r="P77" s="40">
        <v>7</v>
      </c>
      <c r="Q77" s="40">
        <v>5</v>
      </c>
      <c r="R77" s="41">
        <f t="shared" si="24"/>
        <v>71.428571428571431</v>
      </c>
      <c r="S77" s="42">
        <v>3</v>
      </c>
      <c r="T77" s="40">
        <v>0</v>
      </c>
      <c r="U77" s="41">
        <f t="shared" si="25"/>
        <v>0</v>
      </c>
      <c r="V77" s="39">
        <v>4</v>
      </c>
      <c r="W77" s="39">
        <v>2</v>
      </c>
      <c r="X77" s="41">
        <f t="shared" si="26"/>
        <v>50</v>
      </c>
      <c r="Y77" s="42">
        <v>2</v>
      </c>
      <c r="Z77" s="40">
        <v>0</v>
      </c>
      <c r="AA77" s="41">
        <f t="shared" si="27"/>
        <v>0</v>
      </c>
      <c r="AB77" s="40">
        <v>4</v>
      </c>
      <c r="AC77" s="40">
        <v>3</v>
      </c>
      <c r="AD77" s="41">
        <f t="shared" si="28"/>
        <v>75</v>
      </c>
      <c r="AE77" s="42">
        <v>4</v>
      </c>
      <c r="AF77" s="40">
        <v>0</v>
      </c>
      <c r="AG77" s="41">
        <f t="shared" si="29"/>
        <v>0</v>
      </c>
      <c r="AH77" s="40">
        <v>8</v>
      </c>
      <c r="AI77" s="40">
        <v>4</v>
      </c>
      <c r="AJ77" s="41">
        <f t="shared" si="30"/>
        <v>50</v>
      </c>
      <c r="AK77" s="42">
        <v>5</v>
      </c>
      <c r="AL77" s="40">
        <v>2</v>
      </c>
      <c r="AM77" s="41">
        <f t="shared" si="31"/>
        <v>40</v>
      </c>
      <c r="AN77" s="42">
        <v>7</v>
      </c>
      <c r="AO77" s="40">
        <v>5</v>
      </c>
      <c r="AP77" s="41">
        <f t="shared" si="32"/>
        <v>71.428571428571431</v>
      </c>
      <c r="AQ77" s="40">
        <v>4</v>
      </c>
      <c r="AR77" s="40">
        <v>3</v>
      </c>
      <c r="AS77" s="41">
        <f t="shared" si="33"/>
        <v>75</v>
      </c>
      <c r="AT77" s="10">
        <f t="shared" si="34"/>
        <v>41</v>
      </c>
      <c r="AU77" s="10">
        <f t="shared" si="34"/>
        <v>23</v>
      </c>
      <c r="AV77" s="26">
        <f t="shared" si="35"/>
        <v>56.09756097560976</v>
      </c>
      <c r="AW77" s="10">
        <f t="shared" si="36"/>
        <v>27</v>
      </c>
      <c r="AX77" s="10">
        <f t="shared" si="36"/>
        <v>5</v>
      </c>
      <c r="AY77" s="26">
        <f t="shared" si="37"/>
        <v>18.518518518518519</v>
      </c>
      <c r="AZ77" s="10">
        <f t="shared" si="38"/>
        <v>68</v>
      </c>
      <c r="BA77" s="10">
        <f t="shared" si="38"/>
        <v>28</v>
      </c>
      <c r="BB77" s="27">
        <f t="shared" si="39"/>
        <v>41.17647058823529</v>
      </c>
    </row>
    <row r="78" spans="1:54">
      <c r="A78" s="12">
        <v>72</v>
      </c>
      <c r="B78" s="13">
        <v>1230321071</v>
      </c>
      <c r="C78" s="14" t="s">
        <v>91</v>
      </c>
      <c r="D78" s="39">
        <v>4</v>
      </c>
      <c r="E78" s="39">
        <v>0</v>
      </c>
      <c r="F78" s="39">
        <f t="shared" si="20"/>
        <v>0</v>
      </c>
      <c r="G78" s="39">
        <v>2</v>
      </c>
      <c r="H78" s="39">
        <v>1</v>
      </c>
      <c r="I78" s="39">
        <f t="shared" si="21"/>
        <v>50</v>
      </c>
      <c r="J78" s="40">
        <v>7</v>
      </c>
      <c r="K78" s="40">
        <v>3</v>
      </c>
      <c r="L78" s="41">
        <f t="shared" si="22"/>
        <v>42.857142857142854</v>
      </c>
      <c r="M78" s="42">
        <v>7</v>
      </c>
      <c r="N78" s="40">
        <v>3</v>
      </c>
      <c r="O78" s="41">
        <f t="shared" si="23"/>
        <v>42.857142857142854</v>
      </c>
      <c r="P78" s="40">
        <v>7</v>
      </c>
      <c r="Q78" s="40">
        <v>4</v>
      </c>
      <c r="R78" s="41">
        <f t="shared" si="24"/>
        <v>57.142857142857139</v>
      </c>
      <c r="S78" s="42">
        <v>3</v>
      </c>
      <c r="T78" s="40">
        <v>2</v>
      </c>
      <c r="U78" s="41">
        <f t="shared" si="25"/>
        <v>66.666666666666657</v>
      </c>
      <c r="V78" s="39">
        <v>4</v>
      </c>
      <c r="W78" s="39">
        <v>1</v>
      </c>
      <c r="X78" s="41">
        <f t="shared" si="26"/>
        <v>25</v>
      </c>
      <c r="Y78" s="42">
        <v>2</v>
      </c>
      <c r="Z78" s="40">
        <v>0</v>
      </c>
      <c r="AA78" s="41">
        <f t="shared" si="27"/>
        <v>0</v>
      </c>
      <c r="AB78" s="40">
        <v>4</v>
      </c>
      <c r="AC78" s="40">
        <v>3</v>
      </c>
      <c r="AD78" s="41">
        <f t="shared" si="28"/>
        <v>75</v>
      </c>
      <c r="AE78" s="42">
        <v>4</v>
      </c>
      <c r="AF78" s="40">
        <v>2</v>
      </c>
      <c r="AG78" s="41">
        <f t="shared" si="29"/>
        <v>50</v>
      </c>
      <c r="AH78" s="40">
        <v>8</v>
      </c>
      <c r="AI78" s="40">
        <v>5</v>
      </c>
      <c r="AJ78" s="41">
        <f t="shared" si="30"/>
        <v>62.5</v>
      </c>
      <c r="AK78" s="42">
        <v>5</v>
      </c>
      <c r="AL78" s="40">
        <v>4</v>
      </c>
      <c r="AM78" s="41">
        <f t="shared" si="31"/>
        <v>80</v>
      </c>
      <c r="AN78" s="42">
        <v>7</v>
      </c>
      <c r="AO78" s="40">
        <v>3</v>
      </c>
      <c r="AP78" s="41">
        <f t="shared" si="32"/>
        <v>42.857142857142854</v>
      </c>
      <c r="AQ78" s="40">
        <v>4</v>
      </c>
      <c r="AR78" s="40">
        <v>2</v>
      </c>
      <c r="AS78" s="41">
        <f t="shared" si="33"/>
        <v>50</v>
      </c>
      <c r="AT78" s="10">
        <f t="shared" si="34"/>
        <v>41</v>
      </c>
      <c r="AU78" s="10">
        <f t="shared" si="34"/>
        <v>19</v>
      </c>
      <c r="AV78" s="26">
        <f t="shared" si="35"/>
        <v>46.341463414634148</v>
      </c>
      <c r="AW78" s="10">
        <f t="shared" si="36"/>
        <v>27</v>
      </c>
      <c r="AX78" s="10">
        <f t="shared" si="36"/>
        <v>14</v>
      </c>
      <c r="AY78" s="26">
        <f t="shared" si="37"/>
        <v>51.851851851851848</v>
      </c>
      <c r="AZ78" s="10">
        <f t="shared" si="38"/>
        <v>68</v>
      </c>
      <c r="BA78" s="10">
        <f t="shared" si="38"/>
        <v>33</v>
      </c>
      <c r="BB78" s="27">
        <f t="shared" si="39"/>
        <v>48.529411764705884</v>
      </c>
    </row>
    <row r="79" spans="1:54">
      <c r="A79" s="12">
        <v>73</v>
      </c>
      <c r="B79" s="13">
        <v>1230321072</v>
      </c>
      <c r="C79" s="14" t="s">
        <v>92</v>
      </c>
      <c r="D79" s="39">
        <v>4</v>
      </c>
      <c r="E79" s="39">
        <v>1</v>
      </c>
      <c r="F79" s="39">
        <f t="shared" si="20"/>
        <v>25</v>
      </c>
      <c r="G79" s="39">
        <v>2</v>
      </c>
      <c r="H79" s="39">
        <v>0</v>
      </c>
      <c r="I79" s="39">
        <f t="shared" si="21"/>
        <v>0</v>
      </c>
      <c r="J79" s="40">
        <v>7</v>
      </c>
      <c r="K79" s="40">
        <v>1</v>
      </c>
      <c r="L79" s="41">
        <f t="shared" si="22"/>
        <v>14.285714285714285</v>
      </c>
      <c r="M79" s="42">
        <v>7</v>
      </c>
      <c r="N79" s="40">
        <v>1</v>
      </c>
      <c r="O79" s="41">
        <f t="shared" si="23"/>
        <v>14.285714285714285</v>
      </c>
      <c r="P79" s="40">
        <v>7</v>
      </c>
      <c r="Q79" s="40">
        <v>4</v>
      </c>
      <c r="R79" s="41">
        <f t="shared" si="24"/>
        <v>57.142857142857139</v>
      </c>
      <c r="S79" s="42">
        <v>3</v>
      </c>
      <c r="T79" s="40">
        <v>0</v>
      </c>
      <c r="U79" s="41">
        <f t="shared" si="25"/>
        <v>0</v>
      </c>
      <c r="V79" s="39">
        <v>4</v>
      </c>
      <c r="W79" s="39">
        <v>0</v>
      </c>
      <c r="X79" s="41">
        <f t="shared" si="26"/>
        <v>0</v>
      </c>
      <c r="Y79" s="42">
        <v>2</v>
      </c>
      <c r="Z79" s="40">
        <v>2</v>
      </c>
      <c r="AA79" s="41">
        <f t="shared" si="27"/>
        <v>100</v>
      </c>
      <c r="AB79" s="40">
        <v>4</v>
      </c>
      <c r="AC79" s="40">
        <v>0</v>
      </c>
      <c r="AD79" s="41">
        <f t="shared" si="28"/>
        <v>0</v>
      </c>
      <c r="AE79" s="42">
        <v>4</v>
      </c>
      <c r="AF79" s="40">
        <v>1</v>
      </c>
      <c r="AG79" s="41">
        <f t="shared" si="29"/>
        <v>25</v>
      </c>
      <c r="AH79" s="40">
        <v>8</v>
      </c>
      <c r="AI79" s="40">
        <v>4</v>
      </c>
      <c r="AJ79" s="41">
        <f t="shared" si="30"/>
        <v>50</v>
      </c>
      <c r="AK79" s="42">
        <v>5</v>
      </c>
      <c r="AL79" s="40">
        <v>4</v>
      </c>
      <c r="AM79" s="41">
        <f t="shared" si="31"/>
        <v>80</v>
      </c>
      <c r="AN79" s="42">
        <v>7</v>
      </c>
      <c r="AO79" s="40">
        <v>6</v>
      </c>
      <c r="AP79" s="41">
        <f t="shared" si="32"/>
        <v>85.714285714285708</v>
      </c>
      <c r="AQ79" s="40">
        <v>4</v>
      </c>
      <c r="AR79" s="40">
        <v>3</v>
      </c>
      <c r="AS79" s="41">
        <f t="shared" si="33"/>
        <v>75</v>
      </c>
      <c r="AT79" s="10">
        <f t="shared" si="34"/>
        <v>41</v>
      </c>
      <c r="AU79" s="10">
        <f t="shared" si="34"/>
        <v>16</v>
      </c>
      <c r="AV79" s="26">
        <f t="shared" si="35"/>
        <v>39.024390243902438</v>
      </c>
      <c r="AW79" s="10">
        <f t="shared" si="36"/>
        <v>27</v>
      </c>
      <c r="AX79" s="10">
        <f t="shared" si="36"/>
        <v>11</v>
      </c>
      <c r="AY79" s="26">
        <f t="shared" si="37"/>
        <v>40.74074074074074</v>
      </c>
      <c r="AZ79" s="10">
        <f t="shared" si="38"/>
        <v>68</v>
      </c>
      <c r="BA79" s="10">
        <f t="shared" si="38"/>
        <v>27</v>
      </c>
      <c r="BB79" s="27">
        <f t="shared" si="39"/>
        <v>39.705882352941174</v>
      </c>
    </row>
    <row r="80" spans="1:54">
      <c r="A80" s="12">
        <v>74</v>
      </c>
      <c r="B80" s="13">
        <v>1230321073</v>
      </c>
      <c r="C80" s="14" t="s">
        <v>93</v>
      </c>
      <c r="D80" s="39">
        <v>4</v>
      </c>
      <c r="E80" s="39">
        <v>1</v>
      </c>
      <c r="F80" s="39">
        <f t="shared" si="20"/>
        <v>25</v>
      </c>
      <c r="G80" s="39">
        <v>2</v>
      </c>
      <c r="H80" s="39">
        <v>1</v>
      </c>
      <c r="I80" s="39">
        <f t="shared" si="21"/>
        <v>50</v>
      </c>
      <c r="J80" s="40">
        <v>7</v>
      </c>
      <c r="K80" s="40">
        <v>4</v>
      </c>
      <c r="L80" s="41">
        <f t="shared" si="22"/>
        <v>57.142857142857139</v>
      </c>
      <c r="M80" s="42">
        <v>7</v>
      </c>
      <c r="N80" s="40">
        <v>3</v>
      </c>
      <c r="O80" s="41">
        <f t="shared" si="23"/>
        <v>42.857142857142854</v>
      </c>
      <c r="P80" s="40">
        <v>7</v>
      </c>
      <c r="Q80" s="40">
        <v>4</v>
      </c>
      <c r="R80" s="41">
        <f t="shared" si="24"/>
        <v>57.142857142857139</v>
      </c>
      <c r="S80" s="42">
        <v>3</v>
      </c>
      <c r="T80" s="40">
        <v>2</v>
      </c>
      <c r="U80" s="41">
        <f t="shared" si="25"/>
        <v>66.666666666666657</v>
      </c>
      <c r="V80" s="39">
        <v>4</v>
      </c>
      <c r="W80" s="39">
        <v>2</v>
      </c>
      <c r="X80" s="41">
        <f t="shared" si="26"/>
        <v>50</v>
      </c>
      <c r="Y80" s="42">
        <v>2</v>
      </c>
      <c r="Z80" s="40">
        <v>1</v>
      </c>
      <c r="AA80" s="41">
        <f t="shared" si="27"/>
        <v>50</v>
      </c>
      <c r="AB80" s="40">
        <v>4</v>
      </c>
      <c r="AC80" s="40">
        <v>4</v>
      </c>
      <c r="AD80" s="41">
        <f t="shared" si="28"/>
        <v>100</v>
      </c>
      <c r="AE80" s="42">
        <v>4</v>
      </c>
      <c r="AF80" s="40">
        <v>4</v>
      </c>
      <c r="AG80" s="41">
        <f t="shared" si="29"/>
        <v>100</v>
      </c>
      <c r="AH80" s="40">
        <v>8</v>
      </c>
      <c r="AI80" s="40">
        <v>5</v>
      </c>
      <c r="AJ80" s="41">
        <f t="shared" si="30"/>
        <v>62.5</v>
      </c>
      <c r="AK80" s="42">
        <v>5</v>
      </c>
      <c r="AL80" s="40">
        <v>5</v>
      </c>
      <c r="AM80" s="41">
        <f t="shared" si="31"/>
        <v>100</v>
      </c>
      <c r="AN80" s="42">
        <v>7</v>
      </c>
      <c r="AO80" s="40">
        <v>5</v>
      </c>
      <c r="AP80" s="41">
        <f t="shared" si="32"/>
        <v>71.428571428571431</v>
      </c>
      <c r="AQ80" s="40">
        <v>4</v>
      </c>
      <c r="AR80" s="40">
        <v>3</v>
      </c>
      <c r="AS80" s="41">
        <f t="shared" si="33"/>
        <v>75</v>
      </c>
      <c r="AT80" s="10">
        <f t="shared" si="34"/>
        <v>41</v>
      </c>
      <c r="AU80" s="10">
        <f t="shared" si="34"/>
        <v>25</v>
      </c>
      <c r="AV80" s="26">
        <f t="shared" si="35"/>
        <v>60.975609756097562</v>
      </c>
      <c r="AW80" s="10">
        <f t="shared" si="36"/>
        <v>27</v>
      </c>
      <c r="AX80" s="10">
        <f t="shared" si="36"/>
        <v>19</v>
      </c>
      <c r="AY80" s="26">
        <f t="shared" si="37"/>
        <v>70.370370370370367</v>
      </c>
      <c r="AZ80" s="10">
        <f t="shared" si="38"/>
        <v>68</v>
      </c>
      <c r="BA80" s="10">
        <f t="shared" si="38"/>
        <v>44</v>
      </c>
      <c r="BB80" s="27">
        <f t="shared" si="39"/>
        <v>64.705882352941174</v>
      </c>
    </row>
    <row r="81" spans="1:54">
      <c r="A81" s="12">
        <v>75</v>
      </c>
      <c r="B81" s="13">
        <v>1230321074</v>
      </c>
      <c r="C81" s="14" t="s">
        <v>94</v>
      </c>
      <c r="D81" s="39">
        <v>4</v>
      </c>
      <c r="E81" s="39">
        <v>0</v>
      </c>
      <c r="F81" s="39">
        <f t="shared" si="20"/>
        <v>0</v>
      </c>
      <c r="G81" s="39">
        <v>2</v>
      </c>
      <c r="H81" s="39">
        <v>1</v>
      </c>
      <c r="I81" s="39">
        <f t="shared" si="21"/>
        <v>50</v>
      </c>
      <c r="J81" s="40">
        <v>7</v>
      </c>
      <c r="K81" s="40">
        <v>2</v>
      </c>
      <c r="L81" s="41">
        <f t="shared" si="22"/>
        <v>28.571428571428569</v>
      </c>
      <c r="M81" s="42">
        <v>7</v>
      </c>
      <c r="N81" s="40">
        <v>3</v>
      </c>
      <c r="O81" s="41">
        <f t="shared" si="23"/>
        <v>42.857142857142854</v>
      </c>
      <c r="P81" s="40">
        <v>7</v>
      </c>
      <c r="Q81" s="40">
        <v>4</v>
      </c>
      <c r="R81" s="41">
        <f t="shared" si="24"/>
        <v>57.142857142857139</v>
      </c>
      <c r="S81" s="42">
        <v>3</v>
      </c>
      <c r="T81" s="40">
        <v>1</v>
      </c>
      <c r="U81" s="41">
        <f t="shared" si="25"/>
        <v>33.333333333333329</v>
      </c>
      <c r="V81" s="39">
        <v>4</v>
      </c>
      <c r="W81" s="39">
        <v>2</v>
      </c>
      <c r="X81" s="41">
        <f t="shared" si="26"/>
        <v>50</v>
      </c>
      <c r="Y81" s="42">
        <v>2</v>
      </c>
      <c r="Z81" s="40">
        <v>0</v>
      </c>
      <c r="AA81" s="41">
        <f t="shared" si="27"/>
        <v>0</v>
      </c>
      <c r="AB81" s="40">
        <v>4</v>
      </c>
      <c r="AC81" s="40">
        <v>0</v>
      </c>
      <c r="AD81" s="41">
        <f t="shared" si="28"/>
        <v>0</v>
      </c>
      <c r="AE81" s="42">
        <v>4</v>
      </c>
      <c r="AF81" s="40">
        <v>1</v>
      </c>
      <c r="AG81" s="41">
        <f t="shared" si="29"/>
        <v>25</v>
      </c>
      <c r="AH81" s="40">
        <v>8</v>
      </c>
      <c r="AI81" s="40">
        <v>2</v>
      </c>
      <c r="AJ81" s="41">
        <f t="shared" si="30"/>
        <v>25</v>
      </c>
      <c r="AK81" s="42">
        <v>5</v>
      </c>
      <c r="AL81" s="40">
        <v>2</v>
      </c>
      <c r="AM81" s="41">
        <f t="shared" si="31"/>
        <v>40</v>
      </c>
      <c r="AN81" s="42">
        <v>7</v>
      </c>
      <c r="AO81" s="40">
        <v>6</v>
      </c>
      <c r="AP81" s="41">
        <f t="shared" si="32"/>
        <v>85.714285714285708</v>
      </c>
      <c r="AQ81" s="40">
        <v>4</v>
      </c>
      <c r="AR81" s="40">
        <v>3</v>
      </c>
      <c r="AS81" s="41">
        <f t="shared" si="33"/>
        <v>75</v>
      </c>
      <c r="AT81" s="10">
        <f t="shared" si="34"/>
        <v>41</v>
      </c>
      <c r="AU81" s="10">
        <f t="shared" si="34"/>
        <v>16</v>
      </c>
      <c r="AV81" s="26">
        <f t="shared" si="35"/>
        <v>39.024390243902438</v>
      </c>
      <c r="AW81" s="10">
        <f t="shared" si="36"/>
        <v>27</v>
      </c>
      <c r="AX81" s="10">
        <f t="shared" si="36"/>
        <v>11</v>
      </c>
      <c r="AY81" s="26">
        <f t="shared" si="37"/>
        <v>40.74074074074074</v>
      </c>
      <c r="AZ81" s="10">
        <f t="shared" si="38"/>
        <v>68</v>
      </c>
      <c r="BA81" s="10">
        <f t="shared" si="38"/>
        <v>27</v>
      </c>
      <c r="BB81" s="27">
        <f t="shared" si="39"/>
        <v>39.705882352941174</v>
      </c>
    </row>
    <row r="82" spans="1:54">
      <c r="A82" s="12">
        <v>76</v>
      </c>
      <c r="B82" s="13">
        <v>1230321075</v>
      </c>
      <c r="C82" s="14" t="s">
        <v>95</v>
      </c>
      <c r="D82" s="39">
        <v>4</v>
      </c>
      <c r="E82" s="39">
        <v>1</v>
      </c>
      <c r="F82" s="39">
        <f t="shared" si="20"/>
        <v>25</v>
      </c>
      <c r="G82" s="39">
        <v>2</v>
      </c>
      <c r="H82" s="39">
        <v>0</v>
      </c>
      <c r="I82" s="39">
        <f t="shared" si="21"/>
        <v>0</v>
      </c>
      <c r="J82" s="40">
        <v>7</v>
      </c>
      <c r="K82" s="40">
        <v>3</v>
      </c>
      <c r="L82" s="41">
        <f t="shared" si="22"/>
        <v>42.857142857142854</v>
      </c>
      <c r="M82" s="42">
        <v>7</v>
      </c>
      <c r="N82" s="40">
        <v>4</v>
      </c>
      <c r="O82" s="41">
        <f t="shared" si="23"/>
        <v>57.142857142857139</v>
      </c>
      <c r="P82" s="40">
        <v>7</v>
      </c>
      <c r="Q82" s="40">
        <v>3</v>
      </c>
      <c r="R82" s="41">
        <f t="shared" si="24"/>
        <v>42.857142857142854</v>
      </c>
      <c r="S82" s="42">
        <v>3</v>
      </c>
      <c r="T82" s="40">
        <v>1</v>
      </c>
      <c r="U82" s="41">
        <f t="shared" si="25"/>
        <v>33.333333333333329</v>
      </c>
      <c r="V82" s="39">
        <v>4</v>
      </c>
      <c r="W82" s="39">
        <v>2</v>
      </c>
      <c r="X82" s="41">
        <f t="shared" si="26"/>
        <v>50</v>
      </c>
      <c r="Y82" s="42">
        <v>2</v>
      </c>
      <c r="Z82" s="40">
        <v>2</v>
      </c>
      <c r="AA82" s="41">
        <f t="shared" si="27"/>
        <v>100</v>
      </c>
      <c r="AB82" s="40">
        <v>4</v>
      </c>
      <c r="AC82" s="40">
        <v>3</v>
      </c>
      <c r="AD82" s="41">
        <f t="shared" si="28"/>
        <v>75</v>
      </c>
      <c r="AE82" s="42">
        <v>4</v>
      </c>
      <c r="AF82" s="40">
        <v>1</v>
      </c>
      <c r="AG82" s="41">
        <f t="shared" si="29"/>
        <v>25</v>
      </c>
      <c r="AH82" s="40">
        <v>8</v>
      </c>
      <c r="AI82" s="40">
        <v>4</v>
      </c>
      <c r="AJ82" s="41">
        <f t="shared" si="30"/>
        <v>50</v>
      </c>
      <c r="AK82" s="42">
        <v>5</v>
      </c>
      <c r="AL82" s="40">
        <v>5</v>
      </c>
      <c r="AM82" s="41">
        <f t="shared" si="31"/>
        <v>100</v>
      </c>
      <c r="AN82" s="42">
        <v>7</v>
      </c>
      <c r="AO82" s="40">
        <v>5</v>
      </c>
      <c r="AP82" s="41">
        <f t="shared" si="32"/>
        <v>71.428571428571431</v>
      </c>
      <c r="AQ82" s="40">
        <v>4</v>
      </c>
      <c r="AR82" s="40">
        <v>2</v>
      </c>
      <c r="AS82" s="41">
        <f t="shared" si="33"/>
        <v>50</v>
      </c>
      <c r="AT82" s="10">
        <f t="shared" si="34"/>
        <v>41</v>
      </c>
      <c r="AU82" s="10">
        <f t="shared" si="34"/>
        <v>21</v>
      </c>
      <c r="AV82" s="26">
        <f t="shared" si="35"/>
        <v>51.219512195121951</v>
      </c>
      <c r="AW82" s="10">
        <f t="shared" si="36"/>
        <v>27</v>
      </c>
      <c r="AX82" s="10">
        <f t="shared" si="36"/>
        <v>15</v>
      </c>
      <c r="AY82" s="26">
        <f t="shared" si="37"/>
        <v>55.555555555555557</v>
      </c>
      <c r="AZ82" s="10">
        <f t="shared" si="38"/>
        <v>68</v>
      </c>
      <c r="BA82" s="10">
        <f t="shared" si="38"/>
        <v>36</v>
      </c>
      <c r="BB82" s="27">
        <f t="shared" si="39"/>
        <v>52.941176470588239</v>
      </c>
    </row>
    <row r="83" spans="1:54">
      <c r="A83" s="12">
        <v>77</v>
      </c>
      <c r="B83" s="13">
        <v>1230321076</v>
      </c>
      <c r="C83" s="14" t="s">
        <v>96</v>
      </c>
      <c r="D83" s="39">
        <v>4</v>
      </c>
      <c r="E83" s="39">
        <v>2</v>
      </c>
      <c r="F83" s="39">
        <f t="shared" si="20"/>
        <v>50</v>
      </c>
      <c r="G83" s="39">
        <v>2</v>
      </c>
      <c r="H83" s="39">
        <v>1</v>
      </c>
      <c r="I83" s="39">
        <f t="shared" si="21"/>
        <v>50</v>
      </c>
      <c r="J83" s="40">
        <v>7</v>
      </c>
      <c r="K83" s="40">
        <v>5</v>
      </c>
      <c r="L83" s="41">
        <f t="shared" si="22"/>
        <v>71.428571428571431</v>
      </c>
      <c r="M83" s="42">
        <v>7</v>
      </c>
      <c r="N83" s="40">
        <v>7</v>
      </c>
      <c r="O83" s="41">
        <f t="shared" si="23"/>
        <v>100</v>
      </c>
      <c r="P83" s="40">
        <v>7</v>
      </c>
      <c r="Q83" s="40">
        <v>7</v>
      </c>
      <c r="R83" s="41">
        <f t="shared" si="24"/>
        <v>100</v>
      </c>
      <c r="S83" s="42">
        <v>3</v>
      </c>
      <c r="T83" s="40">
        <v>1</v>
      </c>
      <c r="U83" s="41">
        <f t="shared" si="25"/>
        <v>33.333333333333329</v>
      </c>
      <c r="V83" s="39">
        <v>4</v>
      </c>
      <c r="W83" s="39">
        <v>2</v>
      </c>
      <c r="X83" s="41">
        <f t="shared" si="26"/>
        <v>50</v>
      </c>
      <c r="Y83" s="42">
        <v>2</v>
      </c>
      <c r="Z83" s="40">
        <v>1</v>
      </c>
      <c r="AA83" s="41">
        <f t="shared" si="27"/>
        <v>50</v>
      </c>
      <c r="AB83" s="40">
        <v>4</v>
      </c>
      <c r="AC83" s="40">
        <v>4</v>
      </c>
      <c r="AD83" s="41">
        <f t="shared" si="28"/>
        <v>100</v>
      </c>
      <c r="AE83" s="42">
        <v>4</v>
      </c>
      <c r="AF83" s="40">
        <v>3</v>
      </c>
      <c r="AG83" s="41">
        <f t="shared" si="29"/>
        <v>75</v>
      </c>
      <c r="AH83" s="40">
        <v>8</v>
      </c>
      <c r="AI83" s="40">
        <v>6</v>
      </c>
      <c r="AJ83" s="41">
        <f t="shared" si="30"/>
        <v>75</v>
      </c>
      <c r="AK83" s="42">
        <v>5</v>
      </c>
      <c r="AL83" s="40">
        <v>4</v>
      </c>
      <c r="AM83" s="41">
        <f t="shared" si="31"/>
        <v>80</v>
      </c>
      <c r="AN83" s="42">
        <v>7</v>
      </c>
      <c r="AO83" s="40">
        <v>5</v>
      </c>
      <c r="AP83" s="41">
        <f t="shared" si="32"/>
        <v>71.428571428571431</v>
      </c>
      <c r="AQ83" s="40">
        <v>4</v>
      </c>
      <c r="AR83" s="40">
        <v>4</v>
      </c>
      <c r="AS83" s="41">
        <f t="shared" si="33"/>
        <v>100</v>
      </c>
      <c r="AT83" s="10">
        <f t="shared" si="34"/>
        <v>41</v>
      </c>
      <c r="AU83" s="10">
        <f t="shared" si="34"/>
        <v>31</v>
      </c>
      <c r="AV83" s="26">
        <f t="shared" si="35"/>
        <v>75.609756097560975</v>
      </c>
      <c r="AW83" s="10">
        <f t="shared" si="36"/>
        <v>27</v>
      </c>
      <c r="AX83" s="10">
        <f t="shared" si="36"/>
        <v>21</v>
      </c>
      <c r="AY83" s="26">
        <f t="shared" si="37"/>
        <v>77.777777777777786</v>
      </c>
      <c r="AZ83" s="10">
        <f t="shared" si="38"/>
        <v>68</v>
      </c>
      <c r="BA83" s="10">
        <f t="shared" si="38"/>
        <v>52</v>
      </c>
      <c r="BB83" s="27">
        <f t="shared" si="39"/>
        <v>76.470588235294116</v>
      </c>
    </row>
    <row r="84" spans="1:54" ht="16.5" customHeight="1">
      <c r="A84" s="65" t="s">
        <v>97</v>
      </c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7"/>
    </row>
    <row r="85" spans="1:54">
      <c r="A85" s="43">
        <v>78</v>
      </c>
      <c r="B85" s="44" t="s">
        <v>0</v>
      </c>
      <c r="C85" s="45" t="s">
        <v>134</v>
      </c>
      <c r="D85" s="40">
        <v>4</v>
      </c>
      <c r="E85" s="40">
        <v>0</v>
      </c>
      <c r="F85" s="39">
        <f t="shared" si="20"/>
        <v>0</v>
      </c>
      <c r="G85" s="40">
        <v>2</v>
      </c>
      <c r="H85" s="40">
        <v>0</v>
      </c>
      <c r="I85" s="40">
        <v>0</v>
      </c>
      <c r="J85" s="40">
        <v>7</v>
      </c>
      <c r="K85" s="40">
        <v>0</v>
      </c>
      <c r="L85" s="41">
        <f t="shared" si="22"/>
        <v>0</v>
      </c>
      <c r="M85" s="40">
        <v>7</v>
      </c>
      <c r="N85" s="40">
        <v>0</v>
      </c>
      <c r="O85" s="41">
        <f t="shared" si="23"/>
        <v>0</v>
      </c>
      <c r="P85" s="40">
        <v>7</v>
      </c>
      <c r="Q85" s="40">
        <v>0</v>
      </c>
      <c r="R85" s="41">
        <f t="shared" si="24"/>
        <v>0</v>
      </c>
      <c r="S85" s="40">
        <v>3</v>
      </c>
      <c r="T85" s="40">
        <v>0</v>
      </c>
      <c r="U85" s="41">
        <f t="shared" si="25"/>
        <v>0</v>
      </c>
      <c r="V85" s="39">
        <v>4</v>
      </c>
      <c r="W85" s="40">
        <v>0</v>
      </c>
      <c r="X85" s="41">
        <f t="shared" si="26"/>
        <v>0</v>
      </c>
      <c r="Y85" s="42">
        <v>2</v>
      </c>
      <c r="Z85" s="40">
        <v>0</v>
      </c>
      <c r="AA85" s="41">
        <f t="shared" si="27"/>
        <v>0</v>
      </c>
      <c r="AB85" s="40">
        <v>4</v>
      </c>
      <c r="AC85" s="40">
        <v>0</v>
      </c>
      <c r="AD85" s="41">
        <f t="shared" si="28"/>
        <v>0</v>
      </c>
      <c r="AE85" s="40">
        <v>4</v>
      </c>
      <c r="AF85" s="40">
        <v>0</v>
      </c>
      <c r="AG85" s="41">
        <f t="shared" si="29"/>
        <v>0</v>
      </c>
      <c r="AH85" s="40">
        <v>8</v>
      </c>
      <c r="AI85" s="40">
        <v>0</v>
      </c>
      <c r="AJ85" s="41">
        <f t="shared" si="30"/>
        <v>0</v>
      </c>
      <c r="AK85" s="40">
        <v>5</v>
      </c>
      <c r="AL85" s="40">
        <v>0</v>
      </c>
      <c r="AM85" s="41">
        <f t="shared" si="31"/>
        <v>0</v>
      </c>
      <c r="AN85" s="40">
        <v>7</v>
      </c>
      <c r="AO85" s="40">
        <v>0</v>
      </c>
      <c r="AP85" s="41">
        <f t="shared" si="32"/>
        <v>0</v>
      </c>
      <c r="AQ85" s="40">
        <v>4</v>
      </c>
      <c r="AR85" s="40">
        <v>0</v>
      </c>
      <c r="AS85" s="41">
        <f t="shared" si="33"/>
        <v>0</v>
      </c>
      <c r="AT85" s="10">
        <f t="shared" si="34"/>
        <v>41</v>
      </c>
      <c r="AU85" s="10">
        <f t="shared" si="34"/>
        <v>0</v>
      </c>
      <c r="AV85" s="26">
        <f t="shared" si="35"/>
        <v>0</v>
      </c>
      <c r="AW85" s="10">
        <f t="shared" si="36"/>
        <v>27</v>
      </c>
      <c r="AX85" s="10">
        <f t="shared" si="36"/>
        <v>0</v>
      </c>
      <c r="AY85" s="26">
        <f t="shared" si="37"/>
        <v>0</v>
      </c>
      <c r="AZ85" s="10">
        <f t="shared" si="38"/>
        <v>68</v>
      </c>
      <c r="BA85" s="10">
        <f t="shared" si="38"/>
        <v>0</v>
      </c>
      <c r="BB85" s="27">
        <f t="shared" si="39"/>
        <v>0</v>
      </c>
    </row>
    <row r="86" spans="1:54">
      <c r="A86" s="65" t="s">
        <v>98</v>
      </c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7"/>
    </row>
    <row r="87" spans="1:54">
      <c r="A87" s="43">
        <v>1</v>
      </c>
      <c r="B87" s="46">
        <v>1220321025</v>
      </c>
      <c r="C87" s="46" t="s">
        <v>99</v>
      </c>
      <c r="D87" s="40">
        <v>4</v>
      </c>
      <c r="E87" s="40">
        <v>0</v>
      </c>
      <c r="F87" s="39">
        <f t="shared" si="20"/>
        <v>0</v>
      </c>
      <c r="G87" s="40">
        <v>2</v>
      </c>
      <c r="H87" s="40">
        <v>0</v>
      </c>
      <c r="I87" s="40">
        <v>0</v>
      </c>
      <c r="J87" s="40">
        <v>7</v>
      </c>
      <c r="K87" s="40">
        <v>0</v>
      </c>
      <c r="L87" s="41">
        <f t="shared" si="22"/>
        <v>0</v>
      </c>
      <c r="M87" s="40">
        <v>7</v>
      </c>
      <c r="N87" s="40">
        <v>1</v>
      </c>
      <c r="O87" s="41">
        <f t="shared" si="23"/>
        <v>14.285714285714285</v>
      </c>
      <c r="P87" s="40">
        <v>7</v>
      </c>
      <c r="Q87" s="40">
        <v>0</v>
      </c>
      <c r="R87" s="41">
        <f t="shared" si="24"/>
        <v>0</v>
      </c>
      <c r="S87" s="40">
        <v>3</v>
      </c>
      <c r="T87" s="40">
        <v>0</v>
      </c>
      <c r="U87" s="41">
        <f t="shared" si="25"/>
        <v>0</v>
      </c>
      <c r="V87" s="39">
        <v>4</v>
      </c>
      <c r="W87" s="40">
        <v>0</v>
      </c>
      <c r="X87" s="41">
        <f t="shared" si="26"/>
        <v>0</v>
      </c>
      <c r="Y87" s="42">
        <v>2</v>
      </c>
      <c r="Z87" s="40">
        <v>0</v>
      </c>
      <c r="AA87" s="41">
        <f t="shared" si="27"/>
        <v>0</v>
      </c>
      <c r="AB87" s="40">
        <v>4</v>
      </c>
      <c r="AC87" s="40">
        <v>0</v>
      </c>
      <c r="AD87" s="41">
        <f t="shared" si="28"/>
        <v>0</v>
      </c>
      <c r="AE87" s="40">
        <v>4</v>
      </c>
      <c r="AF87" s="40">
        <v>0</v>
      </c>
      <c r="AG87" s="41">
        <f t="shared" si="29"/>
        <v>0</v>
      </c>
      <c r="AH87" s="40">
        <v>8</v>
      </c>
      <c r="AI87" s="40">
        <v>0</v>
      </c>
      <c r="AJ87" s="41">
        <f t="shared" si="30"/>
        <v>0</v>
      </c>
      <c r="AK87" s="40">
        <v>5</v>
      </c>
      <c r="AL87" s="40">
        <v>0</v>
      </c>
      <c r="AM87" s="41">
        <f t="shared" si="31"/>
        <v>0</v>
      </c>
      <c r="AN87" s="40">
        <v>7</v>
      </c>
      <c r="AO87" s="40">
        <v>4</v>
      </c>
      <c r="AP87" s="41">
        <f t="shared" si="32"/>
        <v>57.142857142857139</v>
      </c>
      <c r="AQ87" s="40">
        <v>4</v>
      </c>
      <c r="AR87" s="40">
        <v>0</v>
      </c>
      <c r="AS87" s="41">
        <f t="shared" si="33"/>
        <v>0</v>
      </c>
      <c r="AT87" s="10">
        <f t="shared" si="34"/>
        <v>41</v>
      </c>
      <c r="AU87" s="10">
        <f t="shared" si="34"/>
        <v>4</v>
      </c>
      <c r="AV87" s="26">
        <f t="shared" si="35"/>
        <v>9.7560975609756095</v>
      </c>
      <c r="AW87" s="10">
        <f t="shared" si="36"/>
        <v>27</v>
      </c>
      <c r="AX87" s="10">
        <f t="shared" si="36"/>
        <v>1</v>
      </c>
      <c r="AY87" s="26">
        <f t="shared" si="37"/>
        <v>3.7037037037037033</v>
      </c>
      <c r="AZ87" s="10">
        <f t="shared" si="38"/>
        <v>68</v>
      </c>
      <c r="BA87" s="10">
        <f t="shared" si="38"/>
        <v>5</v>
      </c>
      <c r="BB87" s="27">
        <f t="shared" si="39"/>
        <v>7.3529411764705888</v>
      </c>
    </row>
    <row r="88" spans="1:54">
      <c r="A88" s="43">
        <v>2</v>
      </c>
      <c r="B88" s="46">
        <v>1230321051</v>
      </c>
      <c r="C88" s="46" t="s">
        <v>135</v>
      </c>
      <c r="D88" s="40">
        <v>4</v>
      </c>
      <c r="E88" s="40">
        <v>0</v>
      </c>
      <c r="F88" s="39">
        <f t="shared" si="20"/>
        <v>0</v>
      </c>
      <c r="G88" s="40">
        <v>2</v>
      </c>
      <c r="H88" s="40">
        <v>0</v>
      </c>
      <c r="I88" s="40">
        <v>0</v>
      </c>
      <c r="J88" s="40">
        <v>7</v>
      </c>
      <c r="K88" s="40">
        <v>4</v>
      </c>
      <c r="L88" s="41">
        <f t="shared" si="22"/>
        <v>57.142857142857139</v>
      </c>
      <c r="M88" s="40">
        <v>7</v>
      </c>
      <c r="N88" s="40">
        <v>4</v>
      </c>
      <c r="O88" s="41">
        <f t="shared" si="23"/>
        <v>57.142857142857139</v>
      </c>
      <c r="P88" s="40">
        <v>7</v>
      </c>
      <c r="Q88" s="40">
        <v>4</v>
      </c>
      <c r="R88" s="41">
        <f t="shared" si="24"/>
        <v>57.142857142857139</v>
      </c>
      <c r="S88" s="40">
        <v>3</v>
      </c>
      <c r="T88" s="40">
        <v>2</v>
      </c>
      <c r="U88" s="41">
        <f t="shared" si="25"/>
        <v>66.666666666666657</v>
      </c>
      <c r="V88" s="39">
        <v>4</v>
      </c>
      <c r="W88" s="40">
        <v>0</v>
      </c>
      <c r="X88" s="41">
        <f t="shared" si="26"/>
        <v>0</v>
      </c>
      <c r="Y88" s="42">
        <v>2</v>
      </c>
      <c r="Z88" s="40">
        <v>0</v>
      </c>
      <c r="AA88" s="41">
        <f t="shared" si="27"/>
        <v>0</v>
      </c>
      <c r="AB88" s="40">
        <v>4</v>
      </c>
      <c r="AC88" s="40">
        <v>0</v>
      </c>
      <c r="AD88" s="41">
        <f t="shared" si="28"/>
        <v>0</v>
      </c>
      <c r="AE88" s="40">
        <v>4</v>
      </c>
      <c r="AF88" s="40">
        <v>0</v>
      </c>
      <c r="AG88" s="41">
        <f t="shared" si="29"/>
        <v>0</v>
      </c>
      <c r="AH88" s="40">
        <v>8</v>
      </c>
      <c r="AI88" s="40">
        <v>0</v>
      </c>
      <c r="AJ88" s="41">
        <f t="shared" si="30"/>
        <v>0</v>
      </c>
      <c r="AK88" s="40">
        <v>5</v>
      </c>
      <c r="AL88" s="40">
        <v>4</v>
      </c>
      <c r="AM88" s="41">
        <f t="shared" si="31"/>
        <v>80</v>
      </c>
      <c r="AN88" s="40">
        <v>7</v>
      </c>
      <c r="AO88" s="40">
        <v>5</v>
      </c>
      <c r="AP88" s="41">
        <f t="shared" si="32"/>
        <v>71.428571428571431</v>
      </c>
      <c r="AQ88" s="40">
        <v>4</v>
      </c>
      <c r="AR88" s="40">
        <v>4</v>
      </c>
      <c r="AS88" s="41">
        <f t="shared" si="33"/>
        <v>100</v>
      </c>
      <c r="AT88" s="10">
        <f t="shared" ref="AT88:AU88" si="40">SUM(D88,J88,P88,V88,AB88,AH88,AN88)</f>
        <v>41</v>
      </c>
      <c r="AU88" s="10">
        <f t="shared" si="40"/>
        <v>13</v>
      </c>
      <c r="AV88" s="26">
        <f t="shared" si="35"/>
        <v>31.707317073170731</v>
      </c>
      <c r="AW88" s="10">
        <f t="shared" ref="AW88:AX88" si="41">SUM(G88,M88,S88,Y88,AE88,AK88,AQ88)</f>
        <v>27</v>
      </c>
      <c r="AX88" s="10">
        <f t="shared" si="41"/>
        <v>14</v>
      </c>
      <c r="AY88" s="26">
        <f t="shared" si="37"/>
        <v>51.851851851851848</v>
      </c>
      <c r="AZ88" s="10">
        <f t="shared" ref="AZ88" si="42">SUM(AT88,AW88)</f>
        <v>68</v>
      </c>
      <c r="BA88" s="10">
        <f t="shared" ref="BA88" si="43">SUM(AU88,AX88)</f>
        <v>27</v>
      </c>
      <c r="BB88" s="27">
        <f t="shared" si="39"/>
        <v>39.705882352941174</v>
      </c>
    </row>
  </sheetData>
  <mergeCells count="17">
    <mergeCell ref="D5:I5"/>
    <mergeCell ref="A84:BB84"/>
    <mergeCell ref="A86:BB86"/>
    <mergeCell ref="AT5:BB5"/>
    <mergeCell ref="A1:BB1"/>
    <mergeCell ref="A2:BB2"/>
    <mergeCell ref="A3:BB3"/>
    <mergeCell ref="A4:BB4"/>
    <mergeCell ref="J5:O5"/>
    <mergeCell ref="P5:U5"/>
    <mergeCell ref="V5:AA5"/>
    <mergeCell ref="AB5:AG5"/>
    <mergeCell ref="AH5:AM5"/>
    <mergeCell ref="AN5:AS5"/>
    <mergeCell ref="A5:A6"/>
    <mergeCell ref="B5:B6"/>
    <mergeCell ref="C5:C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B050"/>
  </sheetPr>
  <dimension ref="A1:BB88"/>
  <sheetViews>
    <sheetView topLeftCell="AD21" zoomScale="90" zoomScaleNormal="90" workbookViewId="0">
      <selection activeCell="BB32" sqref="BB32"/>
    </sheetView>
  </sheetViews>
  <sheetFormatPr defaultRowHeight="16.5"/>
  <cols>
    <col min="1" max="1" width="6.42578125" style="6" bestFit="1" customWidth="1"/>
    <col min="2" max="2" width="12.42578125" style="6" bestFit="1" customWidth="1"/>
    <col min="3" max="3" width="51.140625" style="6" bestFit="1" customWidth="1"/>
    <col min="4" max="4" width="8.42578125" style="6" customWidth="1"/>
    <col min="5" max="5" width="10.28515625" style="6" customWidth="1"/>
    <col min="6" max="6" width="6" style="6" customWidth="1"/>
    <col min="7" max="7" width="8.85546875" style="6" customWidth="1"/>
    <col min="8" max="8" width="10.28515625" style="6" customWidth="1"/>
    <col min="9" max="9" width="6" style="6" customWidth="1"/>
    <col min="10" max="10" width="8.42578125" style="6" customWidth="1"/>
    <col min="11" max="11" width="10.28515625" style="6" customWidth="1"/>
    <col min="12" max="12" width="6" style="6" customWidth="1"/>
    <col min="13" max="13" width="8.85546875" style="6" customWidth="1"/>
    <col min="14" max="14" width="10.28515625" style="6" customWidth="1"/>
    <col min="15" max="15" width="6" style="6" customWidth="1"/>
    <col min="16" max="16" width="8.42578125" style="6" bestFit="1" customWidth="1"/>
    <col min="17" max="17" width="10.28515625" style="6" bestFit="1" customWidth="1"/>
    <col min="18" max="18" width="6" style="6" bestFit="1" customWidth="1"/>
    <col min="19" max="19" width="8.85546875" style="6" bestFit="1" customWidth="1"/>
    <col min="20" max="20" width="10.28515625" style="6" bestFit="1" customWidth="1"/>
    <col min="21" max="21" width="4.85546875" style="6" bestFit="1" customWidth="1"/>
    <col min="22" max="22" width="8.42578125" style="6" bestFit="1" customWidth="1"/>
    <col min="23" max="23" width="10.28515625" style="6" bestFit="1" customWidth="1"/>
    <col min="24" max="24" width="6" style="6" bestFit="1" customWidth="1"/>
    <col min="25" max="25" width="8.85546875" style="6" bestFit="1" customWidth="1"/>
    <col min="26" max="26" width="10.28515625" style="6" bestFit="1" customWidth="1"/>
    <col min="27" max="27" width="4.85546875" style="6" bestFit="1" customWidth="1"/>
    <col min="28" max="28" width="8.42578125" style="6" bestFit="1" customWidth="1"/>
    <col min="29" max="29" width="10.28515625" style="6" bestFit="1" customWidth="1"/>
    <col min="30" max="30" width="6" style="6" bestFit="1" customWidth="1"/>
    <col min="31" max="31" width="8.85546875" style="6" bestFit="1" customWidth="1"/>
    <col min="32" max="32" width="10.28515625" style="6" bestFit="1" customWidth="1"/>
    <col min="33" max="33" width="6" style="6" bestFit="1" customWidth="1"/>
    <col min="34" max="34" width="8.42578125" style="6" bestFit="1" customWidth="1"/>
    <col min="35" max="35" width="10.28515625" style="6" bestFit="1" customWidth="1"/>
    <col min="36" max="36" width="4.85546875" style="6" bestFit="1" customWidth="1"/>
    <col min="37" max="37" width="8.85546875" style="6" bestFit="1" customWidth="1"/>
    <col min="38" max="38" width="10.28515625" style="6" bestFit="1" customWidth="1"/>
    <col min="39" max="39" width="6" style="6" bestFit="1" customWidth="1"/>
    <col min="40" max="40" width="8.42578125" style="6" bestFit="1" customWidth="1"/>
    <col min="41" max="41" width="10.28515625" style="6" bestFit="1" customWidth="1"/>
    <col min="42" max="42" width="6" style="6" bestFit="1" customWidth="1"/>
    <col min="43" max="43" width="8.85546875" style="6" bestFit="1" customWidth="1"/>
    <col min="44" max="44" width="10.28515625" style="6" bestFit="1" customWidth="1"/>
    <col min="45" max="45" width="6" style="6" bestFit="1" customWidth="1"/>
    <col min="46" max="47" width="8.7109375" style="6" bestFit="1" customWidth="1"/>
    <col min="48" max="48" width="9.28515625" style="6" bestFit="1" customWidth="1"/>
    <col min="49" max="50" width="8.7109375" style="6" bestFit="1" customWidth="1"/>
    <col min="51" max="51" width="9.28515625" style="6" bestFit="1" customWidth="1"/>
    <col min="52" max="52" width="7.7109375" style="6" bestFit="1" customWidth="1"/>
    <col min="53" max="53" width="8.28515625" style="6" bestFit="1" customWidth="1"/>
    <col min="54" max="54" width="9.28515625" style="6" bestFit="1" customWidth="1"/>
    <col min="55" max="16384" width="9.140625" style="6"/>
  </cols>
  <sheetData>
    <row r="1" spans="1:54" ht="18.75">
      <c r="A1" s="68" t="s">
        <v>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</row>
    <row r="2" spans="1:54" ht="18.75">
      <c r="A2" s="68" t="s">
        <v>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</row>
    <row r="3" spans="1:54" ht="18.75">
      <c r="A3" s="68" t="s">
        <v>22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</row>
    <row r="4" spans="1:54">
      <c r="A4" s="69" t="s">
        <v>108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</row>
    <row r="5" spans="1:54" ht="46.5" customHeight="1">
      <c r="A5" s="71" t="s">
        <v>3</v>
      </c>
      <c r="B5" s="71" t="s">
        <v>4</v>
      </c>
      <c r="C5" s="71" t="s">
        <v>5</v>
      </c>
      <c r="D5" s="70" t="s">
        <v>112</v>
      </c>
      <c r="E5" s="70"/>
      <c r="F5" s="70"/>
      <c r="G5" s="70"/>
      <c r="H5" s="70"/>
      <c r="I5" s="70"/>
      <c r="J5" s="70" t="s">
        <v>113</v>
      </c>
      <c r="K5" s="70"/>
      <c r="L5" s="70"/>
      <c r="M5" s="70"/>
      <c r="N5" s="70"/>
      <c r="O5" s="70"/>
      <c r="P5" s="70" t="s">
        <v>114</v>
      </c>
      <c r="Q5" s="70"/>
      <c r="R5" s="70"/>
      <c r="S5" s="70"/>
      <c r="T5" s="70"/>
      <c r="U5" s="70"/>
      <c r="V5" s="70" t="s">
        <v>115</v>
      </c>
      <c r="W5" s="70"/>
      <c r="X5" s="70"/>
      <c r="Y5" s="70"/>
      <c r="Z5" s="70"/>
      <c r="AA5" s="70"/>
      <c r="AB5" s="70" t="s">
        <v>116</v>
      </c>
      <c r="AC5" s="70"/>
      <c r="AD5" s="70"/>
      <c r="AE5" s="70"/>
      <c r="AF5" s="70"/>
      <c r="AG5" s="70"/>
      <c r="AH5" s="70" t="s">
        <v>117</v>
      </c>
      <c r="AI5" s="70"/>
      <c r="AJ5" s="70"/>
      <c r="AK5" s="70"/>
      <c r="AL5" s="70"/>
      <c r="AM5" s="70"/>
      <c r="AN5" s="70" t="s">
        <v>118</v>
      </c>
      <c r="AO5" s="70"/>
      <c r="AP5" s="70"/>
      <c r="AQ5" s="70"/>
      <c r="AR5" s="70"/>
      <c r="AS5" s="70"/>
      <c r="AT5" s="64" t="s">
        <v>127</v>
      </c>
      <c r="AU5" s="64"/>
      <c r="AV5" s="64"/>
      <c r="AW5" s="64"/>
      <c r="AX5" s="64"/>
      <c r="AY5" s="64"/>
      <c r="AZ5" s="64"/>
      <c r="BA5" s="64"/>
      <c r="BB5" s="64"/>
    </row>
    <row r="6" spans="1:54" ht="30">
      <c r="A6" s="71"/>
      <c r="B6" s="71"/>
      <c r="C6" s="71"/>
      <c r="D6" s="17" t="s">
        <v>6</v>
      </c>
      <c r="E6" s="17" t="s">
        <v>7</v>
      </c>
      <c r="F6" s="17" t="s">
        <v>8</v>
      </c>
      <c r="G6" s="17" t="s">
        <v>9</v>
      </c>
      <c r="H6" s="17" t="s">
        <v>10</v>
      </c>
      <c r="I6" s="17" t="s">
        <v>8</v>
      </c>
      <c r="J6" s="17" t="s">
        <v>6</v>
      </c>
      <c r="K6" s="17" t="s">
        <v>7</v>
      </c>
      <c r="L6" s="17" t="s">
        <v>8</v>
      </c>
      <c r="M6" s="17" t="s">
        <v>9</v>
      </c>
      <c r="N6" s="17" t="s">
        <v>10</v>
      </c>
      <c r="O6" s="17" t="s">
        <v>8</v>
      </c>
      <c r="P6" s="17" t="s">
        <v>6</v>
      </c>
      <c r="Q6" s="17" t="s">
        <v>7</v>
      </c>
      <c r="R6" s="17" t="s">
        <v>8</v>
      </c>
      <c r="S6" s="17" t="s">
        <v>9</v>
      </c>
      <c r="T6" s="17" t="s">
        <v>10</v>
      </c>
      <c r="U6" s="17" t="s">
        <v>8</v>
      </c>
      <c r="V6" s="17" t="s">
        <v>6</v>
      </c>
      <c r="W6" s="17" t="s">
        <v>7</v>
      </c>
      <c r="X6" s="17" t="s">
        <v>8</v>
      </c>
      <c r="Y6" s="17" t="s">
        <v>9</v>
      </c>
      <c r="Z6" s="17" t="s">
        <v>10</v>
      </c>
      <c r="AA6" s="17" t="s">
        <v>8</v>
      </c>
      <c r="AB6" s="17" t="s">
        <v>6</v>
      </c>
      <c r="AC6" s="17" t="s">
        <v>7</v>
      </c>
      <c r="AD6" s="17" t="s">
        <v>8</v>
      </c>
      <c r="AE6" s="17" t="s">
        <v>9</v>
      </c>
      <c r="AF6" s="17" t="s">
        <v>10</v>
      </c>
      <c r="AG6" s="17" t="s">
        <v>8</v>
      </c>
      <c r="AH6" s="17" t="s">
        <v>6</v>
      </c>
      <c r="AI6" s="17" t="s">
        <v>7</v>
      </c>
      <c r="AJ6" s="17" t="s">
        <v>8</v>
      </c>
      <c r="AK6" s="17" t="s">
        <v>9</v>
      </c>
      <c r="AL6" s="17" t="s">
        <v>10</v>
      </c>
      <c r="AM6" s="17" t="s">
        <v>8</v>
      </c>
      <c r="AN6" s="17" t="s">
        <v>6</v>
      </c>
      <c r="AO6" s="17" t="s">
        <v>7</v>
      </c>
      <c r="AP6" s="17" t="s">
        <v>8</v>
      </c>
      <c r="AQ6" s="17" t="s">
        <v>9</v>
      </c>
      <c r="AR6" s="17" t="s">
        <v>10</v>
      </c>
      <c r="AS6" s="17" t="s">
        <v>8</v>
      </c>
      <c r="AT6" s="24" t="s">
        <v>119</v>
      </c>
      <c r="AU6" s="24" t="s">
        <v>120</v>
      </c>
      <c r="AV6" s="24" t="s">
        <v>121</v>
      </c>
      <c r="AW6" s="24" t="s">
        <v>122</v>
      </c>
      <c r="AX6" s="24" t="s">
        <v>123</v>
      </c>
      <c r="AY6" s="25" t="s">
        <v>121</v>
      </c>
      <c r="AZ6" s="17" t="s">
        <v>124</v>
      </c>
      <c r="BA6" s="17" t="s">
        <v>125</v>
      </c>
      <c r="BB6" s="17" t="s">
        <v>126</v>
      </c>
    </row>
    <row r="7" spans="1:54">
      <c r="A7" s="12">
        <v>1</v>
      </c>
      <c r="B7" s="13">
        <v>1220321013</v>
      </c>
      <c r="C7" s="14" t="s">
        <v>23</v>
      </c>
      <c r="D7" s="39">
        <v>4</v>
      </c>
      <c r="E7" s="39">
        <v>0</v>
      </c>
      <c r="F7" s="39">
        <f t="shared" ref="F7:F70" si="0">E7/D7*100</f>
        <v>0</v>
      </c>
      <c r="G7" s="39">
        <v>2</v>
      </c>
      <c r="H7" s="39">
        <v>0</v>
      </c>
      <c r="I7" s="39">
        <f t="shared" ref="I7:I70" si="1">H7/G7*100</f>
        <v>0</v>
      </c>
      <c r="J7" s="40">
        <v>7</v>
      </c>
      <c r="K7" s="40">
        <v>2</v>
      </c>
      <c r="L7" s="41">
        <f t="shared" ref="L7:L70" si="2">K7/J7*100</f>
        <v>28.571428571428569</v>
      </c>
      <c r="M7" s="42">
        <v>7</v>
      </c>
      <c r="N7" s="42">
        <v>3</v>
      </c>
      <c r="O7" s="41">
        <f t="shared" ref="O7:O70" si="3">N7/M7*100</f>
        <v>42.857142857142854</v>
      </c>
      <c r="P7" s="40">
        <v>7</v>
      </c>
      <c r="Q7" s="40">
        <v>3</v>
      </c>
      <c r="R7" s="41">
        <f t="shared" ref="R7:R70" si="4">Q7/P7*100</f>
        <v>42.857142857142854</v>
      </c>
      <c r="S7" s="42">
        <v>0</v>
      </c>
      <c r="T7" s="42">
        <v>0</v>
      </c>
      <c r="U7" s="41" t="e">
        <f t="shared" ref="U7:U70" si="5">T7/S7*100</f>
        <v>#DIV/0!</v>
      </c>
      <c r="V7" s="39">
        <v>4</v>
      </c>
      <c r="W7" s="39">
        <v>0</v>
      </c>
      <c r="X7" s="41">
        <f t="shared" ref="X7:X70" si="6">W7/V7*100</f>
        <v>0</v>
      </c>
      <c r="Y7" s="42">
        <v>2</v>
      </c>
      <c r="Z7" s="42">
        <v>0</v>
      </c>
      <c r="AA7" s="41">
        <f t="shared" ref="AA7:AA70" si="7">Z7/Y7*100</f>
        <v>0</v>
      </c>
      <c r="AB7" s="40">
        <v>4</v>
      </c>
      <c r="AC7" s="40">
        <v>2</v>
      </c>
      <c r="AD7" s="41">
        <f t="shared" ref="AD7:AD70" si="8">AC7/AB7*100</f>
        <v>50</v>
      </c>
      <c r="AE7" s="42">
        <v>4</v>
      </c>
      <c r="AF7" s="42">
        <v>1</v>
      </c>
      <c r="AG7" s="41">
        <f t="shared" ref="AG7:AG70" si="9">AF7/AE7*100</f>
        <v>25</v>
      </c>
      <c r="AH7" s="40">
        <v>8</v>
      </c>
      <c r="AI7" s="40">
        <v>3</v>
      </c>
      <c r="AJ7" s="41">
        <f t="shared" ref="AJ7:AJ70" si="10">AI7/AH7*100</f>
        <v>37.5</v>
      </c>
      <c r="AK7" s="42">
        <v>6</v>
      </c>
      <c r="AL7" s="42">
        <v>3</v>
      </c>
      <c r="AM7" s="41">
        <f t="shared" ref="AM7:AM70" si="11">AL7/AK7*100</f>
        <v>50</v>
      </c>
      <c r="AN7" s="42">
        <v>7</v>
      </c>
      <c r="AO7" s="42">
        <v>3</v>
      </c>
      <c r="AP7" s="41">
        <f t="shared" ref="AP7:AP70" si="12">AO7/AN7*100</f>
        <v>42.857142857142854</v>
      </c>
      <c r="AQ7" s="40">
        <v>4</v>
      </c>
      <c r="AR7" s="40">
        <v>2</v>
      </c>
      <c r="AS7" s="41">
        <f t="shared" ref="AS7:AS70" si="13">AR7/AQ7*100</f>
        <v>50</v>
      </c>
      <c r="AT7" s="10">
        <f>SUM(D7,J7,P7,V7,AB7,AH7,AN7)</f>
        <v>41</v>
      </c>
      <c r="AU7" s="10">
        <f>SUM(E7,K7,Q7,W7,AC7,AI7,AO7)</f>
        <v>13</v>
      </c>
      <c r="AV7" s="26">
        <f>AU7/AT7*100</f>
        <v>31.707317073170731</v>
      </c>
      <c r="AW7" s="10">
        <f>SUM(G7,M7,S7,Y7,AE7,AK7,AQ7)</f>
        <v>25</v>
      </c>
      <c r="AX7" s="10">
        <f>SUM(H7,N7,T7,Z7,AF7,AL7,AR7)</f>
        <v>9</v>
      </c>
      <c r="AY7" s="26">
        <f>AX7/AW7*100</f>
        <v>36</v>
      </c>
      <c r="AZ7" s="10">
        <f>SUM(AT7,AW7)</f>
        <v>66</v>
      </c>
      <c r="BA7" s="10">
        <f>SUM(AU7,AX7)</f>
        <v>22</v>
      </c>
      <c r="BB7" s="27">
        <f>BA7/AZ7*100</f>
        <v>33.333333333333329</v>
      </c>
    </row>
    <row r="8" spans="1:54">
      <c r="A8" s="12">
        <v>2</v>
      </c>
      <c r="B8" s="13">
        <v>1220321039</v>
      </c>
      <c r="C8" s="14" t="s">
        <v>24</v>
      </c>
      <c r="D8" s="39">
        <v>4</v>
      </c>
      <c r="E8" s="39">
        <v>0</v>
      </c>
      <c r="F8" s="39">
        <f t="shared" si="0"/>
        <v>0</v>
      </c>
      <c r="G8" s="39">
        <v>2</v>
      </c>
      <c r="H8" s="39">
        <v>0</v>
      </c>
      <c r="I8" s="39">
        <f t="shared" si="1"/>
        <v>0</v>
      </c>
      <c r="J8" s="40">
        <v>7</v>
      </c>
      <c r="K8" s="40">
        <v>4</v>
      </c>
      <c r="L8" s="41">
        <f t="shared" si="2"/>
        <v>57.142857142857139</v>
      </c>
      <c r="M8" s="42">
        <v>7</v>
      </c>
      <c r="N8" s="42">
        <v>4</v>
      </c>
      <c r="O8" s="41">
        <f t="shared" si="3"/>
        <v>57.142857142857139</v>
      </c>
      <c r="P8" s="40">
        <v>7</v>
      </c>
      <c r="Q8" s="40">
        <v>2</v>
      </c>
      <c r="R8" s="41">
        <f t="shared" si="4"/>
        <v>28.571428571428569</v>
      </c>
      <c r="S8" s="42">
        <v>3</v>
      </c>
      <c r="T8" s="42">
        <v>0</v>
      </c>
      <c r="U8" s="41">
        <f t="shared" si="5"/>
        <v>0</v>
      </c>
      <c r="V8" s="39">
        <v>4</v>
      </c>
      <c r="W8" s="39">
        <v>3</v>
      </c>
      <c r="X8" s="41">
        <f t="shared" si="6"/>
        <v>75</v>
      </c>
      <c r="Y8" s="42">
        <v>2</v>
      </c>
      <c r="Z8" s="42">
        <v>1</v>
      </c>
      <c r="AA8" s="41">
        <f t="shared" si="7"/>
        <v>50</v>
      </c>
      <c r="AB8" s="40">
        <v>4</v>
      </c>
      <c r="AC8" s="40">
        <v>0</v>
      </c>
      <c r="AD8" s="41">
        <f t="shared" si="8"/>
        <v>0</v>
      </c>
      <c r="AE8" s="42">
        <v>4</v>
      </c>
      <c r="AF8" s="42">
        <v>1</v>
      </c>
      <c r="AG8" s="41">
        <f t="shared" si="9"/>
        <v>25</v>
      </c>
      <c r="AH8" s="40">
        <v>8</v>
      </c>
      <c r="AI8" s="40">
        <v>3</v>
      </c>
      <c r="AJ8" s="41">
        <f t="shared" si="10"/>
        <v>37.5</v>
      </c>
      <c r="AK8" s="42">
        <v>6</v>
      </c>
      <c r="AL8" s="42">
        <v>1</v>
      </c>
      <c r="AM8" s="41">
        <f t="shared" si="11"/>
        <v>16.666666666666664</v>
      </c>
      <c r="AN8" s="42">
        <v>7</v>
      </c>
      <c r="AO8" s="42">
        <v>2</v>
      </c>
      <c r="AP8" s="41">
        <f t="shared" si="12"/>
        <v>28.571428571428569</v>
      </c>
      <c r="AQ8" s="40">
        <v>4</v>
      </c>
      <c r="AR8" s="40">
        <v>1</v>
      </c>
      <c r="AS8" s="41">
        <f t="shared" si="13"/>
        <v>25</v>
      </c>
      <c r="AT8" s="10">
        <f t="shared" ref="AT8:AU71" si="14">SUM(D8,J8,P8,V8,AB8,AH8,AN8)</f>
        <v>41</v>
      </c>
      <c r="AU8" s="10">
        <f t="shared" si="14"/>
        <v>14</v>
      </c>
      <c r="AV8" s="26">
        <f t="shared" ref="AV8:AV71" si="15">AU8/AT8*100</f>
        <v>34.146341463414636</v>
      </c>
      <c r="AW8" s="10">
        <f t="shared" ref="AW8:AX71" si="16">SUM(G8,M8,S8,Y8,AE8,AK8,AQ8)</f>
        <v>28</v>
      </c>
      <c r="AX8" s="10">
        <f t="shared" si="16"/>
        <v>8</v>
      </c>
      <c r="AY8" s="26">
        <f t="shared" ref="AY8:AY71" si="17">AX8/AW8*100</f>
        <v>28.571428571428569</v>
      </c>
      <c r="AZ8" s="10">
        <f t="shared" ref="AZ8:BA71" si="18">SUM(AT8,AW8)</f>
        <v>69</v>
      </c>
      <c r="BA8" s="10">
        <f t="shared" si="18"/>
        <v>22</v>
      </c>
      <c r="BB8" s="27">
        <f t="shared" ref="BB8:BB71" si="19">BA8/AZ8*100</f>
        <v>31.884057971014489</v>
      </c>
    </row>
    <row r="9" spans="1:54">
      <c r="A9" s="12">
        <v>3</v>
      </c>
      <c r="B9" s="13">
        <v>1220321040</v>
      </c>
      <c r="C9" s="14" t="s">
        <v>25</v>
      </c>
      <c r="D9" s="39">
        <v>4</v>
      </c>
      <c r="E9" s="39">
        <v>0</v>
      </c>
      <c r="F9" s="39">
        <f t="shared" si="0"/>
        <v>0</v>
      </c>
      <c r="G9" s="39">
        <v>2</v>
      </c>
      <c r="H9" s="39">
        <v>0</v>
      </c>
      <c r="I9" s="39">
        <f t="shared" si="1"/>
        <v>0</v>
      </c>
      <c r="J9" s="40">
        <v>7</v>
      </c>
      <c r="K9" s="40">
        <v>2</v>
      </c>
      <c r="L9" s="41">
        <f t="shared" si="2"/>
        <v>28.571428571428569</v>
      </c>
      <c r="M9" s="42">
        <v>7</v>
      </c>
      <c r="N9" s="42">
        <v>0</v>
      </c>
      <c r="O9" s="41">
        <f t="shared" si="3"/>
        <v>0</v>
      </c>
      <c r="P9" s="40">
        <v>7</v>
      </c>
      <c r="Q9" s="40">
        <v>4</v>
      </c>
      <c r="R9" s="41">
        <f t="shared" si="4"/>
        <v>57.142857142857139</v>
      </c>
      <c r="S9" s="42">
        <v>2</v>
      </c>
      <c r="T9" s="42">
        <v>2</v>
      </c>
      <c r="U9" s="41">
        <f t="shared" si="5"/>
        <v>100</v>
      </c>
      <c r="V9" s="39">
        <v>4</v>
      </c>
      <c r="W9" s="39">
        <v>2</v>
      </c>
      <c r="X9" s="41">
        <f t="shared" si="6"/>
        <v>50</v>
      </c>
      <c r="Y9" s="42">
        <v>2</v>
      </c>
      <c r="Z9" s="42">
        <v>1</v>
      </c>
      <c r="AA9" s="41">
        <f t="shared" si="7"/>
        <v>50</v>
      </c>
      <c r="AB9" s="40">
        <v>4</v>
      </c>
      <c r="AC9" s="40">
        <v>2</v>
      </c>
      <c r="AD9" s="41">
        <f t="shared" si="8"/>
        <v>50</v>
      </c>
      <c r="AE9" s="42">
        <v>4</v>
      </c>
      <c r="AF9" s="42">
        <v>2</v>
      </c>
      <c r="AG9" s="41">
        <f t="shared" si="9"/>
        <v>50</v>
      </c>
      <c r="AH9" s="40">
        <v>8</v>
      </c>
      <c r="AI9" s="40">
        <v>5</v>
      </c>
      <c r="AJ9" s="41">
        <f t="shared" si="10"/>
        <v>62.5</v>
      </c>
      <c r="AK9" s="42">
        <v>6</v>
      </c>
      <c r="AL9" s="42">
        <v>5</v>
      </c>
      <c r="AM9" s="41">
        <f t="shared" si="11"/>
        <v>83.333333333333343</v>
      </c>
      <c r="AN9" s="42">
        <v>7</v>
      </c>
      <c r="AO9" s="42">
        <v>1</v>
      </c>
      <c r="AP9" s="41">
        <f t="shared" si="12"/>
        <v>14.285714285714285</v>
      </c>
      <c r="AQ9" s="40">
        <v>4</v>
      </c>
      <c r="AR9" s="40">
        <v>1</v>
      </c>
      <c r="AS9" s="41">
        <f t="shared" si="13"/>
        <v>25</v>
      </c>
      <c r="AT9" s="10">
        <f t="shared" si="14"/>
        <v>41</v>
      </c>
      <c r="AU9" s="10">
        <f t="shared" si="14"/>
        <v>16</v>
      </c>
      <c r="AV9" s="26">
        <f t="shared" si="15"/>
        <v>39.024390243902438</v>
      </c>
      <c r="AW9" s="10">
        <f t="shared" si="16"/>
        <v>27</v>
      </c>
      <c r="AX9" s="10">
        <f t="shared" si="16"/>
        <v>11</v>
      </c>
      <c r="AY9" s="26">
        <f t="shared" si="17"/>
        <v>40.74074074074074</v>
      </c>
      <c r="AZ9" s="10">
        <f t="shared" si="18"/>
        <v>68</v>
      </c>
      <c r="BA9" s="10">
        <f t="shared" si="18"/>
        <v>27</v>
      </c>
      <c r="BB9" s="27">
        <f t="shared" si="19"/>
        <v>39.705882352941174</v>
      </c>
    </row>
    <row r="10" spans="1:54">
      <c r="A10" s="12">
        <v>4</v>
      </c>
      <c r="B10" s="13">
        <v>1220321049</v>
      </c>
      <c r="C10" s="14" t="s">
        <v>26</v>
      </c>
      <c r="D10" s="39">
        <v>4</v>
      </c>
      <c r="E10" s="39">
        <v>0</v>
      </c>
      <c r="F10" s="39">
        <f t="shared" si="0"/>
        <v>0</v>
      </c>
      <c r="G10" s="39">
        <v>2</v>
      </c>
      <c r="H10" s="39">
        <v>0</v>
      </c>
      <c r="I10" s="39">
        <f t="shared" si="1"/>
        <v>0</v>
      </c>
      <c r="J10" s="40">
        <v>7</v>
      </c>
      <c r="K10" s="40">
        <v>0</v>
      </c>
      <c r="L10" s="41">
        <f t="shared" si="2"/>
        <v>0</v>
      </c>
      <c r="M10" s="42">
        <v>7</v>
      </c>
      <c r="N10" s="42">
        <v>0</v>
      </c>
      <c r="O10" s="41">
        <f t="shared" si="3"/>
        <v>0</v>
      </c>
      <c r="P10" s="40">
        <v>7</v>
      </c>
      <c r="Q10" s="40">
        <v>2</v>
      </c>
      <c r="R10" s="41">
        <f t="shared" si="4"/>
        <v>28.571428571428569</v>
      </c>
      <c r="S10" s="42">
        <v>3</v>
      </c>
      <c r="T10" s="42">
        <v>2</v>
      </c>
      <c r="U10" s="41">
        <f t="shared" si="5"/>
        <v>66.666666666666657</v>
      </c>
      <c r="V10" s="39">
        <v>4</v>
      </c>
      <c r="W10" s="39">
        <v>0</v>
      </c>
      <c r="X10" s="41">
        <f t="shared" si="6"/>
        <v>0</v>
      </c>
      <c r="Y10" s="42">
        <v>2</v>
      </c>
      <c r="Z10" s="42">
        <v>0</v>
      </c>
      <c r="AA10" s="41">
        <f t="shared" si="7"/>
        <v>0</v>
      </c>
      <c r="AB10" s="40">
        <v>4</v>
      </c>
      <c r="AC10" s="40">
        <v>0</v>
      </c>
      <c r="AD10" s="41">
        <f t="shared" si="8"/>
        <v>0</v>
      </c>
      <c r="AE10" s="42">
        <v>4</v>
      </c>
      <c r="AF10" s="42">
        <v>0</v>
      </c>
      <c r="AG10" s="41">
        <f t="shared" si="9"/>
        <v>0</v>
      </c>
      <c r="AH10" s="40">
        <v>8</v>
      </c>
      <c r="AI10" s="40">
        <v>5</v>
      </c>
      <c r="AJ10" s="41">
        <f t="shared" si="10"/>
        <v>62.5</v>
      </c>
      <c r="AK10" s="42">
        <v>6</v>
      </c>
      <c r="AL10" s="42">
        <v>1</v>
      </c>
      <c r="AM10" s="41">
        <f t="shared" si="11"/>
        <v>16.666666666666664</v>
      </c>
      <c r="AN10" s="42">
        <v>7</v>
      </c>
      <c r="AO10" s="42">
        <v>2</v>
      </c>
      <c r="AP10" s="41">
        <f t="shared" si="12"/>
        <v>28.571428571428569</v>
      </c>
      <c r="AQ10" s="40">
        <v>4</v>
      </c>
      <c r="AR10" s="40">
        <v>0</v>
      </c>
      <c r="AS10" s="41">
        <f t="shared" si="13"/>
        <v>0</v>
      </c>
      <c r="AT10" s="10">
        <f t="shared" si="14"/>
        <v>41</v>
      </c>
      <c r="AU10" s="10">
        <f t="shared" si="14"/>
        <v>9</v>
      </c>
      <c r="AV10" s="26">
        <f t="shared" si="15"/>
        <v>21.951219512195124</v>
      </c>
      <c r="AW10" s="10">
        <f t="shared" si="16"/>
        <v>28</v>
      </c>
      <c r="AX10" s="10">
        <f t="shared" si="16"/>
        <v>3</v>
      </c>
      <c r="AY10" s="26">
        <f t="shared" si="17"/>
        <v>10.714285714285714</v>
      </c>
      <c r="AZ10" s="10">
        <f t="shared" si="18"/>
        <v>69</v>
      </c>
      <c r="BA10" s="10">
        <f t="shared" si="18"/>
        <v>12</v>
      </c>
      <c r="BB10" s="27">
        <f t="shared" si="19"/>
        <v>17.391304347826086</v>
      </c>
    </row>
    <row r="11" spans="1:54">
      <c r="A11" s="12">
        <v>5</v>
      </c>
      <c r="B11" s="13">
        <v>1230321002</v>
      </c>
      <c r="C11" s="14" t="s">
        <v>27</v>
      </c>
      <c r="D11" s="39">
        <v>4</v>
      </c>
      <c r="E11" s="39">
        <v>3</v>
      </c>
      <c r="F11" s="39">
        <f t="shared" si="0"/>
        <v>75</v>
      </c>
      <c r="G11" s="39">
        <v>2</v>
      </c>
      <c r="H11" s="39">
        <v>0</v>
      </c>
      <c r="I11" s="39">
        <f t="shared" si="1"/>
        <v>0</v>
      </c>
      <c r="J11" s="40">
        <v>7</v>
      </c>
      <c r="K11" s="40">
        <v>5</v>
      </c>
      <c r="L11" s="41">
        <f t="shared" si="2"/>
        <v>71.428571428571431</v>
      </c>
      <c r="M11" s="42">
        <v>6</v>
      </c>
      <c r="N11" s="42">
        <v>5</v>
      </c>
      <c r="O11" s="41">
        <f t="shared" si="3"/>
        <v>83.333333333333343</v>
      </c>
      <c r="P11" s="40">
        <v>7</v>
      </c>
      <c r="Q11" s="40">
        <v>5</v>
      </c>
      <c r="R11" s="41">
        <f t="shared" si="4"/>
        <v>71.428571428571431</v>
      </c>
      <c r="S11" s="42">
        <v>2</v>
      </c>
      <c r="T11" s="42">
        <v>1</v>
      </c>
      <c r="U11" s="41">
        <f t="shared" si="5"/>
        <v>50</v>
      </c>
      <c r="V11" s="39">
        <v>4</v>
      </c>
      <c r="W11" s="39">
        <v>2</v>
      </c>
      <c r="X11" s="41">
        <f t="shared" si="6"/>
        <v>50</v>
      </c>
      <c r="Y11" s="42">
        <v>2</v>
      </c>
      <c r="Z11" s="42">
        <v>2</v>
      </c>
      <c r="AA11" s="41">
        <f t="shared" si="7"/>
        <v>100</v>
      </c>
      <c r="AB11" s="40">
        <v>4</v>
      </c>
      <c r="AC11" s="40">
        <v>3</v>
      </c>
      <c r="AD11" s="41">
        <f t="shared" si="8"/>
        <v>75</v>
      </c>
      <c r="AE11" s="42">
        <v>4</v>
      </c>
      <c r="AF11" s="42">
        <v>4</v>
      </c>
      <c r="AG11" s="41">
        <f t="shared" si="9"/>
        <v>100</v>
      </c>
      <c r="AH11" s="40">
        <v>8</v>
      </c>
      <c r="AI11" s="40">
        <v>7</v>
      </c>
      <c r="AJ11" s="41">
        <f t="shared" si="10"/>
        <v>87.5</v>
      </c>
      <c r="AK11" s="42">
        <v>6</v>
      </c>
      <c r="AL11" s="42">
        <v>4</v>
      </c>
      <c r="AM11" s="41">
        <f t="shared" si="11"/>
        <v>66.666666666666657</v>
      </c>
      <c r="AN11" s="42">
        <v>7</v>
      </c>
      <c r="AO11" s="42">
        <v>7</v>
      </c>
      <c r="AP11" s="41">
        <f t="shared" si="12"/>
        <v>100</v>
      </c>
      <c r="AQ11" s="40">
        <v>4</v>
      </c>
      <c r="AR11" s="40">
        <v>3</v>
      </c>
      <c r="AS11" s="41">
        <f t="shared" si="13"/>
        <v>75</v>
      </c>
      <c r="AT11" s="10">
        <f t="shared" si="14"/>
        <v>41</v>
      </c>
      <c r="AU11" s="10">
        <f t="shared" si="14"/>
        <v>32</v>
      </c>
      <c r="AV11" s="26">
        <f t="shared" si="15"/>
        <v>78.048780487804876</v>
      </c>
      <c r="AW11" s="10">
        <f t="shared" si="16"/>
        <v>26</v>
      </c>
      <c r="AX11" s="10">
        <f t="shared" si="16"/>
        <v>19</v>
      </c>
      <c r="AY11" s="26">
        <f t="shared" si="17"/>
        <v>73.076923076923066</v>
      </c>
      <c r="AZ11" s="10">
        <f t="shared" si="18"/>
        <v>67</v>
      </c>
      <c r="BA11" s="10">
        <f t="shared" si="18"/>
        <v>51</v>
      </c>
      <c r="BB11" s="27">
        <f t="shared" si="19"/>
        <v>76.119402985074629</v>
      </c>
    </row>
    <row r="12" spans="1:54">
      <c r="A12" s="12">
        <v>6</v>
      </c>
      <c r="B12" s="13">
        <v>1230321003</v>
      </c>
      <c r="C12" s="14" t="s">
        <v>28</v>
      </c>
      <c r="D12" s="39">
        <v>4</v>
      </c>
      <c r="E12" s="39">
        <v>2</v>
      </c>
      <c r="F12" s="39">
        <f t="shared" si="0"/>
        <v>50</v>
      </c>
      <c r="G12" s="39">
        <v>2</v>
      </c>
      <c r="H12" s="39">
        <v>0</v>
      </c>
      <c r="I12" s="39">
        <f t="shared" si="1"/>
        <v>0</v>
      </c>
      <c r="J12" s="40">
        <v>7</v>
      </c>
      <c r="K12" s="40">
        <v>5</v>
      </c>
      <c r="L12" s="41">
        <f t="shared" si="2"/>
        <v>71.428571428571431</v>
      </c>
      <c r="M12" s="42">
        <v>6</v>
      </c>
      <c r="N12" s="42">
        <v>3</v>
      </c>
      <c r="O12" s="41">
        <f t="shared" si="3"/>
        <v>50</v>
      </c>
      <c r="P12" s="40">
        <v>7</v>
      </c>
      <c r="Q12" s="40">
        <v>4</v>
      </c>
      <c r="R12" s="41">
        <f t="shared" si="4"/>
        <v>57.142857142857139</v>
      </c>
      <c r="S12" s="42">
        <v>2</v>
      </c>
      <c r="T12" s="42">
        <v>0</v>
      </c>
      <c r="U12" s="41">
        <f t="shared" si="5"/>
        <v>0</v>
      </c>
      <c r="V12" s="39">
        <v>4</v>
      </c>
      <c r="W12" s="39">
        <v>2</v>
      </c>
      <c r="X12" s="41">
        <f t="shared" si="6"/>
        <v>50</v>
      </c>
      <c r="Y12" s="42">
        <v>2</v>
      </c>
      <c r="Z12" s="42">
        <v>1</v>
      </c>
      <c r="AA12" s="41">
        <f t="shared" si="7"/>
        <v>50</v>
      </c>
      <c r="AB12" s="40">
        <v>4</v>
      </c>
      <c r="AC12" s="40">
        <v>3</v>
      </c>
      <c r="AD12" s="41">
        <f t="shared" si="8"/>
        <v>75</v>
      </c>
      <c r="AE12" s="42">
        <v>4</v>
      </c>
      <c r="AF12" s="42">
        <v>3</v>
      </c>
      <c r="AG12" s="41">
        <f t="shared" si="9"/>
        <v>75</v>
      </c>
      <c r="AH12" s="40">
        <v>8</v>
      </c>
      <c r="AI12" s="40">
        <v>5</v>
      </c>
      <c r="AJ12" s="41">
        <f t="shared" si="10"/>
        <v>62.5</v>
      </c>
      <c r="AK12" s="42">
        <v>6</v>
      </c>
      <c r="AL12" s="42">
        <v>2</v>
      </c>
      <c r="AM12" s="41">
        <f t="shared" si="11"/>
        <v>33.333333333333329</v>
      </c>
      <c r="AN12" s="42">
        <v>7</v>
      </c>
      <c r="AO12" s="42">
        <v>5</v>
      </c>
      <c r="AP12" s="41">
        <f t="shared" si="12"/>
        <v>71.428571428571431</v>
      </c>
      <c r="AQ12" s="40">
        <v>4</v>
      </c>
      <c r="AR12" s="40">
        <v>3</v>
      </c>
      <c r="AS12" s="41">
        <f t="shared" si="13"/>
        <v>75</v>
      </c>
      <c r="AT12" s="10">
        <f t="shared" si="14"/>
        <v>41</v>
      </c>
      <c r="AU12" s="10">
        <f t="shared" si="14"/>
        <v>26</v>
      </c>
      <c r="AV12" s="26">
        <f t="shared" si="15"/>
        <v>63.414634146341463</v>
      </c>
      <c r="AW12" s="10">
        <f t="shared" si="16"/>
        <v>26</v>
      </c>
      <c r="AX12" s="10">
        <f t="shared" si="16"/>
        <v>12</v>
      </c>
      <c r="AY12" s="26">
        <f t="shared" si="17"/>
        <v>46.153846153846153</v>
      </c>
      <c r="AZ12" s="10">
        <f t="shared" si="18"/>
        <v>67</v>
      </c>
      <c r="BA12" s="10">
        <f t="shared" si="18"/>
        <v>38</v>
      </c>
      <c r="BB12" s="27">
        <f t="shared" si="19"/>
        <v>56.71641791044776</v>
      </c>
    </row>
    <row r="13" spans="1:54">
      <c r="A13" s="12">
        <v>7</v>
      </c>
      <c r="B13" s="13">
        <v>1230321004</v>
      </c>
      <c r="C13" s="14" t="s">
        <v>29</v>
      </c>
      <c r="D13" s="39">
        <v>4</v>
      </c>
      <c r="E13" s="39">
        <v>0</v>
      </c>
      <c r="F13" s="39">
        <f t="shared" si="0"/>
        <v>0</v>
      </c>
      <c r="G13" s="39">
        <v>2</v>
      </c>
      <c r="H13" s="39">
        <v>0</v>
      </c>
      <c r="I13" s="39">
        <f t="shared" si="1"/>
        <v>0</v>
      </c>
      <c r="J13" s="40">
        <v>7</v>
      </c>
      <c r="K13" s="40">
        <v>3</v>
      </c>
      <c r="L13" s="41">
        <f t="shared" si="2"/>
        <v>42.857142857142854</v>
      </c>
      <c r="M13" s="42">
        <v>6</v>
      </c>
      <c r="N13" s="42">
        <v>3</v>
      </c>
      <c r="O13" s="41">
        <f t="shared" si="3"/>
        <v>50</v>
      </c>
      <c r="P13" s="40">
        <v>7</v>
      </c>
      <c r="Q13" s="40">
        <v>3</v>
      </c>
      <c r="R13" s="41">
        <f t="shared" si="4"/>
        <v>42.857142857142854</v>
      </c>
      <c r="S13" s="42">
        <v>2</v>
      </c>
      <c r="T13" s="42">
        <v>2</v>
      </c>
      <c r="U13" s="41">
        <f t="shared" si="5"/>
        <v>100</v>
      </c>
      <c r="V13" s="39">
        <v>4</v>
      </c>
      <c r="W13" s="39">
        <v>2</v>
      </c>
      <c r="X13" s="41">
        <f t="shared" si="6"/>
        <v>50</v>
      </c>
      <c r="Y13" s="42">
        <v>2</v>
      </c>
      <c r="Z13" s="42">
        <v>1</v>
      </c>
      <c r="AA13" s="41">
        <f t="shared" si="7"/>
        <v>50</v>
      </c>
      <c r="AB13" s="40">
        <v>4</v>
      </c>
      <c r="AC13" s="40">
        <v>2</v>
      </c>
      <c r="AD13" s="41">
        <f t="shared" si="8"/>
        <v>50</v>
      </c>
      <c r="AE13" s="42">
        <v>4</v>
      </c>
      <c r="AF13" s="42">
        <v>2</v>
      </c>
      <c r="AG13" s="41">
        <f t="shared" si="9"/>
        <v>50</v>
      </c>
      <c r="AH13" s="40">
        <v>8</v>
      </c>
      <c r="AI13" s="40">
        <v>5</v>
      </c>
      <c r="AJ13" s="41">
        <f t="shared" si="10"/>
        <v>62.5</v>
      </c>
      <c r="AK13" s="42">
        <v>6</v>
      </c>
      <c r="AL13" s="42">
        <v>3</v>
      </c>
      <c r="AM13" s="41">
        <f t="shared" si="11"/>
        <v>50</v>
      </c>
      <c r="AN13" s="42">
        <v>7</v>
      </c>
      <c r="AO13" s="42">
        <v>7</v>
      </c>
      <c r="AP13" s="41">
        <f t="shared" si="12"/>
        <v>100</v>
      </c>
      <c r="AQ13" s="40">
        <v>4</v>
      </c>
      <c r="AR13" s="40">
        <v>4</v>
      </c>
      <c r="AS13" s="41">
        <f t="shared" si="13"/>
        <v>100</v>
      </c>
      <c r="AT13" s="10">
        <f t="shared" si="14"/>
        <v>41</v>
      </c>
      <c r="AU13" s="10">
        <f t="shared" si="14"/>
        <v>22</v>
      </c>
      <c r="AV13" s="26">
        <f t="shared" si="15"/>
        <v>53.658536585365859</v>
      </c>
      <c r="AW13" s="10">
        <f t="shared" si="16"/>
        <v>26</v>
      </c>
      <c r="AX13" s="10">
        <f t="shared" si="16"/>
        <v>15</v>
      </c>
      <c r="AY13" s="26">
        <f t="shared" si="17"/>
        <v>57.692307692307686</v>
      </c>
      <c r="AZ13" s="10">
        <f t="shared" si="18"/>
        <v>67</v>
      </c>
      <c r="BA13" s="10">
        <f t="shared" si="18"/>
        <v>37</v>
      </c>
      <c r="BB13" s="27">
        <f t="shared" si="19"/>
        <v>55.223880597014926</v>
      </c>
    </row>
    <row r="14" spans="1:54">
      <c r="A14" s="12">
        <v>8</v>
      </c>
      <c r="B14" s="13">
        <v>1230321005</v>
      </c>
      <c r="C14" s="14" t="s">
        <v>30</v>
      </c>
      <c r="D14" s="39">
        <v>4</v>
      </c>
      <c r="E14" s="39">
        <v>2</v>
      </c>
      <c r="F14" s="39">
        <f t="shared" si="0"/>
        <v>50</v>
      </c>
      <c r="G14" s="39">
        <v>2</v>
      </c>
      <c r="H14" s="39">
        <v>0</v>
      </c>
      <c r="I14" s="39">
        <f t="shared" si="1"/>
        <v>0</v>
      </c>
      <c r="J14" s="40">
        <v>7</v>
      </c>
      <c r="K14" s="40">
        <v>5</v>
      </c>
      <c r="L14" s="41">
        <f t="shared" si="2"/>
        <v>71.428571428571431</v>
      </c>
      <c r="M14" s="42">
        <v>6</v>
      </c>
      <c r="N14" s="42">
        <v>4</v>
      </c>
      <c r="O14" s="41">
        <f t="shared" si="3"/>
        <v>66.666666666666657</v>
      </c>
      <c r="P14" s="40">
        <v>7</v>
      </c>
      <c r="Q14" s="40">
        <v>6</v>
      </c>
      <c r="R14" s="41">
        <f t="shared" si="4"/>
        <v>85.714285714285708</v>
      </c>
      <c r="S14" s="42">
        <v>2</v>
      </c>
      <c r="T14" s="42">
        <v>1</v>
      </c>
      <c r="U14" s="41">
        <f t="shared" si="5"/>
        <v>50</v>
      </c>
      <c r="V14" s="39">
        <v>4</v>
      </c>
      <c r="W14" s="39">
        <v>1</v>
      </c>
      <c r="X14" s="41">
        <f t="shared" si="6"/>
        <v>25</v>
      </c>
      <c r="Y14" s="42">
        <v>2</v>
      </c>
      <c r="Z14" s="42">
        <v>1</v>
      </c>
      <c r="AA14" s="41">
        <f t="shared" si="7"/>
        <v>50</v>
      </c>
      <c r="AB14" s="40">
        <v>4</v>
      </c>
      <c r="AC14" s="40">
        <v>2</v>
      </c>
      <c r="AD14" s="41">
        <f t="shared" si="8"/>
        <v>50</v>
      </c>
      <c r="AE14" s="42">
        <v>4</v>
      </c>
      <c r="AF14" s="42">
        <v>3</v>
      </c>
      <c r="AG14" s="41">
        <f t="shared" si="9"/>
        <v>75</v>
      </c>
      <c r="AH14" s="40">
        <v>8</v>
      </c>
      <c r="AI14" s="40">
        <v>5</v>
      </c>
      <c r="AJ14" s="41">
        <f t="shared" si="10"/>
        <v>62.5</v>
      </c>
      <c r="AK14" s="42">
        <v>6</v>
      </c>
      <c r="AL14" s="42">
        <v>2</v>
      </c>
      <c r="AM14" s="41">
        <f t="shared" si="11"/>
        <v>33.333333333333329</v>
      </c>
      <c r="AN14" s="42">
        <v>7</v>
      </c>
      <c r="AO14" s="42">
        <v>7</v>
      </c>
      <c r="AP14" s="41">
        <f t="shared" si="12"/>
        <v>100</v>
      </c>
      <c r="AQ14" s="40">
        <v>4</v>
      </c>
      <c r="AR14" s="40">
        <v>3</v>
      </c>
      <c r="AS14" s="41">
        <f t="shared" si="13"/>
        <v>75</v>
      </c>
      <c r="AT14" s="10">
        <f t="shared" si="14"/>
        <v>41</v>
      </c>
      <c r="AU14" s="10">
        <f t="shared" si="14"/>
        <v>28</v>
      </c>
      <c r="AV14" s="26">
        <f t="shared" si="15"/>
        <v>68.292682926829272</v>
      </c>
      <c r="AW14" s="10">
        <f t="shared" si="16"/>
        <v>26</v>
      </c>
      <c r="AX14" s="10">
        <f t="shared" si="16"/>
        <v>14</v>
      </c>
      <c r="AY14" s="26">
        <f t="shared" si="17"/>
        <v>53.846153846153847</v>
      </c>
      <c r="AZ14" s="10">
        <f t="shared" si="18"/>
        <v>67</v>
      </c>
      <c r="BA14" s="10">
        <f t="shared" si="18"/>
        <v>42</v>
      </c>
      <c r="BB14" s="27">
        <f t="shared" si="19"/>
        <v>62.68656716417911</v>
      </c>
    </row>
    <row r="15" spans="1:54">
      <c r="A15" s="12">
        <v>9</v>
      </c>
      <c r="B15" s="13">
        <v>1230321006</v>
      </c>
      <c r="C15" s="14" t="s">
        <v>31</v>
      </c>
      <c r="D15" s="39">
        <v>4</v>
      </c>
      <c r="E15" s="39">
        <v>2</v>
      </c>
      <c r="F15" s="39">
        <f t="shared" si="0"/>
        <v>50</v>
      </c>
      <c r="G15" s="39">
        <v>2</v>
      </c>
      <c r="H15" s="39">
        <v>0</v>
      </c>
      <c r="I15" s="39">
        <f t="shared" si="1"/>
        <v>0</v>
      </c>
      <c r="J15" s="40">
        <v>7</v>
      </c>
      <c r="K15" s="40">
        <v>5</v>
      </c>
      <c r="L15" s="41">
        <f t="shared" si="2"/>
        <v>71.428571428571431</v>
      </c>
      <c r="M15" s="42">
        <v>6</v>
      </c>
      <c r="N15" s="42">
        <v>4</v>
      </c>
      <c r="O15" s="41">
        <f t="shared" si="3"/>
        <v>66.666666666666657</v>
      </c>
      <c r="P15" s="40">
        <v>7</v>
      </c>
      <c r="Q15" s="40">
        <v>4</v>
      </c>
      <c r="R15" s="41">
        <f t="shared" si="4"/>
        <v>57.142857142857139</v>
      </c>
      <c r="S15" s="42">
        <v>2</v>
      </c>
      <c r="T15" s="42">
        <v>1</v>
      </c>
      <c r="U15" s="41">
        <f t="shared" si="5"/>
        <v>50</v>
      </c>
      <c r="V15" s="39">
        <v>4</v>
      </c>
      <c r="W15" s="39">
        <v>3</v>
      </c>
      <c r="X15" s="41">
        <f t="shared" si="6"/>
        <v>75</v>
      </c>
      <c r="Y15" s="42">
        <v>2</v>
      </c>
      <c r="Z15" s="42">
        <v>1</v>
      </c>
      <c r="AA15" s="41">
        <f t="shared" si="7"/>
        <v>50</v>
      </c>
      <c r="AB15" s="40">
        <v>4</v>
      </c>
      <c r="AC15" s="40">
        <v>3</v>
      </c>
      <c r="AD15" s="41">
        <f t="shared" si="8"/>
        <v>75</v>
      </c>
      <c r="AE15" s="42">
        <v>4</v>
      </c>
      <c r="AF15" s="42">
        <v>1</v>
      </c>
      <c r="AG15" s="41">
        <f t="shared" si="9"/>
        <v>25</v>
      </c>
      <c r="AH15" s="40">
        <v>8</v>
      </c>
      <c r="AI15" s="40">
        <v>6</v>
      </c>
      <c r="AJ15" s="41">
        <f t="shared" si="10"/>
        <v>75</v>
      </c>
      <c r="AK15" s="42">
        <v>6</v>
      </c>
      <c r="AL15" s="42">
        <v>4</v>
      </c>
      <c r="AM15" s="41">
        <f t="shared" si="11"/>
        <v>66.666666666666657</v>
      </c>
      <c r="AN15" s="42">
        <v>7</v>
      </c>
      <c r="AO15" s="42">
        <v>7</v>
      </c>
      <c r="AP15" s="41">
        <f t="shared" si="12"/>
        <v>100</v>
      </c>
      <c r="AQ15" s="40">
        <v>4</v>
      </c>
      <c r="AR15" s="40">
        <v>4</v>
      </c>
      <c r="AS15" s="41">
        <f t="shared" si="13"/>
        <v>100</v>
      </c>
      <c r="AT15" s="10">
        <f t="shared" si="14"/>
        <v>41</v>
      </c>
      <c r="AU15" s="10">
        <f t="shared" si="14"/>
        <v>30</v>
      </c>
      <c r="AV15" s="26">
        <f t="shared" si="15"/>
        <v>73.170731707317074</v>
      </c>
      <c r="AW15" s="10">
        <f t="shared" si="16"/>
        <v>26</v>
      </c>
      <c r="AX15" s="10">
        <f t="shared" si="16"/>
        <v>15</v>
      </c>
      <c r="AY15" s="26">
        <f t="shared" si="17"/>
        <v>57.692307692307686</v>
      </c>
      <c r="AZ15" s="10">
        <f t="shared" si="18"/>
        <v>67</v>
      </c>
      <c r="BA15" s="10">
        <f t="shared" si="18"/>
        <v>45</v>
      </c>
      <c r="BB15" s="27">
        <f t="shared" si="19"/>
        <v>67.164179104477611</v>
      </c>
    </row>
    <row r="16" spans="1:54">
      <c r="A16" s="12">
        <v>10</v>
      </c>
      <c r="B16" s="13">
        <v>1230321007</v>
      </c>
      <c r="C16" s="14" t="s">
        <v>32</v>
      </c>
      <c r="D16" s="39">
        <v>4</v>
      </c>
      <c r="E16" s="39">
        <v>2</v>
      </c>
      <c r="F16" s="39">
        <f t="shared" si="0"/>
        <v>50</v>
      </c>
      <c r="G16" s="39">
        <v>2</v>
      </c>
      <c r="H16" s="39">
        <v>0</v>
      </c>
      <c r="I16" s="39">
        <f t="shared" si="1"/>
        <v>0</v>
      </c>
      <c r="J16" s="40">
        <v>7</v>
      </c>
      <c r="K16" s="40">
        <v>3</v>
      </c>
      <c r="L16" s="41">
        <f t="shared" si="2"/>
        <v>42.857142857142854</v>
      </c>
      <c r="M16" s="42">
        <v>6</v>
      </c>
      <c r="N16" s="42">
        <v>2</v>
      </c>
      <c r="O16" s="41">
        <f t="shared" si="3"/>
        <v>33.333333333333329</v>
      </c>
      <c r="P16" s="40">
        <v>7</v>
      </c>
      <c r="Q16" s="40">
        <v>6</v>
      </c>
      <c r="R16" s="41">
        <f t="shared" si="4"/>
        <v>85.714285714285708</v>
      </c>
      <c r="S16" s="42">
        <v>2</v>
      </c>
      <c r="T16" s="42">
        <v>1</v>
      </c>
      <c r="U16" s="41">
        <f t="shared" si="5"/>
        <v>50</v>
      </c>
      <c r="V16" s="39">
        <v>4</v>
      </c>
      <c r="W16" s="39">
        <v>2</v>
      </c>
      <c r="X16" s="41">
        <f t="shared" si="6"/>
        <v>50</v>
      </c>
      <c r="Y16" s="42">
        <v>2</v>
      </c>
      <c r="Z16" s="42">
        <v>0</v>
      </c>
      <c r="AA16" s="41">
        <f t="shared" si="7"/>
        <v>0</v>
      </c>
      <c r="AB16" s="40">
        <v>4</v>
      </c>
      <c r="AC16" s="40">
        <v>4</v>
      </c>
      <c r="AD16" s="41">
        <f t="shared" si="8"/>
        <v>100</v>
      </c>
      <c r="AE16" s="42">
        <v>4</v>
      </c>
      <c r="AF16" s="42">
        <v>3</v>
      </c>
      <c r="AG16" s="41">
        <f t="shared" si="9"/>
        <v>75</v>
      </c>
      <c r="AH16" s="40">
        <v>8</v>
      </c>
      <c r="AI16" s="40">
        <v>3</v>
      </c>
      <c r="AJ16" s="41">
        <f t="shared" si="10"/>
        <v>37.5</v>
      </c>
      <c r="AK16" s="42">
        <v>6</v>
      </c>
      <c r="AL16" s="42">
        <v>3</v>
      </c>
      <c r="AM16" s="41">
        <f t="shared" si="11"/>
        <v>50</v>
      </c>
      <c r="AN16" s="42">
        <v>7</v>
      </c>
      <c r="AO16" s="42">
        <v>7</v>
      </c>
      <c r="AP16" s="41">
        <f t="shared" si="12"/>
        <v>100</v>
      </c>
      <c r="AQ16" s="40">
        <v>4</v>
      </c>
      <c r="AR16" s="40">
        <v>4</v>
      </c>
      <c r="AS16" s="41">
        <f t="shared" si="13"/>
        <v>100</v>
      </c>
      <c r="AT16" s="10">
        <f t="shared" si="14"/>
        <v>41</v>
      </c>
      <c r="AU16" s="10">
        <f t="shared" si="14"/>
        <v>27</v>
      </c>
      <c r="AV16" s="26">
        <f t="shared" si="15"/>
        <v>65.853658536585371</v>
      </c>
      <c r="AW16" s="10">
        <f t="shared" si="16"/>
        <v>26</v>
      </c>
      <c r="AX16" s="10">
        <f t="shared" si="16"/>
        <v>13</v>
      </c>
      <c r="AY16" s="26">
        <f t="shared" si="17"/>
        <v>50</v>
      </c>
      <c r="AZ16" s="10">
        <f t="shared" si="18"/>
        <v>67</v>
      </c>
      <c r="BA16" s="10">
        <f t="shared" si="18"/>
        <v>40</v>
      </c>
      <c r="BB16" s="27">
        <f t="shared" si="19"/>
        <v>59.701492537313428</v>
      </c>
    </row>
    <row r="17" spans="1:54">
      <c r="A17" s="12">
        <v>11</v>
      </c>
      <c r="B17" s="13">
        <v>1230321008</v>
      </c>
      <c r="C17" s="14" t="s">
        <v>33</v>
      </c>
      <c r="D17" s="39">
        <v>4</v>
      </c>
      <c r="E17" s="39">
        <v>1</v>
      </c>
      <c r="F17" s="39">
        <f t="shared" si="0"/>
        <v>25</v>
      </c>
      <c r="G17" s="39">
        <v>2</v>
      </c>
      <c r="H17" s="39">
        <v>0</v>
      </c>
      <c r="I17" s="39">
        <f t="shared" si="1"/>
        <v>0</v>
      </c>
      <c r="J17" s="40">
        <v>7</v>
      </c>
      <c r="K17" s="40">
        <v>3</v>
      </c>
      <c r="L17" s="41">
        <f t="shared" si="2"/>
        <v>42.857142857142854</v>
      </c>
      <c r="M17" s="42">
        <v>6</v>
      </c>
      <c r="N17" s="42">
        <v>2</v>
      </c>
      <c r="O17" s="41">
        <f t="shared" si="3"/>
        <v>33.333333333333329</v>
      </c>
      <c r="P17" s="40">
        <v>7</v>
      </c>
      <c r="Q17" s="40">
        <v>3</v>
      </c>
      <c r="R17" s="41">
        <f t="shared" si="4"/>
        <v>42.857142857142854</v>
      </c>
      <c r="S17" s="42">
        <v>2</v>
      </c>
      <c r="T17" s="42">
        <v>1</v>
      </c>
      <c r="U17" s="41">
        <f t="shared" si="5"/>
        <v>50</v>
      </c>
      <c r="V17" s="39">
        <v>4</v>
      </c>
      <c r="W17" s="39">
        <v>3</v>
      </c>
      <c r="X17" s="41">
        <f t="shared" si="6"/>
        <v>75</v>
      </c>
      <c r="Y17" s="42">
        <v>2</v>
      </c>
      <c r="Z17" s="42">
        <v>1</v>
      </c>
      <c r="AA17" s="41">
        <f t="shared" si="7"/>
        <v>50</v>
      </c>
      <c r="AB17" s="40">
        <v>4</v>
      </c>
      <c r="AC17" s="40">
        <v>2</v>
      </c>
      <c r="AD17" s="41">
        <f t="shared" si="8"/>
        <v>50</v>
      </c>
      <c r="AE17" s="42">
        <v>4</v>
      </c>
      <c r="AF17" s="42">
        <v>1</v>
      </c>
      <c r="AG17" s="41">
        <f t="shared" si="9"/>
        <v>25</v>
      </c>
      <c r="AH17" s="40">
        <v>8</v>
      </c>
      <c r="AI17" s="40">
        <v>4</v>
      </c>
      <c r="AJ17" s="41">
        <f t="shared" si="10"/>
        <v>50</v>
      </c>
      <c r="AK17" s="42">
        <v>6</v>
      </c>
      <c r="AL17" s="42">
        <v>3</v>
      </c>
      <c r="AM17" s="41">
        <f t="shared" si="11"/>
        <v>50</v>
      </c>
      <c r="AN17" s="42">
        <v>7</v>
      </c>
      <c r="AO17" s="42">
        <v>7</v>
      </c>
      <c r="AP17" s="41">
        <f t="shared" si="12"/>
        <v>100</v>
      </c>
      <c r="AQ17" s="40">
        <v>4</v>
      </c>
      <c r="AR17" s="40">
        <v>4</v>
      </c>
      <c r="AS17" s="41">
        <f t="shared" si="13"/>
        <v>100</v>
      </c>
      <c r="AT17" s="10">
        <f t="shared" si="14"/>
        <v>41</v>
      </c>
      <c r="AU17" s="10">
        <f t="shared" si="14"/>
        <v>23</v>
      </c>
      <c r="AV17" s="26">
        <f t="shared" si="15"/>
        <v>56.09756097560976</v>
      </c>
      <c r="AW17" s="10">
        <f t="shared" si="16"/>
        <v>26</v>
      </c>
      <c r="AX17" s="10">
        <f t="shared" si="16"/>
        <v>12</v>
      </c>
      <c r="AY17" s="26">
        <f t="shared" si="17"/>
        <v>46.153846153846153</v>
      </c>
      <c r="AZ17" s="10">
        <f t="shared" si="18"/>
        <v>67</v>
      </c>
      <c r="BA17" s="10">
        <f t="shared" si="18"/>
        <v>35</v>
      </c>
      <c r="BB17" s="27">
        <f t="shared" si="19"/>
        <v>52.238805970149251</v>
      </c>
    </row>
    <row r="18" spans="1:54">
      <c r="A18" s="12">
        <v>12</v>
      </c>
      <c r="B18" s="13">
        <v>1230321009</v>
      </c>
      <c r="C18" s="14" t="s">
        <v>34</v>
      </c>
      <c r="D18" s="39">
        <v>4</v>
      </c>
      <c r="E18" s="39">
        <v>0</v>
      </c>
      <c r="F18" s="39">
        <f t="shared" si="0"/>
        <v>0</v>
      </c>
      <c r="G18" s="39">
        <v>2</v>
      </c>
      <c r="H18" s="39">
        <v>0</v>
      </c>
      <c r="I18" s="39">
        <f t="shared" si="1"/>
        <v>0</v>
      </c>
      <c r="J18" s="40">
        <v>7</v>
      </c>
      <c r="K18" s="40">
        <v>4</v>
      </c>
      <c r="L18" s="41">
        <f t="shared" si="2"/>
        <v>57.142857142857139</v>
      </c>
      <c r="M18" s="42">
        <v>6</v>
      </c>
      <c r="N18" s="42">
        <v>2</v>
      </c>
      <c r="O18" s="41">
        <f t="shared" si="3"/>
        <v>33.333333333333329</v>
      </c>
      <c r="P18" s="40">
        <v>7</v>
      </c>
      <c r="Q18" s="40">
        <v>3</v>
      </c>
      <c r="R18" s="41">
        <f t="shared" si="4"/>
        <v>42.857142857142854</v>
      </c>
      <c r="S18" s="42">
        <v>2</v>
      </c>
      <c r="T18" s="42">
        <v>0</v>
      </c>
      <c r="U18" s="41">
        <f t="shared" si="5"/>
        <v>0</v>
      </c>
      <c r="V18" s="39">
        <v>4</v>
      </c>
      <c r="W18" s="39">
        <v>1</v>
      </c>
      <c r="X18" s="41">
        <f t="shared" si="6"/>
        <v>25</v>
      </c>
      <c r="Y18" s="42">
        <v>2</v>
      </c>
      <c r="Z18" s="42">
        <v>2</v>
      </c>
      <c r="AA18" s="41">
        <f t="shared" si="7"/>
        <v>100</v>
      </c>
      <c r="AB18" s="40">
        <v>4</v>
      </c>
      <c r="AC18" s="40">
        <v>3</v>
      </c>
      <c r="AD18" s="41">
        <f t="shared" si="8"/>
        <v>75</v>
      </c>
      <c r="AE18" s="42">
        <v>4</v>
      </c>
      <c r="AF18" s="42">
        <v>2</v>
      </c>
      <c r="AG18" s="41">
        <f t="shared" si="9"/>
        <v>50</v>
      </c>
      <c r="AH18" s="40">
        <v>8</v>
      </c>
      <c r="AI18" s="40">
        <v>6</v>
      </c>
      <c r="AJ18" s="41">
        <f t="shared" si="10"/>
        <v>75</v>
      </c>
      <c r="AK18" s="42">
        <v>6</v>
      </c>
      <c r="AL18" s="42">
        <v>3</v>
      </c>
      <c r="AM18" s="41">
        <f t="shared" si="11"/>
        <v>50</v>
      </c>
      <c r="AN18" s="42">
        <v>7</v>
      </c>
      <c r="AO18" s="42">
        <v>5</v>
      </c>
      <c r="AP18" s="41">
        <f t="shared" si="12"/>
        <v>71.428571428571431</v>
      </c>
      <c r="AQ18" s="40">
        <v>4</v>
      </c>
      <c r="AR18" s="40">
        <v>4</v>
      </c>
      <c r="AS18" s="41">
        <f t="shared" si="13"/>
        <v>100</v>
      </c>
      <c r="AT18" s="10">
        <f t="shared" si="14"/>
        <v>41</v>
      </c>
      <c r="AU18" s="10">
        <f t="shared" si="14"/>
        <v>22</v>
      </c>
      <c r="AV18" s="26">
        <f t="shared" si="15"/>
        <v>53.658536585365859</v>
      </c>
      <c r="AW18" s="10">
        <f t="shared" si="16"/>
        <v>26</v>
      </c>
      <c r="AX18" s="10">
        <f t="shared" si="16"/>
        <v>13</v>
      </c>
      <c r="AY18" s="26">
        <f t="shared" si="17"/>
        <v>50</v>
      </c>
      <c r="AZ18" s="10">
        <f t="shared" si="18"/>
        <v>67</v>
      </c>
      <c r="BA18" s="10">
        <f t="shared" si="18"/>
        <v>35</v>
      </c>
      <c r="BB18" s="27">
        <f t="shared" si="19"/>
        <v>52.238805970149251</v>
      </c>
    </row>
    <row r="19" spans="1:54">
      <c r="A19" s="12">
        <v>13</v>
      </c>
      <c r="B19" s="13">
        <v>1230321010</v>
      </c>
      <c r="C19" s="14" t="s">
        <v>35</v>
      </c>
      <c r="D19" s="39">
        <v>4</v>
      </c>
      <c r="E19" s="39">
        <v>2</v>
      </c>
      <c r="F19" s="39">
        <f t="shared" si="0"/>
        <v>50</v>
      </c>
      <c r="G19" s="39">
        <v>2</v>
      </c>
      <c r="H19" s="39">
        <v>0</v>
      </c>
      <c r="I19" s="39">
        <f t="shared" si="1"/>
        <v>0</v>
      </c>
      <c r="J19" s="40">
        <v>7</v>
      </c>
      <c r="K19" s="40">
        <v>3</v>
      </c>
      <c r="L19" s="41">
        <f t="shared" si="2"/>
        <v>42.857142857142854</v>
      </c>
      <c r="M19" s="42">
        <v>6</v>
      </c>
      <c r="N19" s="42">
        <v>3</v>
      </c>
      <c r="O19" s="41">
        <f t="shared" si="3"/>
        <v>50</v>
      </c>
      <c r="P19" s="40">
        <v>7</v>
      </c>
      <c r="Q19" s="40">
        <v>6</v>
      </c>
      <c r="R19" s="41">
        <f t="shared" si="4"/>
        <v>85.714285714285708</v>
      </c>
      <c r="S19" s="42">
        <v>2</v>
      </c>
      <c r="T19" s="42">
        <v>1</v>
      </c>
      <c r="U19" s="41">
        <f t="shared" si="5"/>
        <v>50</v>
      </c>
      <c r="V19" s="39">
        <v>4</v>
      </c>
      <c r="W19" s="39">
        <v>3</v>
      </c>
      <c r="X19" s="41">
        <f t="shared" si="6"/>
        <v>75</v>
      </c>
      <c r="Y19" s="42">
        <v>2</v>
      </c>
      <c r="Z19" s="42">
        <v>1</v>
      </c>
      <c r="AA19" s="41">
        <f t="shared" si="7"/>
        <v>50</v>
      </c>
      <c r="AB19" s="40">
        <v>4</v>
      </c>
      <c r="AC19" s="40">
        <v>1</v>
      </c>
      <c r="AD19" s="41">
        <f t="shared" si="8"/>
        <v>25</v>
      </c>
      <c r="AE19" s="42">
        <v>4</v>
      </c>
      <c r="AF19" s="42">
        <v>3</v>
      </c>
      <c r="AG19" s="41">
        <f t="shared" si="9"/>
        <v>75</v>
      </c>
      <c r="AH19" s="40">
        <v>8</v>
      </c>
      <c r="AI19" s="40">
        <v>4</v>
      </c>
      <c r="AJ19" s="41">
        <f t="shared" si="10"/>
        <v>50</v>
      </c>
      <c r="AK19" s="42">
        <v>6</v>
      </c>
      <c r="AL19" s="42">
        <v>4</v>
      </c>
      <c r="AM19" s="41">
        <f t="shared" si="11"/>
        <v>66.666666666666657</v>
      </c>
      <c r="AN19" s="42">
        <v>7</v>
      </c>
      <c r="AO19" s="42">
        <v>5</v>
      </c>
      <c r="AP19" s="41">
        <f t="shared" si="12"/>
        <v>71.428571428571431</v>
      </c>
      <c r="AQ19" s="40">
        <v>4</v>
      </c>
      <c r="AR19" s="40">
        <v>3</v>
      </c>
      <c r="AS19" s="41">
        <f t="shared" si="13"/>
        <v>75</v>
      </c>
      <c r="AT19" s="10">
        <f t="shared" si="14"/>
        <v>41</v>
      </c>
      <c r="AU19" s="10">
        <f t="shared" si="14"/>
        <v>24</v>
      </c>
      <c r="AV19" s="26">
        <f t="shared" si="15"/>
        <v>58.536585365853654</v>
      </c>
      <c r="AW19" s="10">
        <f t="shared" si="16"/>
        <v>26</v>
      </c>
      <c r="AX19" s="10">
        <f t="shared" si="16"/>
        <v>15</v>
      </c>
      <c r="AY19" s="26">
        <f t="shared" si="17"/>
        <v>57.692307692307686</v>
      </c>
      <c r="AZ19" s="10">
        <f t="shared" si="18"/>
        <v>67</v>
      </c>
      <c r="BA19" s="10">
        <f t="shared" si="18"/>
        <v>39</v>
      </c>
      <c r="BB19" s="27">
        <f t="shared" si="19"/>
        <v>58.208955223880601</v>
      </c>
    </row>
    <row r="20" spans="1:54">
      <c r="A20" s="12">
        <v>14</v>
      </c>
      <c r="B20" s="13">
        <v>1230321011</v>
      </c>
      <c r="C20" s="14" t="s">
        <v>36</v>
      </c>
      <c r="D20" s="39">
        <v>4</v>
      </c>
      <c r="E20" s="39">
        <v>0</v>
      </c>
      <c r="F20" s="39">
        <f t="shared" si="0"/>
        <v>0</v>
      </c>
      <c r="G20" s="39">
        <v>2</v>
      </c>
      <c r="H20" s="39">
        <v>0</v>
      </c>
      <c r="I20" s="39">
        <f t="shared" si="1"/>
        <v>0</v>
      </c>
      <c r="J20" s="40">
        <v>7</v>
      </c>
      <c r="K20" s="40">
        <v>3</v>
      </c>
      <c r="L20" s="41">
        <f t="shared" si="2"/>
        <v>42.857142857142854</v>
      </c>
      <c r="M20" s="42">
        <v>6</v>
      </c>
      <c r="N20" s="42">
        <v>1</v>
      </c>
      <c r="O20" s="41">
        <f t="shared" si="3"/>
        <v>16.666666666666664</v>
      </c>
      <c r="P20" s="40">
        <v>7</v>
      </c>
      <c r="Q20" s="40">
        <v>2</v>
      </c>
      <c r="R20" s="41">
        <f t="shared" si="4"/>
        <v>28.571428571428569</v>
      </c>
      <c r="S20" s="42">
        <v>3</v>
      </c>
      <c r="T20" s="42">
        <v>1</v>
      </c>
      <c r="U20" s="41">
        <f t="shared" si="5"/>
        <v>33.333333333333329</v>
      </c>
      <c r="V20" s="39">
        <v>4</v>
      </c>
      <c r="W20" s="39">
        <v>2</v>
      </c>
      <c r="X20" s="41">
        <f t="shared" si="6"/>
        <v>50</v>
      </c>
      <c r="Y20" s="42">
        <v>2</v>
      </c>
      <c r="Z20" s="42">
        <v>1</v>
      </c>
      <c r="AA20" s="41">
        <f t="shared" si="7"/>
        <v>50</v>
      </c>
      <c r="AB20" s="40">
        <v>4</v>
      </c>
      <c r="AC20" s="40">
        <v>3</v>
      </c>
      <c r="AD20" s="41">
        <f t="shared" si="8"/>
        <v>75</v>
      </c>
      <c r="AE20" s="42">
        <v>4</v>
      </c>
      <c r="AF20" s="42">
        <v>3</v>
      </c>
      <c r="AG20" s="41">
        <f t="shared" si="9"/>
        <v>75</v>
      </c>
      <c r="AH20" s="40">
        <v>8</v>
      </c>
      <c r="AI20" s="40">
        <v>7</v>
      </c>
      <c r="AJ20" s="41">
        <f t="shared" si="10"/>
        <v>87.5</v>
      </c>
      <c r="AK20" s="42">
        <v>6</v>
      </c>
      <c r="AL20" s="42">
        <v>4</v>
      </c>
      <c r="AM20" s="41">
        <f t="shared" si="11"/>
        <v>66.666666666666657</v>
      </c>
      <c r="AN20" s="42">
        <v>7</v>
      </c>
      <c r="AO20" s="42">
        <v>6</v>
      </c>
      <c r="AP20" s="41">
        <f t="shared" si="12"/>
        <v>85.714285714285708</v>
      </c>
      <c r="AQ20" s="40">
        <v>4</v>
      </c>
      <c r="AR20" s="40">
        <v>4</v>
      </c>
      <c r="AS20" s="41">
        <f t="shared" si="13"/>
        <v>100</v>
      </c>
      <c r="AT20" s="10">
        <f t="shared" si="14"/>
        <v>41</v>
      </c>
      <c r="AU20" s="10">
        <f t="shared" si="14"/>
        <v>23</v>
      </c>
      <c r="AV20" s="26">
        <f t="shared" si="15"/>
        <v>56.09756097560976</v>
      </c>
      <c r="AW20" s="10">
        <f t="shared" si="16"/>
        <v>27</v>
      </c>
      <c r="AX20" s="10">
        <f t="shared" si="16"/>
        <v>14</v>
      </c>
      <c r="AY20" s="26">
        <f t="shared" si="17"/>
        <v>51.851851851851848</v>
      </c>
      <c r="AZ20" s="10">
        <f t="shared" si="18"/>
        <v>68</v>
      </c>
      <c r="BA20" s="10">
        <f t="shared" si="18"/>
        <v>37</v>
      </c>
      <c r="BB20" s="27">
        <f t="shared" si="19"/>
        <v>54.411764705882348</v>
      </c>
    </row>
    <row r="21" spans="1:54">
      <c r="A21" s="12">
        <v>15</v>
      </c>
      <c r="B21" s="13">
        <v>1230321012</v>
      </c>
      <c r="C21" s="14" t="s">
        <v>37</v>
      </c>
      <c r="D21" s="39">
        <v>4</v>
      </c>
      <c r="E21" s="39">
        <v>1</v>
      </c>
      <c r="F21" s="39">
        <f t="shared" si="0"/>
        <v>25</v>
      </c>
      <c r="G21" s="39">
        <v>2</v>
      </c>
      <c r="H21" s="39">
        <v>0</v>
      </c>
      <c r="I21" s="39">
        <f t="shared" si="1"/>
        <v>0</v>
      </c>
      <c r="J21" s="40">
        <v>7</v>
      </c>
      <c r="K21" s="40">
        <v>6</v>
      </c>
      <c r="L21" s="41">
        <f t="shared" si="2"/>
        <v>85.714285714285708</v>
      </c>
      <c r="M21" s="42">
        <v>6</v>
      </c>
      <c r="N21" s="42">
        <v>3</v>
      </c>
      <c r="O21" s="41">
        <f t="shared" si="3"/>
        <v>50</v>
      </c>
      <c r="P21" s="40">
        <v>7</v>
      </c>
      <c r="Q21" s="40">
        <v>7</v>
      </c>
      <c r="R21" s="41">
        <f t="shared" si="4"/>
        <v>100</v>
      </c>
      <c r="S21" s="42">
        <v>2</v>
      </c>
      <c r="T21" s="42">
        <v>2</v>
      </c>
      <c r="U21" s="41">
        <f t="shared" si="5"/>
        <v>100</v>
      </c>
      <c r="V21" s="39">
        <v>4</v>
      </c>
      <c r="W21" s="39">
        <v>2</v>
      </c>
      <c r="X21" s="41">
        <f t="shared" si="6"/>
        <v>50</v>
      </c>
      <c r="Y21" s="42">
        <v>2</v>
      </c>
      <c r="Z21" s="42">
        <v>1</v>
      </c>
      <c r="AA21" s="41">
        <f t="shared" si="7"/>
        <v>50</v>
      </c>
      <c r="AB21" s="40">
        <v>4</v>
      </c>
      <c r="AC21" s="40">
        <v>2</v>
      </c>
      <c r="AD21" s="41">
        <f t="shared" si="8"/>
        <v>50</v>
      </c>
      <c r="AE21" s="42">
        <v>4</v>
      </c>
      <c r="AF21" s="42">
        <v>3</v>
      </c>
      <c r="AG21" s="41">
        <f t="shared" si="9"/>
        <v>75</v>
      </c>
      <c r="AH21" s="40">
        <v>8</v>
      </c>
      <c r="AI21" s="40">
        <v>5</v>
      </c>
      <c r="AJ21" s="41">
        <f t="shared" si="10"/>
        <v>62.5</v>
      </c>
      <c r="AK21" s="42">
        <v>6</v>
      </c>
      <c r="AL21" s="42">
        <v>3</v>
      </c>
      <c r="AM21" s="41">
        <f t="shared" si="11"/>
        <v>50</v>
      </c>
      <c r="AN21" s="42">
        <v>7</v>
      </c>
      <c r="AO21" s="42">
        <v>7</v>
      </c>
      <c r="AP21" s="41">
        <f t="shared" si="12"/>
        <v>100</v>
      </c>
      <c r="AQ21" s="40">
        <v>4</v>
      </c>
      <c r="AR21" s="40">
        <v>4</v>
      </c>
      <c r="AS21" s="41">
        <f t="shared" si="13"/>
        <v>100</v>
      </c>
      <c r="AT21" s="10">
        <f t="shared" si="14"/>
        <v>41</v>
      </c>
      <c r="AU21" s="10">
        <f t="shared" si="14"/>
        <v>30</v>
      </c>
      <c r="AV21" s="26">
        <f t="shared" si="15"/>
        <v>73.170731707317074</v>
      </c>
      <c r="AW21" s="10">
        <f t="shared" si="16"/>
        <v>26</v>
      </c>
      <c r="AX21" s="10">
        <f t="shared" si="16"/>
        <v>16</v>
      </c>
      <c r="AY21" s="26">
        <f t="shared" si="17"/>
        <v>61.53846153846154</v>
      </c>
      <c r="AZ21" s="10">
        <f t="shared" si="18"/>
        <v>67</v>
      </c>
      <c r="BA21" s="10">
        <f t="shared" si="18"/>
        <v>46</v>
      </c>
      <c r="BB21" s="27">
        <f t="shared" si="19"/>
        <v>68.656716417910445</v>
      </c>
    </row>
    <row r="22" spans="1:54">
      <c r="A22" s="12">
        <v>16</v>
      </c>
      <c r="B22" s="13">
        <v>1230321013</v>
      </c>
      <c r="C22" s="14" t="s">
        <v>38</v>
      </c>
      <c r="D22" s="39">
        <v>4</v>
      </c>
      <c r="E22" s="39">
        <v>3</v>
      </c>
      <c r="F22" s="39">
        <f t="shared" si="0"/>
        <v>75</v>
      </c>
      <c r="G22" s="39">
        <v>2</v>
      </c>
      <c r="H22" s="39">
        <v>0</v>
      </c>
      <c r="I22" s="39">
        <f t="shared" si="1"/>
        <v>0</v>
      </c>
      <c r="J22" s="40">
        <v>7</v>
      </c>
      <c r="K22" s="40">
        <v>4</v>
      </c>
      <c r="L22" s="41">
        <f t="shared" si="2"/>
        <v>57.142857142857139</v>
      </c>
      <c r="M22" s="42">
        <v>6</v>
      </c>
      <c r="N22" s="42">
        <v>3</v>
      </c>
      <c r="O22" s="41">
        <f t="shared" si="3"/>
        <v>50</v>
      </c>
      <c r="P22" s="40">
        <v>7</v>
      </c>
      <c r="Q22" s="40">
        <v>4</v>
      </c>
      <c r="R22" s="41">
        <f t="shared" si="4"/>
        <v>57.142857142857139</v>
      </c>
      <c r="S22" s="42">
        <v>2</v>
      </c>
      <c r="T22" s="42">
        <v>1</v>
      </c>
      <c r="U22" s="41">
        <f t="shared" si="5"/>
        <v>50</v>
      </c>
      <c r="V22" s="39">
        <v>4</v>
      </c>
      <c r="W22" s="39">
        <v>2</v>
      </c>
      <c r="X22" s="41">
        <f t="shared" si="6"/>
        <v>50</v>
      </c>
      <c r="Y22" s="42">
        <v>2</v>
      </c>
      <c r="Z22" s="42">
        <v>2</v>
      </c>
      <c r="AA22" s="41">
        <f t="shared" si="7"/>
        <v>100</v>
      </c>
      <c r="AB22" s="40">
        <v>4</v>
      </c>
      <c r="AC22" s="40">
        <v>4</v>
      </c>
      <c r="AD22" s="41">
        <f t="shared" si="8"/>
        <v>100</v>
      </c>
      <c r="AE22" s="42">
        <v>4</v>
      </c>
      <c r="AF22" s="42">
        <v>4</v>
      </c>
      <c r="AG22" s="41">
        <f t="shared" si="9"/>
        <v>100</v>
      </c>
      <c r="AH22" s="40">
        <v>8</v>
      </c>
      <c r="AI22" s="40">
        <v>7</v>
      </c>
      <c r="AJ22" s="41">
        <f t="shared" si="10"/>
        <v>87.5</v>
      </c>
      <c r="AK22" s="42">
        <v>6</v>
      </c>
      <c r="AL22" s="42">
        <v>5</v>
      </c>
      <c r="AM22" s="41">
        <f t="shared" si="11"/>
        <v>83.333333333333343</v>
      </c>
      <c r="AN22" s="42">
        <v>7</v>
      </c>
      <c r="AO22" s="42">
        <v>6</v>
      </c>
      <c r="AP22" s="41">
        <f t="shared" si="12"/>
        <v>85.714285714285708</v>
      </c>
      <c r="AQ22" s="40">
        <v>4</v>
      </c>
      <c r="AR22" s="40">
        <v>4</v>
      </c>
      <c r="AS22" s="41">
        <f t="shared" si="13"/>
        <v>100</v>
      </c>
      <c r="AT22" s="10">
        <f t="shared" si="14"/>
        <v>41</v>
      </c>
      <c r="AU22" s="10">
        <f t="shared" si="14"/>
        <v>30</v>
      </c>
      <c r="AV22" s="26">
        <f t="shared" si="15"/>
        <v>73.170731707317074</v>
      </c>
      <c r="AW22" s="10">
        <f t="shared" si="16"/>
        <v>26</v>
      </c>
      <c r="AX22" s="10">
        <f t="shared" si="16"/>
        <v>19</v>
      </c>
      <c r="AY22" s="26">
        <f t="shared" si="17"/>
        <v>73.076923076923066</v>
      </c>
      <c r="AZ22" s="10">
        <f t="shared" si="18"/>
        <v>67</v>
      </c>
      <c r="BA22" s="10">
        <f t="shared" si="18"/>
        <v>49</v>
      </c>
      <c r="BB22" s="27">
        <f t="shared" si="19"/>
        <v>73.134328358208961</v>
      </c>
    </row>
    <row r="23" spans="1:54">
      <c r="A23" s="12">
        <v>17</v>
      </c>
      <c r="B23" s="13">
        <v>1230321014</v>
      </c>
      <c r="C23" s="14" t="s">
        <v>39</v>
      </c>
      <c r="D23" s="39">
        <v>4</v>
      </c>
      <c r="E23" s="39">
        <v>2</v>
      </c>
      <c r="F23" s="39">
        <f t="shared" si="0"/>
        <v>50</v>
      </c>
      <c r="G23" s="39">
        <v>2</v>
      </c>
      <c r="H23" s="39">
        <v>0</v>
      </c>
      <c r="I23" s="39">
        <f t="shared" si="1"/>
        <v>0</v>
      </c>
      <c r="J23" s="40">
        <v>7</v>
      </c>
      <c r="K23" s="40">
        <v>6</v>
      </c>
      <c r="L23" s="41">
        <f t="shared" si="2"/>
        <v>85.714285714285708</v>
      </c>
      <c r="M23" s="42">
        <v>6</v>
      </c>
      <c r="N23" s="42">
        <v>5</v>
      </c>
      <c r="O23" s="41">
        <f t="shared" si="3"/>
        <v>83.333333333333343</v>
      </c>
      <c r="P23" s="40">
        <v>7</v>
      </c>
      <c r="Q23" s="40">
        <v>5</v>
      </c>
      <c r="R23" s="41">
        <f t="shared" si="4"/>
        <v>71.428571428571431</v>
      </c>
      <c r="S23" s="42">
        <v>2</v>
      </c>
      <c r="T23" s="42">
        <v>1</v>
      </c>
      <c r="U23" s="41">
        <f t="shared" si="5"/>
        <v>50</v>
      </c>
      <c r="V23" s="39">
        <v>4</v>
      </c>
      <c r="W23" s="39">
        <v>1</v>
      </c>
      <c r="X23" s="41">
        <f t="shared" si="6"/>
        <v>25</v>
      </c>
      <c r="Y23" s="42">
        <v>2</v>
      </c>
      <c r="Z23" s="42">
        <v>2</v>
      </c>
      <c r="AA23" s="41">
        <f t="shared" si="7"/>
        <v>100</v>
      </c>
      <c r="AB23" s="40">
        <v>4</v>
      </c>
      <c r="AC23" s="40">
        <v>3</v>
      </c>
      <c r="AD23" s="41">
        <f t="shared" si="8"/>
        <v>75</v>
      </c>
      <c r="AE23" s="42">
        <v>4</v>
      </c>
      <c r="AF23" s="42">
        <v>1</v>
      </c>
      <c r="AG23" s="41">
        <f t="shared" si="9"/>
        <v>25</v>
      </c>
      <c r="AH23" s="40">
        <v>8</v>
      </c>
      <c r="AI23" s="40">
        <v>4</v>
      </c>
      <c r="AJ23" s="41">
        <f t="shared" si="10"/>
        <v>50</v>
      </c>
      <c r="AK23" s="42">
        <v>6</v>
      </c>
      <c r="AL23" s="42">
        <v>5</v>
      </c>
      <c r="AM23" s="41">
        <f t="shared" si="11"/>
        <v>83.333333333333343</v>
      </c>
      <c r="AN23" s="42">
        <v>7</v>
      </c>
      <c r="AO23" s="42">
        <v>6</v>
      </c>
      <c r="AP23" s="41">
        <f t="shared" si="12"/>
        <v>85.714285714285708</v>
      </c>
      <c r="AQ23" s="40">
        <v>4</v>
      </c>
      <c r="AR23" s="40">
        <v>4</v>
      </c>
      <c r="AS23" s="41">
        <f t="shared" si="13"/>
        <v>100</v>
      </c>
      <c r="AT23" s="10">
        <f t="shared" si="14"/>
        <v>41</v>
      </c>
      <c r="AU23" s="10">
        <f t="shared" si="14"/>
        <v>27</v>
      </c>
      <c r="AV23" s="26">
        <f t="shared" si="15"/>
        <v>65.853658536585371</v>
      </c>
      <c r="AW23" s="10">
        <f t="shared" si="16"/>
        <v>26</v>
      </c>
      <c r="AX23" s="10">
        <f t="shared" si="16"/>
        <v>18</v>
      </c>
      <c r="AY23" s="26">
        <f t="shared" si="17"/>
        <v>69.230769230769226</v>
      </c>
      <c r="AZ23" s="10">
        <f t="shared" si="18"/>
        <v>67</v>
      </c>
      <c r="BA23" s="10">
        <f t="shared" si="18"/>
        <v>45</v>
      </c>
      <c r="BB23" s="27">
        <f t="shared" si="19"/>
        <v>67.164179104477611</v>
      </c>
    </row>
    <row r="24" spans="1:54">
      <c r="A24" s="12">
        <v>18</v>
      </c>
      <c r="B24" s="13">
        <v>1230321015</v>
      </c>
      <c r="C24" s="14" t="s">
        <v>40</v>
      </c>
      <c r="D24" s="39">
        <v>4</v>
      </c>
      <c r="E24" s="39">
        <v>2</v>
      </c>
      <c r="F24" s="39">
        <f t="shared" si="0"/>
        <v>50</v>
      </c>
      <c r="G24" s="39">
        <v>2</v>
      </c>
      <c r="H24" s="39">
        <v>0</v>
      </c>
      <c r="I24" s="39">
        <f t="shared" si="1"/>
        <v>0</v>
      </c>
      <c r="J24" s="40">
        <v>7</v>
      </c>
      <c r="K24" s="40">
        <v>2</v>
      </c>
      <c r="L24" s="41">
        <f t="shared" si="2"/>
        <v>28.571428571428569</v>
      </c>
      <c r="M24" s="42">
        <v>6</v>
      </c>
      <c r="N24" s="42">
        <v>3</v>
      </c>
      <c r="O24" s="41">
        <f t="shared" si="3"/>
        <v>50</v>
      </c>
      <c r="P24" s="40">
        <v>7</v>
      </c>
      <c r="Q24" s="40">
        <v>4</v>
      </c>
      <c r="R24" s="41">
        <f t="shared" si="4"/>
        <v>57.142857142857139</v>
      </c>
      <c r="S24" s="42">
        <v>2</v>
      </c>
      <c r="T24" s="42">
        <v>1</v>
      </c>
      <c r="U24" s="41">
        <f t="shared" si="5"/>
        <v>50</v>
      </c>
      <c r="V24" s="39">
        <v>4</v>
      </c>
      <c r="W24" s="39">
        <v>3</v>
      </c>
      <c r="X24" s="41">
        <f t="shared" si="6"/>
        <v>75</v>
      </c>
      <c r="Y24" s="42">
        <v>2</v>
      </c>
      <c r="Z24" s="42">
        <v>2</v>
      </c>
      <c r="AA24" s="41">
        <f t="shared" si="7"/>
        <v>100</v>
      </c>
      <c r="AB24" s="40">
        <v>4</v>
      </c>
      <c r="AC24" s="40">
        <v>3</v>
      </c>
      <c r="AD24" s="41">
        <f t="shared" si="8"/>
        <v>75</v>
      </c>
      <c r="AE24" s="42">
        <v>4</v>
      </c>
      <c r="AF24" s="42">
        <v>3</v>
      </c>
      <c r="AG24" s="41">
        <f t="shared" si="9"/>
        <v>75</v>
      </c>
      <c r="AH24" s="40">
        <v>8</v>
      </c>
      <c r="AI24" s="40">
        <v>5</v>
      </c>
      <c r="AJ24" s="41">
        <f t="shared" si="10"/>
        <v>62.5</v>
      </c>
      <c r="AK24" s="42">
        <v>6</v>
      </c>
      <c r="AL24" s="42">
        <v>2</v>
      </c>
      <c r="AM24" s="41">
        <f t="shared" si="11"/>
        <v>33.333333333333329</v>
      </c>
      <c r="AN24" s="42">
        <v>7</v>
      </c>
      <c r="AO24" s="42">
        <v>6</v>
      </c>
      <c r="AP24" s="41">
        <f t="shared" si="12"/>
        <v>85.714285714285708</v>
      </c>
      <c r="AQ24" s="40">
        <v>4</v>
      </c>
      <c r="AR24" s="40">
        <v>4</v>
      </c>
      <c r="AS24" s="41">
        <f t="shared" si="13"/>
        <v>100</v>
      </c>
      <c r="AT24" s="10">
        <f t="shared" si="14"/>
        <v>41</v>
      </c>
      <c r="AU24" s="10">
        <f t="shared" si="14"/>
        <v>25</v>
      </c>
      <c r="AV24" s="26">
        <f t="shared" si="15"/>
        <v>60.975609756097562</v>
      </c>
      <c r="AW24" s="10">
        <f t="shared" si="16"/>
        <v>26</v>
      </c>
      <c r="AX24" s="10">
        <f t="shared" si="16"/>
        <v>15</v>
      </c>
      <c r="AY24" s="26">
        <f t="shared" si="17"/>
        <v>57.692307692307686</v>
      </c>
      <c r="AZ24" s="10">
        <f t="shared" si="18"/>
        <v>67</v>
      </c>
      <c r="BA24" s="10">
        <f t="shared" si="18"/>
        <v>40</v>
      </c>
      <c r="BB24" s="27">
        <f t="shared" si="19"/>
        <v>59.701492537313428</v>
      </c>
    </row>
    <row r="25" spans="1:54">
      <c r="A25" s="12">
        <v>19</v>
      </c>
      <c r="B25" s="13">
        <v>1230321016</v>
      </c>
      <c r="C25" s="14" t="s">
        <v>41</v>
      </c>
      <c r="D25" s="39">
        <v>4</v>
      </c>
      <c r="E25" s="39">
        <v>2</v>
      </c>
      <c r="F25" s="39">
        <f t="shared" si="0"/>
        <v>50</v>
      </c>
      <c r="G25" s="39">
        <v>2</v>
      </c>
      <c r="H25" s="39">
        <v>0</v>
      </c>
      <c r="I25" s="39">
        <f t="shared" si="1"/>
        <v>0</v>
      </c>
      <c r="J25" s="40">
        <v>7</v>
      </c>
      <c r="K25" s="40">
        <v>1</v>
      </c>
      <c r="L25" s="41">
        <f t="shared" si="2"/>
        <v>14.285714285714285</v>
      </c>
      <c r="M25" s="42">
        <v>6</v>
      </c>
      <c r="N25" s="42">
        <v>3</v>
      </c>
      <c r="O25" s="41">
        <f t="shared" si="3"/>
        <v>50</v>
      </c>
      <c r="P25" s="40">
        <v>7</v>
      </c>
      <c r="Q25" s="40">
        <v>4</v>
      </c>
      <c r="R25" s="41">
        <f t="shared" si="4"/>
        <v>57.142857142857139</v>
      </c>
      <c r="S25" s="42">
        <v>2</v>
      </c>
      <c r="T25" s="42">
        <v>2</v>
      </c>
      <c r="U25" s="41">
        <f t="shared" si="5"/>
        <v>100</v>
      </c>
      <c r="V25" s="39">
        <v>4</v>
      </c>
      <c r="W25" s="39">
        <v>3</v>
      </c>
      <c r="X25" s="41">
        <f t="shared" si="6"/>
        <v>75</v>
      </c>
      <c r="Y25" s="42">
        <v>2</v>
      </c>
      <c r="Z25" s="42">
        <v>1</v>
      </c>
      <c r="AA25" s="41">
        <f t="shared" si="7"/>
        <v>50</v>
      </c>
      <c r="AB25" s="40">
        <v>4</v>
      </c>
      <c r="AC25" s="40">
        <v>4</v>
      </c>
      <c r="AD25" s="41">
        <f t="shared" si="8"/>
        <v>100</v>
      </c>
      <c r="AE25" s="42">
        <v>4</v>
      </c>
      <c r="AF25" s="42">
        <v>4</v>
      </c>
      <c r="AG25" s="41">
        <f t="shared" si="9"/>
        <v>100</v>
      </c>
      <c r="AH25" s="40">
        <v>8</v>
      </c>
      <c r="AI25" s="40">
        <v>7</v>
      </c>
      <c r="AJ25" s="41">
        <f t="shared" si="10"/>
        <v>87.5</v>
      </c>
      <c r="AK25" s="42">
        <v>6</v>
      </c>
      <c r="AL25" s="42">
        <v>4</v>
      </c>
      <c r="AM25" s="41">
        <f t="shared" si="11"/>
        <v>66.666666666666657</v>
      </c>
      <c r="AN25" s="42">
        <v>7</v>
      </c>
      <c r="AO25" s="42">
        <v>6</v>
      </c>
      <c r="AP25" s="41">
        <f t="shared" si="12"/>
        <v>85.714285714285708</v>
      </c>
      <c r="AQ25" s="40">
        <v>4</v>
      </c>
      <c r="AR25" s="40">
        <v>4</v>
      </c>
      <c r="AS25" s="41">
        <f t="shared" si="13"/>
        <v>100</v>
      </c>
      <c r="AT25" s="10">
        <f t="shared" si="14"/>
        <v>41</v>
      </c>
      <c r="AU25" s="10">
        <f t="shared" si="14"/>
        <v>27</v>
      </c>
      <c r="AV25" s="26">
        <f t="shared" si="15"/>
        <v>65.853658536585371</v>
      </c>
      <c r="AW25" s="10">
        <f t="shared" si="16"/>
        <v>26</v>
      </c>
      <c r="AX25" s="10">
        <f t="shared" si="16"/>
        <v>18</v>
      </c>
      <c r="AY25" s="26">
        <f t="shared" si="17"/>
        <v>69.230769230769226</v>
      </c>
      <c r="AZ25" s="10">
        <f t="shared" si="18"/>
        <v>67</v>
      </c>
      <c r="BA25" s="10">
        <f t="shared" si="18"/>
        <v>45</v>
      </c>
      <c r="BB25" s="27">
        <f t="shared" si="19"/>
        <v>67.164179104477611</v>
      </c>
    </row>
    <row r="26" spans="1:54">
      <c r="A26" s="12">
        <v>20</v>
      </c>
      <c r="B26" s="13">
        <v>1230321017</v>
      </c>
      <c r="C26" s="14" t="s">
        <v>42</v>
      </c>
      <c r="D26" s="39">
        <v>4</v>
      </c>
      <c r="E26" s="39">
        <v>1</v>
      </c>
      <c r="F26" s="39">
        <f t="shared" si="0"/>
        <v>25</v>
      </c>
      <c r="G26" s="39">
        <v>2</v>
      </c>
      <c r="H26" s="39">
        <v>0</v>
      </c>
      <c r="I26" s="39">
        <f t="shared" si="1"/>
        <v>0</v>
      </c>
      <c r="J26" s="40">
        <v>7</v>
      </c>
      <c r="K26" s="40">
        <v>5</v>
      </c>
      <c r="L26" s="41">
        <f t="shared" si="2"/>
        <v>71.428571428571431</v>
      </c>
      <c r="M26" s="42">
        <v>6</v>
      </c>
      <c r="N26" s="42">
        <v>4</v>
      </c>
      <c r="O26" s="41">
        <f t="shared" si="3"/>
        <v>66.666666666666657</v>
      </c>
      <c r="P26" s="40">
        <v>7</v>
      </c>
      <c r="Q26" s="40">
        <v>3</v>
      </c>
      <c r="R26" s="41">
        <f t="shared" si="4"/>
        <v>42.857142857142854</v>
      </c>
      <c r="S26" s="42">
        <v>2</v>
      </c>
      <c r="T26" s="42">
        <v>2</v>
      </c>
      <c r="U26" s="41">
        <f t="shared" si="5"/>
        <v>100</v>
      </c>
      <c r="V26" s="39">
        <v>4</v>
      </c>
      <c r="W26" s="39">
        <v>3</v>
      </c>
      <c r="X26" s="41">
        <f t="shared" si="6"/>
        <v>75</v>
      </c>
      <c r="Y26" s="42">
        <v>2</v>
      </c>
      <c r="Z26" s="42">
        <v>1</v>
      </c>
      <c r="AA26" s="41">
        <f t="shared" si="7"/>
        <v>50</v>
      </c>
      <c r="AB26" s="40">
        <v>4</v>
      </c>
      <c r="AC26" s="40">
        <v>3</v>
      </c>
      <c r="AD26" s="41">
        <f t="shared" si="8"/>
        <v>75</v>
      </c>
      <c r="AE26" s="42">
        <v>4</v>
      </c>
      <c r="AF26" s="42">
        <v>3</v>
      </c>
      <c r="AG26" s="41">
        <f t="shared" si="9"/>
        <v>75</v>
      </c>
      <c r="AH26" s="40">
        <v>8</v>
      </c>
      <c r="AI26" s="40">
        <v>7</v>
      </c>
      <c r="AJ26" s="41">
        <f t="shared" si="10"/>
        <v>87.5</v>
      </c>
      <c r="AK26" s="42">
        <v>6</v>
      </c>
      <c r="AL26" s="42">
        <v>5</v>
      </c>
      <c r="AM26" s="41">
        <f t="shared" si="11"/>
        <v>83.333333333333343</v>
      </c>
      <c r="AN26" s="42">
        <v>7</v>
      </c>
      <c r="AO26" s="42">
        <v>7</v>
      </c>
      <c r="AP26" s="41">
        <f t="shared" si="12"/>
        <v>100</v>
      </c>
      <c r="AQ26" s="40">
        <v>4</v>
      </c>
      <c r="AR26" s="40">
        <v>4</v>
      </c>
      <c r="AS26" s="41">
        <f t="shared" si="13"/>
        <v>100</v>
      </c>
      <c r="AT26" s="10">
        <f t="shared" si="14"/>
        <v>41</v>
      </c>
      <c r="AU26" s="10">
        <f t="shared" si="14"/>
        <v>29</v>
      </c>
      <c r="AV26" s="26">
        <f t="shared" si="15"/>
        <v>70.731707317073173</v>
      </c>
      <c r="AW26" s="10">
        <f t="shared" si="16"/>
        <v>26</v>
      </c>
      <c r="AX26" s="10">
        <f t="shared" si="16"/>
        <v>19</v>
      </c>
      <c r="AY26" s="26">
        <f t="shared" si="17"/>
        <v>73.076923076923066</v>
      </c>
      <c r="AZ26" s="10">
        <f t="shared" si="18"/>
        <v>67</v>
      </c>
      <c r="BA26" s="10">
        <f t="shared" si="18"/>
        <v>48</v>
      </c>
      <c r="BB26" s="27">
        <f t="shared" si="19"/>
        <v>71.641791044776113</v>
      </c>
    </row>
    <row r="27" spans="1:54">
      <c r="A27" s="12">
        <v>21</v>
      </c>
      <c r="B27" s="13">
        <v>1230321018</v>
      </c>
      <c r="C27" s="14" t="s">
        <v>43</v>
      </c>
      <c r="D27" s="39">
        <v>4</v>
      </c>
      <c r="E27" s="39">
        <v>0</v>
      </c>
      <c r="F27" s="39">
        <f t="shared" si="0"/>
        <v>0</v>
      </c>
      <c r="G27" s="39">
        <v>2</v>
      </c>
      <c r="H27" s="39">
        <v>0</v>
      </c>
      <c r="I27" s="39">
        <f t="shared" si="1"/>
        <v>0</v>
      </c>
      <c r="J27" s="40">
        <v>7</v>
      </c>
      <c r="K27" s="40">
        <v>3</v>
      </c>
      <c r="L27" s="41">
        <f t="shared" si="2"/>
        <v>42.857142857142854</v>
      </c>
      <c r="M27" s="42">
        <v>6</v>
      </c>
      <c r="N27" s="42">
        <v>2</v>
      </c>
      <c r="O27" s="41">
        <f t="shared" si="3"/>
        <v>33.333333333333329</v>
      </c>
      <c r="P27" s="40">
        <v>7</v>
      </c>
      <c r="Q27" s="40">
        <v>2</v>
      </c>
      <c r="R27" s="41">
        <f t="shared" si="4"/>
        <v>28.571428571428569</v>
      </c>
      <c r="S27" s="42">
        <v>3</v>
      </c>
      <c r="T27" s="42">
        <v>0</v>
      </c>
      <c r="U27" s="41">
        <f t="shared" si="5"/>
        <v>0</v>
      </c>
      <c r="V27" s="39">
        <v>4</v>
      </c>
      <c r="W27" s="39">
        <v>2</v>
      </c>
      <c r="X27" s="41">
        <f t="shared" si="6"/>
        <v>50</v>
      </c>
      <c r="Y27" s="42">
        <v>2</v>
      </c>
      <c r="Z27" s="42">
        <v>0</v>
      </c>
      <c r="AA27" s="41">
        <f t="shared" si="7"/>
        <v>0</v>
      </c>
      <c r="AB27" s="40">
        <v>4</v>
      </c>
      <c r="AC27" s="40">
        <v>3</v>
      </c>
      <c r="AD27" s="41">
        <f t="shared" si="8"/>
        <v>75</v>
      </c>
      <c r="AE27" s="42">
        <v>4</v>
      </c>
      <c r="AF27" s="42">
        <v>1</v>
      </c>
      <c r="AG27" s="41">
        <f t="shared" si="9"/>
        <v>25</v>
      </c>
      <c r="AH27" s="40">
        <v>8</v>
      </c>
      <c r="AI27" s="40">
        <v>4</v>
      </c>
      <c r="AJ27" s="41">
        <f t="shared" si="10"/>
        <v>50</v>
      </c>
      <c r="AK27" s="42">
        <v>6</v>
      </c>
      <c r="AL27" s="42">
        <v>4</v>
      </c>
      <c r="AM27" s="41">
        <f t="shared" si="11"/>
        <v>66.666666666666657</v>
      </c>
      <c r="AN27" s="42">
        <v>7</v>
      </c>
      <c r="AO27" s="42">
        <v>6</v>
      </c>
      <c r="AP27" s="41">
        <f t="shared" si="12"/>
        <v>85.714285714285708</v>
      </c>
      <c r="AQ27" s="40">
        <v>4</v>
      </c>
      <c r="AR27" s="40">
        <v>4</v>
      </c>
      <c r="AS27" s="41">
        <f t="shared" si="13"/>
        <v>100</v>
      </c>
      <c r="AT27" s="10">
        <f t="shared" si="14"/>
        <v>41</v>
      </c>
      <c r="AU27" s="10">
        <f t="shared" si="14"/>
        <v>20</v>
      </c>
      <c r="AV27" s="26">
        <f t="shared" si="15"/>
        <v>48.780487804878049</v>
      </c>
      <c r="AW27" s="10">
        <f t="shared" si="16"/>
        <v>27</v>
      </c>
      <c r="AX27" s="10">
        <f t="shared" si="16"/>
        <v>11</v>
      </c>
      <c r="AY27" s="26">
        <f t="shared" si="17"/>
        <v>40.74074074074074</v>
      </c>
      <c r="AZ27" s="10">
        <f t="shared" si="18"/>
        <v>68</v>
      </c>
      <c r="BA27" s="10">
        <f t="shared" si="18"/>
        <v>31</v>
      </c>
      <c r="BB27" s="27">
        <f t="shared" si="19"/>
        <v>45.588235294117645</v>
      </c>
    </row>
    <row r="28" spans="1:54">
      <c r="A28" s="12">
        <v>22</v>
      </c>
      <c r="B28" s="13">
        <v>1230321019</v>
      </c>
      <c r="C28" s="14" t="s">
        <v>44</v>
      </c>
      <c r="D28" s="39">
        <v>4</v>
      </c>
      <c r="E28" s="39">
        <v>3</v>
      </c>
      <c r="F28" s="39">
        <f t="shared" si="0"/>
        <v>75</v>
      </c>
      <c r="G28" s="39">
        <v>2</v>
      </c>
      <c r="H28" s="39">
        <v>0</v>
      </c>
      <c r="I28" s="39">
        <f t="shared" si="1"/>
        <v>0</v>
      </c>
      <c r="J28" s="40">
        <v>7</v>
      </c>
      <c r="K28" s="40">
        <v>5</v>
      </c>
      <c r="L28" s="41">
        <f t="shared" si="2"/>
        <v>71.428571428571431</v>
      </c>
      <c r="M28" s="42">
        <v>6</v>
      </c>
      <c r="N28" s="42">
        <v>4</v>
      </c>
      <c r="O28" s="41">
        <f t="shared" si="3"/>
        <v>66.666666666666657</v>
      </c>
      <c r="P28" s="40">
        <v>7</v>
      </c>
      <c r="Q28" s="40">
        <v>6</v>
      </c>
      <c r="R28" s="41">
        <f t="shared" si="4"/>
        <v>85.714285714285708</v>
      </c>
      <c r="S28" s="42">
        <v>2</v>
      </c>
      <c r="T28" s="42">
        <v>2</v>
      </c>
      <c r="U28" s="41">
        <f t="shared" si="5"/>
        <v>100</v>
      </c>
      <c r="V28" s="39">
        <v>4</v>
      </c>
      <c r="W28" s="39">
        <v>0</v>
      </c>
      <c r="X28" s="41">
        <f t="shared" si="6"/>
        <v>0</v>
      </c>
      <c r="Y28" s="42">
        <v>2</v>
      </c>
      <c r="Z28" s="42">
        <v>1</v>
      </c>
      <c r="AA28" s="41">
        <f t="shared" si="7"/>
        <v>50</v>
      </c>
      <c r="AB28" s="40">
        <v>4</v>
      </c>
      <c r="AC28" s="40">
        <v>4</v>
      </c>
      <c r="AD28" s="41">
        <f t="shared" si="8"/>
        <v>100</v>
      </c>
      <c r="AE28" s="42">
        <v>4</v>
      </c>
      <c r="AF28" s="42">
        <v>4</v>
      </c>
      <c r="AG28" s="41">
        <f t="shared" si="9"/>
        <v>100</v>
      </c>
      <c r="AH28" s="40">
        <v>8</v>
      </c>
      <c r="AI28" s="40">
        <v>7</v>
      </c>
      <c r="AJ28" s="41">
        <f t="shared" si="10"/>
        <v>87.5</v>
      </c>
      <c r="AK28" s="42">
        <v>6</v>
      </c>
      <c r="AL28" s="42">
        <v>5</v>
      </c>
      <c r="AM28" s="41">
        <f t="shared" si="11"/>
        <v>83.333333333333343</v>
      </c>
      <c r="AN28" s="42">
        <v>7</v>
      </c>
      <c r="AO28" s="42">
        <v>7</v>
      </c>
      <c r="AP28" s="41">
        <f t="shared" si="12"/>
        <v>100</v>
      </c>
      <c r="AQ28" s="40">
        <v>4</v>
      </c>
      <c r="AR28" s="40">
        <v>4</v>
      </c>
      <c r="AS28" s="41">
        <f t="shared" si="13"/>
        <v>100</v>
      </c>
      <c r="AT28" s="10">
        <f t="shared" si="14"/>
        <v>41</v>
      </c>
      <c r="AU28" s="10">
        <f t="shared" si="14"/>
        <v>32</v>
      </c>
      <c r="AV28" s="26">
        <f t="shared" si="15"/>
        <v>78.048780487804876</v>
      </c>
      <c r="AW28" s="10">
        <f t="shared" si="16"/>
        <v>26</v>
      </c>
      <c r="AX28" s="10">
        <f t="shared" si="16"/>
        <v>20</v>
      </c>
      <c r="AY28" s="26">
        <f t="shared" si="17"/>
        <v>76.923076923076934</v>
      </c>
      <c r="AZ28" s="10">
        <f t="shared" si="18"/>
        <v>67</v>
      </c>
      <c r="BA28" s="10">
        <f t="shared" si="18"/>
        <v>52</v>
      </c>
      <c r="BB28" s="27">
        <f t="shared" si="19"/>
        <v>77.611940298507463</v>
      </c>
    </row>
    <row r="29" spans="1:54">
      <c r="A29" s="12">
        <v>23</v>
      </c>
      <c r="B29" s="13">
        <v>1230321020</v>
      </c>
      <c r="C29" s="14" t="s">
        <v>45</v>
      </c>
      <c r="D29" s="39">
        <v>4</v>
      </c>
      <c r="E29" s="39">
        <v>3</v>
      </c>
      <c r="F29" s="39">
        <f t="shared" si="0"/>
        <v>75</v>
      </c>
      <c r="G29" s="39">
        <v>2</v>
      </c>
      <c r="H29" s="39">
        <v>0</v>
      </c>
      <c r="I29" s="39">
        <f t="shared" si="1"/>
        <v>0</v>
      </c>
      <c r="J29" s="40">
        <v>7</v>
      </c>
      <c r="K29" s="40">
        <v>2</v>
      </c>
      <c r="L29" s="41">
        <f t="shared" si="2"/>
        <v>28.571428571428569</v>
      </c>
      <c r="M29" s="42">
        <v>6</v>
      </c>
      <c r="N29" s="42">
        <v>4</v>
      </c>
      <c r="O29" s="41">
        <f t="shared" si="3"/>
        <v>66.666666666666657</v>
      </c>
      <c r="P29" s="40">
        <v>7</v>
      </c>
      <c r="Q29" s="40">
        <v>5</v>
      </c>
      <c r="R29" s="41">
        <f t="shared" si="4"/>
        <v>71.428571428571431</v>
      </c>
      <c r="S29" s="42">
        <v>2</v>
      </c>
      <c r="T29" s="42">
        <v>1</v>
      </c>
      <c r="U29" s="41">
        <f t="shared" si="5"/>
        <v>50</v>
      </c>
      <c r="V29" s="39">
        <v>4</v>
      </c>
      <c r="W29" s="39">
        <v>2</v>
      </c>
      <c r="X29" s="41">
        <f t="shared" si="6"/>
        <v>50</v>
      </c>
      <c r="Y29" s="42">
        <v>2</v>
      </c>
      <c r="Z29" s="42">
        <v>1</v>
      </c>
      <c r="AA29" s="41">
        <f t="shared" si="7"/>
        <v>50</v>
      </c>
      <c r="AB29" s="40">
        <v>4</v>
      </c>
      <c r="AC29" s="40">
        <v>3</v>
      </c>
      <c r="AD29" s="41">
        <f t="shared" si="8"/>
        <v>75</v>
      </c>
      <c r="AE29" s="42">
        <v>4</v>
      </c>
      <c r="AF29" s="42">
        <v>3</v>
      </c>
      <c r="AG29" s="41">
        <f t="shared" si="9"/>
        <v>75</v>
      </c>
      <c r="AH29" s="40">
        <v>8</v>
      </c>
      <c r="AI29" s="40">
        <v>6</v>
      </c>
      <c r="AJ29" s="41">
        <f t="shared" si="10"/>
        <v>75</v>
      </c>
      <c r="AK29" s="42">
        <v>6</v>
      </c>
      <c r="AL29" s="42">
        <v>4</v>
      </c>
      <c r="AM29" s="41">
        <f t="shared" si="11"/>
        <v>66.666666666666657</v>
      </c>
      <c r="AN29" s="42">
        <v>7</v>
      </c>
      <c r="AO29" s="42">
        <v>5</v>
      </c>
      <c r="AP29" s="41">
        <f t="shared" si="12"/>
        <v>71.428571428571431</v>
      </c>
      <c r="AQ29" s="40">
        <v>4</v>
      </c>
      <c r="AR29" s="40">
        <v>4</v>
      </c>
      <c r="AS29" s="41">
        <f t="shared" si="13"/>
        <v>100</v>
      </c>
      <c r="AT29" s="10">
        <f t="shared" si="14"/>
        <v>41</v>
      </c>
      <c r="AU29" s="10">
        <f t="shared" si="14"/>
        <v>26</v>
      </c>
      <c r="AV29" s="26">
        <f t="shared" si="15"/>
        <v>63.414634146341463</v>
      </c>
      <c r="AW29" s="10">
        <f t="shared" si="16"/>
        <v>26</v>
      </c>
      <c r="AX29" s="10">
        <f t="shared" si="16"/>
        <v>17</v>
      </c>
      <c r="AY29" s="26">
        <f t="shared" si="17"/>
        <v>65.384615384615387</v>
      </c>
      <c r="AZ29" s="10">
        <f t="shared" si="18"/>
        <v>67</v>
      </c>
      <c r="BA29" s="10">
        <f t="shared" si="18"/>
        <v>43</v>
      </c>
      <c r="BB29" s="27">
        <f t="shared" si="19"/>
        <v>64.179104477611943</v>
      </c>
    </row>
    <row r="30" spans="1:54">
      <c r="A30" s="12">
        <v>24</v>
      </c>
      <c r="B30" s="13">
        <v>1230321021</v>
      </c>
      <c r="C30" s="14" t="s">
        <v>46</v>
      </c>
      <c r="D30" s="39">
        <v>4</v>
      </c>
      <c r="E30" s="39">
        <v>0</v>
      </c>
      <c r="F30" s="39">
        <f t="shared" si="0"/>
        <v>0</v>
      </c>
      <c r="G30" s="39">
        <v>2</v>
      </c>
      <c r="H30" s="39">
        <v>0</v>
      </c>
      <c r="I30" s="39">
        <f t="shared" si="1"/>
        <v>0</v>
      </c>
      <c r="J30" s="40">
        <v>7</v>
      </c>
      <c r="K30" s="40">
        <v>5</v>
      </c>
      <c r="L30" s="41">
        <f t="shared" si="2"/>
        <v>71.428571428571431</v>
      </c>
      <c r="M30" s="42">
        <v>6</v>
      </c>
      <c r="N30" s="42">
        <v>5</v>
      </c>
      <c r="O30" s="41">
        <f t="shared" si="3"/>
        <v>83.333333333333343</v>
      </c>
      <c r="P30" s="40">
        <v>7</v>
      </c>
      <c r="Q30" s="40">
        <v>6</v>
      </c>
      <c r="R30" s="41">
        <f t="shared" si="4"/>
        <v>85.714285714285708</v>
      </c>
      <c r="S30" s="42">
        <v>2</v>
      </c>
      <c r="T30" s="42">
        <v>1</v>
      </c>
      <c r="U30" s="41">
        <f t="shared" si="5"/>
        <v>50</v>
      </c>
      <c r="V30" s="39">
        <v>4</v>
      </c>
      <c r="W30" s="39">
        <v>2</v>
      </c>
      <c r="X30" s="41">
        <f t="shared" si="6"/>
        <v>50</v>
      </c>
      <c r="Y30" s="42">
        <v>2</v>
      </c>
      <c r="Z30" s="42">
        <v>1</v>
      </c>
      <c r="AA30" s="41">
        <f t="shared" si="7"/>
        <v>50</v>
      </c>
      <c r="AB30" s="40">
        <v>4</v>
      </c>
      <c r="AC30" s="40">
        <v>3</v>
      </c>
      <c r="AD30" s="41">
        <f t="shared" si="8"/>
        <v>75</v>
      </c>
      <c r="AE30" s="42">
        <v>4</v>
      </c>
      <c r="AF30" s="42">
        <v>3</v>
      </c>
      <c r="AG30" s="41">
        <f t="shared" si="9"/>
        <v>75</v>
      </c>
      <c r="AH30" s="40">
        <v>8</v>
      </c>
      <c r="AI30" s="40">
        <v>4</v>
      </c>
      <c r="AJ30" s="41">
        <f t="shared" si="10"/>
        <v>50</v>
      </c>
      <c r="AK30" s="42">
        <v>6</v>
      </c>
      <c r="AL30" s="42">
        <v>3</v>
      </c>
      <c r="AM30" s="41">
        <f t="shared" si="11"/>
        <v>50</v>
      </c>
      <c r="AN30" s="42">
        <v>7</v>
      </c>
      <c r="AO30" s="42">
        <v>5</v>
      </c>
      <c r="AP30" s="41">
        <f t="shared" si="12"/>
        <v>71.428571428571431</v>
      </c>
      <c r="AQ30" s="40">
        <v>4</v>
      </c>
      <c r="AR30" s="40">
        <v>3</v>
      </c>
      <c r="AS30" s="41">
        <f t="shared" si="13"/>
        <v>75</v>
      </c>
      <c r="AT30" s="10">
        <f t="shared" si="14"/>
        <v>41</v>
      </c>
      <c r="AU30" s="10">
        <f t="shared" si="14"/>
        <v>25</v>
      </c>
      <c r="AV30" s="26">
        <f t="shared" si="15"/>
        <v>60.975609756097562</v>
      </c>
      <c r="AW30" s="10">
        <f t="shared" si="16"/>
        <v>26</v>
      </c>
      <c r="AX30" s="10">
        <f t="shared" si="16"/>
        <v>16</v>
      </c>
      <c r="AY30" s="26">
        <f t="shared" si="17"/>
        <v>61.53846153846154</v>
      </c>
      <c r="AZ30" s="10">
        <f t="shared" si="18"/>
        <v>67</v>
      </c>
      <c r="BA30" s="10">
        <f t="shared" si="18"/>
        <v>41</v>
      </c>
      <c r="BB30" s="27">
        <f t="shared" si="19"/>
        <v>61.194029850746269</v>
      </c>
    </row>
    <row r="31" spans="1:54">
      <c r="A31" s="12">
        <v>25</v>
      </c>
      <c r="B31" s="13">
        <v>1230321022</v>
      </c>
      <c r="C31" s="14" t="s">
        <v>47</v>
      </c>
      <c r="D31" s="39">
        <v>4</v>
      </c>
      <c r="E31" s="39">
        <v>0</v>
      </c>
      <c r="F31" s="39">
        <f t="shared" si="0"/>
        <v>0</v>
      </c>
      <c r="G31" s="39">
        <v>2</v>
      </c>
      <c r="H31" s="39">
        <v>0</v>
      </c>
      <c r="I31" s="39">
        <f t="shared" si="1"/>
        <v>0</v>
      </c>
      <c r="J31" s="40">
        <v>7</v>
      </c>
      <c r="K31" s="40">
        <v>2</v>
      </c>
      <c r="L31" s="41">
        <f t="shared" si="2"/>
        <v>28.571428571428569</v>
      </c>
      <c r="M31" s="42">
        <v>6</v>
      </c>
      <c r="N31" s="42">
        <v>3</v>
      </c>
      <c r="O31" s="41">
        <f t="shared" si="3"/>
        <v>50</v>
      </c>
      <c r="P31" s="40">
        <v>7</v>
      </c>
      <c r="Q31" s="40">
        <v>3</v>
      </c>
      <c r="R31" s="41">
        <f t="shared" si="4"/>
        <v>42.857142857142854</v>
      </c>
      <c r="S31" s="42">
        <v>2</v>
      </c>
      <c r="T31" s="42">
        <v>0</v>
      </c>
      <c r="U31" s="41">
        <f t="shared" si="5"/>
        <v>0</v>
      </c>
      <c r="V31" s="39">
        <v>4</v>
      </c>
      <c r="W31" s="39">
        <v>3</v>
      </c>
      <c r="X31" s="41">
        <f t="shared" si="6"/>
        <v>75</v>
      </c>
      <c r="Y31" s="42">
        <v>2</v>
      </c>
      <c r="Z31" s="42">
        <v>0</v>
      </c>
      <c r="AA31" s="41">
        <f t="shared" si="7"/>
        <v>0</v>
      </c>
      <c r="AB31" s="40">
        <v>4</v>
      </c>
      <c r="AC31" s="40">
        <v>2</v>
      </c>
      <c r="AD31" s="41">
        <f t="shared" si="8"/>
        <v>50</v>
      </c>
      <c r="AE31" s="42">
        <v>4</v>
      </c>
      <c r="AF31" s="42">
        <v>1</v>
      </c>
      <c r="AG31" s="41">
        <f t="shared" si="9"/>
        <v>25</v>
      </c>
      <c r="AH31" s="40">
        <v>8</v>
      </c>
      <c r="AI31" s="40">
        <v>6</v>
      </c>
      <c r="AJ31" s="41">
        <f t="shared" si="10"/>
        <v>75</v>
      </c>
      <c r="AK31" s="42">
        <v>6</v>
      </c>
      <c r="AL31" s="42">
        <v>2</v>
      </c>
      <c r="AM31" s="41">
        <f t="shared" si="11"/>
        <v>33.333333333333329</v>
      </c>
      <c r="AN31" s="42">
        <v>7</v>
      </c>
      <c r="AO31" s="42">
        <v>5</v>
      </c>
      <c r="AP31" s="41">
        <f t="shared" si="12"/>
        <v>71.428571428571431</v>
      </c>
      <c r="AQ31" s="40">
        <v>4</v>
      </c>
      <c r="AR31" s="40">
        <v>3</v>
      </c>
      <c r="AS31" s="41">
        <f t="shared" si="13"/>
        <v>75</v>
      </c>
      <c r="AT31" s="10">
        <f t="shared" si="14"/>
        <v>41</v>
      </c>
      <c r="AU31" s="10">
        <f t="shared" si="14"/>
        <v>21</v>
      </c>
      <c r="AV31" s="26">
        <f t="shared" si="15"/>
        <v>51.219512195121951</v>
      </c>
      <c r="AW31" s="10">
        <f t="shared" si="16"/>
        <v>26</v>
      </c>
      <c r="AX31" s="10">
        <f t="shared" si="16"/>
        <v>9</v>
      </c>
      <c r="AY31" s="26">
        <f t="shared" si="17"/>
        <v>34.615384615384613</v>
      </c>
      <c r="AZ31" s="10">
        <f t="shared" si="18"/>
        <v>67</v>
      </c>
      <c r="BA31" s="10">
        <f t="shared" si="18"/>
        <v>30</v>
      </c>
      <c r="BB31" s="27">
        <f t="shared" si="19"/>
        <v>44.776119402985074</v>
      </c>
    </row>
    <row r="32" spans="1:54">
      <c r="A32" s="12">
        <v>26</v>
      </c>
      <c r="B32" s="13">
        <v>1230321023</v>
      </c>
      <c r="C32" s="14" t="s">
        <v>48</v>
      </c>
      <c r="D32" s="39">
        <v>4</v>
      </c>
      <c r="E32" s="39">
        <v>2</v>
      </c>
      <c r="F32" s="39">
        <f t="shared" si="0"/>
        <v>50</v>
      </c>
      <c r="G32" s="39">
        <v>2</v>
      </c>
      <c r="H32" s="39">
        <v>1</v>
      </c>
      <c r="I32" s="39">
        <f t="shared" si="1"/>
        <v>50</v>
      </c>
      <c r="J32" s="40">
        <v>7</v>
      </c>
      <c r="K32" s="40">
        <v>5</v>
      </c>
      <c r="L32" s="41">
        <f t="shared" si="2"/>
        <v>71.428571428571431</v>
      </c>
      <c r="M32" s="42">
        <v>6</v>
      </c>
      <c r="N32" s="42">
        <v>4</v>
      </c>
      <c r="O32" s="41">
        <f t="shared" si="3"/>
        <v>66.666666666666657</v>
      </c>
      <c r="P32" s="40">
        <v>7</v>
      </c>
      <c r="Q32" s="40">
        <v>5</v>
      </c>
      <c r="R32" s="41">
        <f t="shared" si="4"/>
        <v>71.428571428571431</v>
      </c>
      <c r="S32" s="42">
        <v>2</v>
      </c>
      <c r="T32" s="42">
        <v>1</v>
      </c>
      <c r="U32" s="41">
        <f t="shared" si="5"/>
        <v>50</v>
      </c>
      <c r="V32" s="39">
        <v>4</v>
      </c>
      <c r="W32" s="39">
        <v>3</v>
      </c>
      <c r="X32" s="41">
        <f t="shared" si="6"/>
        <v>75</v>
      </c>
      <c r="Y32" s="42">
        <v>2</v>
      </c>
      <c r="Z32" s="42">
        <v>1</v>
      </c>
      <c r="AA32" s="41">
        <f t="shared" si="7"/>
        <v>50</v>
      </c>
      <c r="AB32" s="40">
        <v>4</v>
      </c>
      <c r="AC32" s="40">
        <v>2</v>
      </c>
      <c r="AD32" s="41">
        <f t="shared" si="8"/>
        <v>50</v>
      </c>
      <c r="AE32" s="42">
        <v>4</v>
      </c>
      <c r="AF32" s="42">
        <v>3</v>
      </c>
      <c r="AG32" s="41">
        <f t="shared" si="9"/>
        <v>75</v>
      </c>
      <c r="AH32" s="40">
        <v>8</v>
      </c>
      <c r="AI32" s="40">
        <v>6</v>
      </c>
      <c r="AJ32" s="41">
        <f t="shared" si="10"/>
        <v>75</v>
      </c>
      <c r="AK32" s="42">
        <v>6</v>
      </c>
      <c r="AL32" s="42">
        <v>4</v>
      </c>
      <c r="AM32" s="41">
        <f t="shared" si="11"/>
        <v>66.666666666666657</v>
      </c>
      <c r="AN32" s="42">
        <v>7</v>
      </c>
      <c r="AO32" s="42">
        <v>5</v>
      </c>
      <c r="AP32" s="41">
        <f t="shared" si="12"/>
        <v>71.428571428571431</v>
      </c>
      <c r="AQ32" s="40">
        <v>4</v>
      </c>
      <c r="AR32" s="40">
        <v>3</v>
      </c>
      <c r="AS32" s="41">
        <f t="shared" si="13"/>
        <v>75</v>
      </c>
      <c r="AT32" s="10">
        <f t="shared" si="14"/>
        <v>41</v>
      </c>
      <c r="AU32" s="10">
        <f t="shared" si="14"/>
        <v>28</v>
      </c>
      <c r="AV32" s="26">
        <f t="shared" si="15"/>
        <v>68.292682926829272</v>
      </c>
      <c r="AW32" s="10">
        <f t="shared" si="16"/>
        <v>26</v>
      </c>
      <c r="AX32" s="10">
        <f t="shared" si="16"/>
        <v>17</v>
      </c>
      <c r="AY32" s="26">
        <f t="shared" si="17"/>
        <v>65.384615384615387</v>
      </c>
      <c r="AZ32" s="10">
        <f t="shared" si="18"/>
        <v>67</v>
      </c>
      <c r="BA32" s="10">
        <f t="shared" si="18"/>
        <v>45</v>
      </c>
      <c r="BB32" s="27">
        <f t="shared" si="19"/>
        <v>67.164179104477611</v>
      </c>
    </row>
    <row r="33" spans="1:54">
      <c r="A33" s="12">
        <v>27</v>
      </c>
      <c r="B33" s="13">
        <v>1230321024</v>
      </c>
      <c r="C33" s="14" t="s">
        <v>49</v>
      </c>
      <c r="D33" s="39">
        <v>4</v>
      </c>
      <c r="E33" s="39">
        <v>2</v>
      </c>
      <c r="F33" s="39">
        <f t="shared" si="0"/>
        <v>50</v>
      </c>
      <c r="G33" s="39">
        <v>2</v>
      </c>
      <c r="H33" s="39">
        <v>0</v>
      </c>
      <c r="I33" s="39">
        <f t="shared" si="1"/>
        <v>0</v>
      </c>
      <c r="J33" s="40">
        <v>7</v>
      </c>
      <c r="K33" s="40">
        <v>5</v>
      </c>
      <c r="L33" s="41">
        <f t="shared" si="2"/>
        <v>71.428571428571431</v>
      </c>
      <c r="M33" s="42">
        <v>6</v>
      </c>
      <c r="N33" s="42">
        <v>4</v>
      </c>
      <c r="O33" s="41">
        <f t="shared" si="3"/>
        <v>66.666666666666657</v>
      </c>
      <c r="P33" s="40">
        <v>7</v>
      </c>
      <c r="Q33" s="40">
        <v>6</v>
      </c>
      <c r="R33" s="41">
        <f t="shared" si="4"/>
        <v>85.714285714285708</v>
      </c>
      <c r="S33" s="42">
        <v>2</v>
      </c>
      <c r="T33" s="42">
        <v>1</v>
      </c>
      <c r="U33" s="41">
        <f t="shared" si="5"/>
        <v>50</v>
      </c>
      <c r="V33" s="39">
        <v>4</v>
      </c>
      <c r="W33" s="39">
        <v>1</v>
      </c>
      <c r="X33" s="41">
        <f t="shared" si="6"/>
        <v>25</v>
      </c>
      <c r="Y33" s="42">
        <v>2</v>
      </c>
      <c r="Z33" s="42">
        <v>1</v>
      </c>
      <c r="AA33" s="41">
        <f t="shared" si="7"/>
        <v>50</v>
      </c>
      <c r="AB33" s="40">
        <v>4</v>
      </c>
      <c r="AC33" s="40">
        <v>4</v>
      </c>
      <c r="AD33" s="41">
        <f t="shared" si="8"/>
        <v>100</v>
      </c>
      <c r="AE33" s="42">
        <v>4</v>
      </c>
      <c r="AF33" s="42">
        <v>3</v>
      </c>
      <c r="AG33" s="41">
        <f t="shared" si="9"/>
        <v>75</v>
      </c>
      <c r="AH33" s="40">
        <v>8</v>
      </c>
      <c r="AI33" s="40">
        <v>4</v>
      </c>
      <c r="AJ33" s="41">
        <f t="shared" si="10"/>
        <v>50</v>
      </c>
      <c r="AK33" s="42">
        <v>6</v>
      </c>
      <c r="AL33" s="42">
        <v>3</v>
      </c>
      <c r="AM33" s="41">
        <f t="shared" si="11"/>
        <v>50</v>
      </c>
      <c r="AN33" s="42">
        <v>7</v>
      </c>
      <c r="AO33" s="42">
        <v>7</v>
      </c>
      <c r="AP33" s="41">
        <f t="shared" si="12"/>
        <v>100</v>
      </c>
      <c r="AQ33" s="40">
        <v>4</v>
      </c>
      <c r="AR33" s="40">
        <v>5</v>
      </c>
      <c r="AS33" s="41">
        <f t="shared" si="13"/>
        <v>125</v>
      </c>
      <c r="AT33" s="10">
        <f t="shared" si="14"/>
        <v>41</v>
      </c>
      <c r="AU33" s="10">
        <f t="shared" si="14"/>
        <v>29</v>
      </c>
      <c r="AV33" s="26">
        <f t="shared" si="15"/>
        <v>70.731707317073173</v>
      </c>
      <c r="AW33" s="10">
        <f t="shared" si="16"/>
        <v>26</v>
      </c>
      <c r="AX33" s="10">
        <f t="shared" si="16"/>
        <v>17</v>
      </c>
      <c r="AY33" s="26">
        <f t="shared" si="17"/>
        <v>65.384615384615387</v>
      </c>
      <c r="AZ33" s="10">
        <f t="shared" si="18"/>
        <v>67</v>
      </c>
      <c r="BA33" s="10">
        <f t="shared" si="18"/>
        <v>46</v>
      </c>
      <c r="BB33" s="27">
        <f t="shared" si="19"/>
        <v>68.656716417910445</v>
      </c>
    </row>
    <row r="34" spans="1:54">
      <c r="A34" s="12">
        <v>28</v>
      </c>
      <c r="B34" s="13">
        <v>1230321025</v>
      </c>
      <c r="C34" s="14" t="s">
        <v>50</v>
      </c>
      <c r="D34" s="39">
        <v>4</v>
      </c>
      <c r="E34" s="39">
        <v>3</v>
      </c>
      <c r="F34" s="39">
        <f t="shared" si="0"/>
        <v>75</v>
      </c>
      <c r="G34" s="39">
        <v>2</v>
      </c>
      <c r="H34" s="39">
        <v>0</v>
      </c>
      <c r="I34" s="39">
        <f t="shared" si="1"/>
        <v>0</v>
      </c>
      <c r="J34" s="40">
        <v>7</v>
      </c>
      <c r="K34" s="40">
        <v>2</v>
      </c>
      <c r="L34" s="41">
        <f t="shared" si="2"/>
        <v>28.571428571428569</v>
      </c>
      <c r="M34" s="42">
        <v>6</v>
      </c>
      <c r="N34" s="42">
        <v>4</v>
      </c>
      <c r="O34" s="41">
        <f t="shared" si="3"/>
        <v>66.666666666666657</v>
      </c>
      <c r="P34" s="40">
        <v>7</v>
      </c>
      <c r="Q34" s="40">
        <v>6</v>
      </c>
      <c r="R34" s="41">
        <f t="shared" si="4"/>
        <v>85.714285714285708</v>
      </c>
      <c r="S34" s="42">
        <v>2</v>
      </c>
      <c r="T34" s="42">
        <v>1</v>
      </c>
      <c r="U34" s="41">
        <f t="shared" si="5"/>
        <v>50</v>
      </c>
      <c r="V34" s="39">
        <v>4</v>
      </c>
      <c r="W34" s="39">
        <v>1</v>
      </c>
      <c r="X34" s="41">
        <f t="shared" si="6"/>
        <v>25</v>
      </c>
      <c r="Y34" s="42">
        <v>2</v>
      </c>
      <c r="Z34" s="42">
        <v>1</v>
      </c>
      <c r="AA34" s="41">
        <f t="shared" si="7"/>
        <v>50</v>
      </c>
      <c r="AB34" s="40">
        <v>4</v>
      </c>
      <c r="AC34" s="40">
        <v>3</v>
      </c>
      <c r="AD34" s="41">
        <f t="shared" si="8"/>
        <v>75</v>
      </c>
      <c r="AE34" s="42">
        <v>4</v>
      </c>
      <c r="AF34" s="42">
        <v>2</v>
      </c>
      <c r="AG34" s="41">
        <f t="shared" si="9"/>
        <v>50</v>
      </c>
      <c r="AH34" s="40">
        <v>8</v>
      </c>
      <c r="AI34" s="40">
        <v>6</v>
      </c>
      <c r="AJ34" s="41">
        <f t="shared" si="10"/>
        <v>75</v>
      </c>
      <c r="AK34" s="42">
        <v>6</v>
      </c>
      <c r="AL34" s="42">
        <v>2</v>
      </c>
      <c r="AM34" s="41">
        <f t="shared" si="11"/>
        <v>33.333333333333329</v>
      </c>
      <c r="AN34" s="42">
        <v>7</v>
      </c>
      <c r="AO34" s="42">
        <v>6</v>
      </c>
      <c r="AP34" s="41">
        <f t="shared" si="12"/>
        <v>85.714285714285708</v>
      </c>
      <c r="AQ34" s="40">
        <v>4</v>
      </c>
      <c r="AR34" s="40">
        <v>4</v>
      </c>
      <c r="AS34" s="41">
        <f t="shared" si="13"/>
        <v>100</v>
      </c>
      <c r="AT34" s="10">
        <f t="shared" si="14"/>
        <v>41</v>
      </c>
      <c r="AU34" s="10">
        <f t="shared" si="14"/>
        <v>27</v>
      </c>
      <c r="AV34" s="26">
        <f t="shared" si="15"/>
        <v>65.853658536585371</v>
      </c>
      <c r="AW34" s="10">
        <f t="shared" si="16"/>
        <v>26</v>
      </c>
      <c r="AX34" s="10">
        <f t="shared" si="16"/>
        <v>14</v>
      </c>
      <c r="AY34" s="26">
        <f t="shared" si="17"/>
        <v>53.846153846153847</v>
      </c>
      <c r="AZ34" s="10">
        <f t="shared" si="18"/>
        <v>67</v>
      </c>
      <c r="BA34" s="10">
        <f t="shared" si="18"/>
        <v>41</v>
      </c>
      <c r="BB34" s="27">
        <f t="shared" si="19"/>
        <v>61.194029850746269</v>
      </c>
    </row>
    <row r="35" spans="1:54">
      <c r="A35" s="12">
        <v>29</v>
      </c>
      <c r="B35" s="13">
        <v>1230321026</v>
      </c>
      <c r="C35" s="14" t="s">
        <v>51</v>
      </c>
      <c r="D35" s="39">
        <v>4</v>
      </c>
      <c r="E35" s="39">
        <v>0</v>
      </c>
      <c r="F35" s="39">
        <f t="shared" si="0"/>
        <v>0</v>
      </c>
      <c r="G35" s="39">
        <v>2</v>
      </c>
      <c r="H35" s="39">
        <v>0</v>
      </c>
      <c r="I35" s="39">
        <f t="shared" si="1"/>
        <v>0</v>
      </c>
      <c r="J35" s="40">
        <v>7</v>
      </c>
      <c r="K35" s="40">
        <v>4</v>
      </c>
      <c r="L35" s="41">
        <f t="shared" si="2"/>
        <v>57.142857142857139</v>
      </c>
      <c r="M35" s="42">
        <v>6</v>
      </c>
      <c r="N35" s="42">
        <v>2</v>
      </c>
      <c r="O35" s="41">
        <f t="shared" si="3"/>
        <v>33.333333333333329</v>
      </c>
      <c r="P35" s="40">
        <v>7</v>
      </c>
      <c r="Q35" s="40">
        <v>3</v>
      </c>
      <c r="R35" s="41">
        <f t="shared" si="4"/>
        <v>42.857142857142854</v>
      </c>
      <c r="S35" s="42">
        <v>3</v>
      </c>
      <c r="T35" s="42">
        <v>0</v>
      </c>
      <c r="U35" s="41">
        <f t="shared" si="5"/>
        <v>0</v>
      </c>
      <c r="V35" s="39">
        <v>4</v>
      </c>
      <c r="W35" s="39">
        <v>1</v>
      </c>
      <c r="X35" s="41">
        <f t="shared" si="6"/>
        <v>25</v>
      </c>
      <c r="Y35" s="42">
        <v>2</v>
      </c>
      <c r="Z35" s="42">
        <v>2</v>
      </c>
      <c r="AA35" s="41">
        <f t="shared" si="7"/>
        <v>100</v>
      </c>
      <c r="AB35" s="40">
        <v>4</v>
      </c>
      <c r="AC35" s="40">
        <v>1</v>
      </c>
      <c r="AD35" s="41">
        <f t="shared" si="8"/>
        <v>25</v>
      </c>
      <c r="AE35" s="42">
        <v>4</v>
      </c>
      <c r="AF35" s="42">
        <v>0</v>
      </c>
      <c r="AG35" s="41">
        <f t="shared" si="9"/>
        <v>0</v>
      </c>
      <c r="AH35" s="40">
        <v>8</v>
      </c>
      <c r="AI35" s="40">
        <v>5</v>
      </c>
      <c r="AJ35" s="41">
        <f t="shared" si="10"/>
        <v>62.5</v>
      </c>
      <c r="AK35" s="42">
        <v>6</v>
      </c>
      <c r="AL35" s="42">
        <v>3</v>
      </c>
      <c r="AM35" s="41">
        <f t="shared" si="11"/>
        <v>50</v>
      </c>
      <c r="AN35" s="42">
        <v>7</v>
      </c>
      <c r="AO35" s="42">
        <v>5</v>
      </c>
      <c r="AP35" s="41">
        <f t="shared" si="12"/>
        <v>71.428571428571431</v>
      </c>
      <c r="AQ35" s="40">
        <v>4</v>
      </c>
      <c r="AR35" s="40">
        <v>3</v>
      </c>
      <c r="AS35" s="41">
        <f t="shared" si="13"/>
        <v>75</v>
      </c>
      <c r="AT35" s="10">
        <f t="shared" si="14"/>
        <v>41</v>
      </c>
      <c r="AU35" s="10">
        <f t="shared" si="14"/>
        <v>19</v>
      </c>
      <c r="AV35" s="26">
        <f t="shared" si="15"/>
        <v>46.341463414634148</v>
      </c>
      <c r="AW35" s="10">
        <f t="shared" si="16"/>
        <v>27</v>
      </c>
      <c r="AX35" s="10">
        <f t="shared" si="16"/>
        <v>10</v>
      </c>
      <c r="AY35" s="26">
        <f t="shared" si="17"/>
        <v>37.037037037037038</v>
      </c>
      <c r="AZ35" s="10">
        <f t="shared" si="18"/>
        <v>68</v>
      </c>
      <c r="BA35" s="10">
        <f t="shared" si="18"/>
        <v>29</v>
      </c>
      <c r="BB35" s="27">
        <f t="shared" si="19"/>
        <v>42.647058823529413</v>
      </c>
    </row>
    <row r="36" spans="1:54">
      <c r="A36" s="12">
        <v>30</v>
      </c>
      <c r="B36" s="13">
        <v>1230321027</v>
      </c>
      <c r="C36" s="14" t="s">
        <v>52</v>
      </c>
      <c r="D36" s="39">
        <v>4</v>
      </c>
      <c r="E36" s="39">
        <v>1</v>
      </c>
      <c r="F36" s="39">
        <f t="shared" si="0"/>
        <v>25</v>
      </c>
      <c r="G36" s="39">
        <v>2</v>
      </c>
      <c r="H36" s="39">
        <v>0</v>
      </c>
      <c r="I36" s="39">
        <f t="shared" si="1"/>
        <v>0</v>
      </c>
      <c r="J36" s="40">
        <v>7</v>
      </c>
      <c r="K36" s="40">
        <v>2</v>
      </c>
      <c r="L36" s="41">
        <f t="shared" si="2"/>
        <v>28.571428571428569</v>
      </c>
      <c r="M36" s="42">
        <v>6</v>
      </c>
      <c r="N36" s="42">
        <v>4</v>
      </c>
      <c r="O36" s="41">
        <f t="shared" si="3"/>
        <v>66.666666666666657</v>
      </c>
      <c r="P36" s="40">
        <v>7</v>
      </c>
      <c r="Q36" s="40">
        <v>2</v>
      </c>
      <c r="R36" s="41">
        <f t="shared" si="4"/>
        <v>28.571428571428569</v>
      </c>
      <c r="S36" s="42">
        <v>2</v>
      </c>
      <c r="T36" s="42">
        <v>0</v>
      </c>
      <c r="U36" s="41">
        <f t="shared" si="5"/>
        <v>0</v>
      </c>
      <c r="V36" s="39">
        <v>4</v>
      </c>
      <c r="W36" s="39">
        <v>3</v>
      </c>
      <c r="X36" s="41">
        <f t="shared" si="6"/>
        <v>75</v>
      </c>
      <c r="Y36" s="42">
        <v>2</v>
      </c>
      <c r="Z36" s="42">
        <v>1</v>
      </c>
      <c r="AA36" s="41">
        <f t="shared" si="7"/>
        <v>50</v>
      </c>
      <c r="AB36" s="40">
        <v>4</v>
      </c>
      <c r="AC36" s="40">
        <v>3</v>
      </c>
      <c r="AD36" s="41">
        <f t="shared" si="8"/>
        <v>75</v>
      </c>
      <c r="AE36" s="42">
        <v>4</v>
      </c>
      <c r="AF36" s="42">
        <v>4</v>
      </c>
      <c r="AG36" s="41">
        <f t="shared" si="9"/>
        <v>100</v>
      </c>
      <c r="AH36" s="40">
        <v>8</v>
      </c>
      <c r="AI36" s="40">
        <v>4</v>
      </c>
      <c r="AJ36" s="41">
        <f t="shared" si="10"/>
        <v>50</v>
      </c>
      <c r="AK36" s="42">
        <v>6</v>
      </c>
      <c r="AL36" s="42">
        <v>4</v>
      </c>
      <c r="AM36" s="41">
        <f t="shared" si="11"/>
        <v>66.666666666666657</v>
      </c>
      <c r="AN36" s="42">
        <v>7</v>
      </c>
      <c r="AO36" s="42">
        <v>5</v>
      </c>
      <c r="AP36" s="41">
        <f t="shared" si="12"/>
        <v>71.428571428571431</v>
      </c>
      <c r="AQ36" s="40">
        <v>4</v>
      </c>
      <c r="AR36" s="40">
        <v>3</v>
      </c>
      <c r="AS36" s="41">
        <f t="shared" si="13"/>
        <v>75</v>
      </c>
      <c r="AT36" s="10">
        <f t="shared" si="14"/>
        <v>41</v>
      </c>
      <c r="AU36" s="10">
        <f t="shared" si="14"/>
        <v>20</v>
      </c>
      <c r="AV36" s="26">
        <f t="shared" si="15"/>
        <v>48.780487804878049</v>
      </c>
      <c r="AW36" s="10">
        <f t="shared" si="16"/>
        <v>26</v>
      </c>
      <c r="AX36" s="10">
        <f t="shared" si="16"/>
        <v>16</v>
      </c>
      <c r="AY36" s="26">
        <f t="shared" si="17"/>
        <v>61.53846153846154</v>
      </c>
      <c r="AZ36" s="10">
        <f t="shared" si="18"/>
        <v>67</v>
      </c>
      <c r="BA36" s="10">
        <f t="shared" si="18"/>
        <v>36</v>
      </c>
      <c r="BB36" s="27">
        <f t="shared" si="19"/>
        <v>53.731343283582092</v>
      </c>
    </row>
    <row r="37" spans="1:54">
      <c r="A37" s="12">
        <v>31</v>
      </c>
      <c r="B37" s="13">
        <v>1230321028</v>
      </c>
      <c r="C37" s="14" t="s">
        <v>53</v>
      </c>
      <c r="D37" s="39">
        <v>4</v>
      </c>
      <c r="E37" s="39">
        <v>1</v>
      </c>
      <c r="F37" s="39">
        <f t="shared" si="0"/>
        <v>25</v>
      </c>
      <c r="G37" s="39">
        <v>2</v>
      </c>
      <c r="H37" s="39">
        <v>0</v>
      </c>
      <c r="I37" s="39">
        <f t="shared" si="1"/>
        <v>0</v>
      </c>
      <c r="J37" s="40">
        <v>7</v>
      </c>
      <c r="K37" s="40">
        <v>4</v>
      </c>
      <c r="L37" s="41">
        <f t="shared" si="2"/>
        <v>57.142857142857139</v>
      </c>
      <c r="M37" s="42">
        <v>6</v>
      </c>
      <c r="N37" s="42">
        <v>3</v>
      </c>
      <c r="O37" s="41">
        <f t="shared" si="3"/>
        <v>50</v>
      </c>
      <c r="P37" s="40">
        <v>7</v>
      </c>
      <c r="Q37" s="40">
        <v>4</v>
      </c>
      <c r="R37" s="41">
        <f t="shared" si="4"/>
        <v>57.142857142857139</v>
      </c>
      <c r="S37" s="42">
        <v>2</v>
      </c>
      <c r="T37" s="42">
        <v>1</v>
      </c>
      <c r="U37" s="41">
        <f t="shared" si="5"/>
        <v>50</v>
      </c>
      <c r="V37" s="39">
        <v>4</v>
      </c>
      <c r="W37" s="39">
        <v>2</v>
      </c>
      <c r="X37" s="41">
        <f t="shared" si="6"/>
        <v>50</v>
      </c>
      <c r="Y37" s="42">
        <v>2</v>
      </c>
      <c r="Z37" s="42">
        <v>0</v>
      </c>
      <c r="AA37" s="41">
        <f t="shared" si="7"/>
        <v>0</v>
      </c>
      <c r="AB37" s="40">
        <v>4</v>
      </c>
      <c r="AC37" s="40">
        <v>2</v>
      </c>
      <c r="AD37" s="41">
        <f t="shared" si="8"/>
        <v>50</v>
      </c>
      <c r="AE37" s="42">
        <v>4</v>
      </c>
      <c r="AF37" s="42">
        <v>2</v>
      </c>
      <c r="AG37" s="41">
        <f t="shared" si="9"/>
        <v>50</v>
      </c>
      <c r="AH37" s="40">
        <v>8</v>
      </c>
      <c r="AI37" s="40">
        <v>3</v>
      </c>
      <c r="AJ37" s="41">
        <f t="shared" si="10"/>
        <v>37.5</v>
      </c>
      <c r="AK37" s="42">
        <v>6</v>
      </c>
      <c r="AL37" s="42">
        <v>4</v>
      </c>
      <c r="AM37" s="41">
        <f t="shared" si="11"/>
        <v>66.666666666666657</v>
      </c>
      <c r="AN37" s="42">
        <v>7</v>
      </c>
      <c r="AO37" s="42">
        <v>6</v>
      </c>
      <c r="AP37" s="41">
        <f t="shared" si="12"/>
        <v>85.714285714285708</v>
      </c>
      <c r="AQ37" s="40">
        <v>4</v>
      </c>
      <c r="AR37" s="40">
        <v>4</v>
      </c>
      <c r="AS37" s="41">
        <f t="shared" si="13"/>
        <v>100</v>
      </c>
      <c r="AT37" s="10">
        <f t="shared" si="14"/>
        <v>41</v>
      </c>
      <c r="AU37" s="10">
        <f t="shared" si="14"/>
        <v>22</v>
      </c>
      <c r="AV37" s="26">
        <f t="shared" si="15"/>
        <v>53.658536585365859</v>
      </c>
      <c r="AW37" s="10">
        <f t="shared" si="16"/>
        <v>26</v>
      </c>
      <c r="AX37" s="10">
        <f t="shared" si="16"/>
        <v>14</v>
      </c>
      <c r="AY37" s="26">
        <f t="shared" si="17"/>
        <v>53.846153846153847</v>
      </c>
      <c r="AZ37" s="10">
        <f t="shared" si="18"/>
        <v>67</v>
      </c>
      <c r="BA37" s="10">
        <f t="shared" si="18"/>
        <v>36</v>
      </c>
      <c r="BB37" s="27">
        <f t="shared" si="19"/>
        <v>53.731343283582092</v>
      </c>
    </row>
    <row r="38" spans="1:54">
      <c r="A38" s="12">
        <v>32</v>
      </c>
      <c r="B38" s="13">
        <v>1230321029</v>
      </c>
      <c r="C38" s="14" t="s">
        <v>54</v>
      </c>
      <c r="D38" s="39">
        <v>4</v>
      </c>
      <c r="E38" s="39">
        <v>0</v>
      </c>
      <c r="F38" s="39">
        <f t="shared" si="0"/>
        <v>0</v>
      </c>
      <c r="G38" s="39">
        <v>2</v>
      </c>
      <c r="H38" s="39">
        <v>0</v>
      </c>
      <c r="I38" s="39">
        <f t="shared" si="1"/>
        <v>0</v>
      </c>
      <c r="J38" s="40">
        <v>7</v>
      </c>
      <c r="K38" s="40">
        <v>3</v>
      </c>
      <c r="L38" s="41">
        <f t="shared" si="2"/>
        <v>42.857142857142854</v>
      </c>
      <c r="M38" s="42">
        <v>6</v>
      </c>
      <c r="N38" s="42">
        <v>0</v>
      </c>
      <c r="O38" s="41">
        <f t="shared" si="3"/>
        <v>0</v>
      </c>
      <c r="P38" s="40">
        <v>7</v>
      </c>
      <c r="Q38" s="40">
        <v>4</v>
      </c>
      <c r="R38" s="41">
        <f t="shared" si="4"/>
        <v>57.142857142857139</v>
      </c>
      <c r="S38" s="42">
        <v>3</v>
      </c>
      <c r="T38" s="42">
        <v>0</v>
      </c>
      <c r="U38" s="41">
        <f t="shared" si="5"/>
        <v>0</v>
      </c>
      <c r="V38" s="39">
        <v>4</v>
      </c>
      <c r="W38" s="39">
        <v>2</v>
      </c>
      <c r="X38" s="41">
        <f t="shared" si="6"/>
        <v>50</v>
      </c>
      <c r="Y38" s="42">
        <v>2</v>
      </c>
      <c r="Z38" s="42">
        <v>1</v>
      </c>
      <c r="AA38" s="41">
        <f t="shared" si="7"/>
        <v>50</v>
      </c>
      <c r="AB38" s="40">
        <v>4</v>
      </c>
      <c r="AC38" s="40">
        <v>1</v>
      </c>
      <c r="AD38" s="41">
        <f t="shared" si="8"/>
        <v>25</v>
      </c>
      <c r="AE38" s="42">
        <v>4</v>
      </c>
      <c r="AF38" s="42">
        <v>0</v>
      </c>
      <c r="AG38" s="41">
        <f t="shared" si="9"/>
        <v>0</v>
      </c>
      <c r="AH38" s="40">
        <v>8</v>
      </c>
      <c r="AI38" s="40">
        <v>3</v>
      </c>
      <c r="AJ38" s="41">
        <f t="shared" si="10"/>
        <v>37.5</v>
      </c>
      <c r="AK38" s="42">
        <v>6</v>
      </c>
      <c r="AL38" s="42">
        <v>2</v>
      </c>
      <c r="AM38" s="41">
        <f t="shared" si="11"/>
        <v>33.333333333333329</v>
      </c>
      <c r="AN38" s="42">
        <v>7</v>
      </c>
      <c r="AO38" s="42">
        <v>4</v>
      </c>
      <c r="AP38" s="41">
        <f t="shared" si="12"/>
        <v>57.142857142857139</v>
      </c>
      <c r="AQ38" s="40">
        <v>4</v>
      </c>
      <c r="AR38" s="40">
        <v>3</v>
      </c>
      <c r="AS38" s="41">
        <f t="shared" si="13"/>
        <v>75</v>
      </c>
      <c r="AT38" s="10">
        <f t="shared" si="14"/>
        <v>41</v>
      </c>
      <c r="AU38" s="10">
        <f t="shared" si="14"/>
        <v>17</v>
      </c>
      <c r="AV38" s="26">
        <f t="shared" si="15"/>
        <v>41.463414634146339</v>
      </c>
      <c r="AW38" s="10">
        <f t="shared" si="16"/>
        <v>27</v>
      </c>
      <c r="AX38" s="10">
        <f t="shared" si="16"/>
        <v>6</v>
      </c>
      <c r="AY38" s="26">
        <f t="shared" si="17"/>
        <v>22.222222222222221</v>
      </c>
      <c r="AZ38" s="10">
        <f t="shared" si="18"/>
        <v>68</v>
      </c>
      <c r="BA38" s="10">
        <f t="shared" si="18"/>
        <v>23</v>
      </c>
      <c r="BB38" s="27">
        <f t="shared" si="19"/>
        <v>33.82352941176471</v>
      </c>
    </row>
    <row r="39" spans="1:54">
      <c r="A39" s="12">
        <v>33</v>
      </c>
      <c r="B39" s="13">
        <v>1230321030</v>
      </c>
      <c r="C39" s="14" t="s">
        <v>55</v>
      </c>
      <c r="D39" s="39">
        <v>4</v>
      </c>
      <c r="E39" s="39">
        <v>0</v>
      </c>
      <c r="F39" s="39">
        <f t="shared" si="0"/>
        <v>0</v>
      </c>
      <c r="G39" s="39">
        <v>2</v>
      </c>
      <c r="H39" s="39">
        <v>0</v>
      </c>
      <c r="I39" s="39">
        <f t="shared" si="1"/>
        <v>0</v>
      </c>
      <c r="J39" s="40">
        <v>7</v>
      </c>
      <c r="K39" s="40">
        <v>3</v>
      </c>
      <c r="L39" s="41">
        <f t="shared" si="2"/>
        <v>42.857142857142854</v>
      </c>
      <c r="M39" s="42">
        <v>6</v>
      </c>
      <c r="N39" s="42">
        <v>3</v>
      </c>
      <c r="O39" s="41">
        <f t="shared" si="3"/>
        <v>50</v>
      </c>
      <c r="P39" s="40">
        <v>7</v>
      </c>
      <c r="Q39" s="40">
        <v>4</v>
      </c>
      <c r="R39" s="41">
        <f t="shared" si="4"/>
        <v>57.142857142857139</v>
      </c>
      <c r="S39" s="42">
        <v>2</v>
      </c>
      <c r="T39" s="42">
        <v>1</v>
      </c>
      <c r="U39" s="41">
        <f t="shared" si="5"/>
        <v>50</v>
      </c>
      <c r="V39" s="39">
        <v>4</v>
      </c>
      <c r="W39" s="39">
        <v>2</v>
      </c>
      <c r="X39" s="41">
        <f t="shared" si="6"/>
        <v>50</v>
      </c>
      <c r="Y39" s="42">
        <v>2</v>
      </c>
      <c r="Z39" s="42">
        <v>2</v>
      </c>
      <c r="AA39" s="41">
        <f t="shared" si="7"/>
        <v>100</v>
      </c>
      <c r="AB39" s="40">
        <v>4</v>
      </c>
      <c r="AC39" s="40">
        <v>1</v>
      </c>
      <c r="AD39" s="41">
        <f t="shared" si="8"/>
        <v>25</v>
      </c>
      <c r="AE39" s="42">
        <v>4</v>
      </c>
      <c r="AF39" s="42">
        <v>1</v>
      </c>
      <c r="AG39" s="41">
        <f t="shared" si="9"/>
        <v>25</v>
      </c>
      <c r="AH39" s="40">
        <v>8</v>
      </c>
      <c r="AI39" s="40">
        <v>3</v>
      </c>
      <c r="AJ39" s="41">
        <f t="shared" si="10"/>
        <v>37.5</v>
      </c>
      <c r="AK39" s="42">
        <v>6</v>
      </c>
      <c r="AL39" s="42">
        <v>0</v>
      </c>
      <c r="AM39" s="41">
        <f t="shared" si="11"/>
        <v>0</v>
      </c>
      <c r="AN39" s="42">
        <v>7</v>
      </c>
      <c r="AO39" s="42">
        <v>5</v>
      </c>
      <c r="AP39" s="41">
        <f t="shared" si="12"/>
        <v>71.428571428571431</v>
      </c>
      <c r="AQ39" s="40">
        <v>4</v>
      </c>
      <c r="AR39" s="40">
        <v>2</v>
      </c>
      <c r="AS39" s="41">
        <f t="shared" si="13"/>
        <v>50</v>
      </c>
      <c r="AT39" s="10">
        <f t="shared" si="14"/>
        <v>41</v>
      </c>
      <c r="AU39" s="10">
        <f t="shared" si="14"/>
        <v>18</v>
      </c>
      <c r="AV39" s="26">
        <f t="shared" si="15"/>
        <v>43.902439024390247</v>
      </c>
      <c r="AW39" s="10">
        <f t="shared" si="16"/>
        <v>26</v>
      </c>
      <c r="AX39" s="10">
        <f t="shared" si="16"/>
        <v>9</v>
      </c>
      <c r="AY39" s="26">
        <f t="shared" si="17"/>
        <v>34.615384615384613</v>
      </c>
      <c r="AZ39" s="10">
        <f t="shared" si="18"/>
        <v>67</v>
      </c>
      <c r="BA39" s="10">
        <f t="shared" si="18"/>
        <v>27</v>
      </c>
      <c r="BB39" s="27">
        <f t="shared" si="19"/>
        <v>40.298507462686565</v>
      </c>
    </row>
    <row r="40" spans="1:54">
      <c r="A40" s="12">
        <v>34</v>
      </c>
      <c r="B40" s="13">
        <v>1230321031</v>
      </c>
      <c r="C40" s="14" t="s">
        <v>56</v>
      </c>
      <c r="D40" s="39">
        <v>4</v>
      </c>
      <c r="E40" s="39">
        <v>0</v>
      </c>
      <c r="F40" s="39">
        <f t="shared" si="0"/>
        <v>0</v>
      </c>
      <c r="G40" s="39">
        <v>2</v>
      </c>
      <c r="H40" s="39">
        <v>0</v>
      </c>
      <c r="I40" s="39">
        <f t="shared" si="1"/>
        <v>0</v>
      </c>
      <c r="J40" s="40">
        <v>7</v>
      </c>
      <c r="K40" s="40">
        <v>3</v>
      </c>
      <c r="L40" s="41">
        <f t="shared" si="2"/>
        <v>42.857142857142854</v>
      </c>
      <c r="M40" s="42">
        <v>6</v>
      </c>
      <c r="N40" s="42">
        <v>3</v>
      </c>
      <c r="O40" s="41">
        <f t="shared" si="3"/>
        <v>50</v>
      </c>
      <c r="P40" s="40">
        <v>7</v>
      </c>
      <c r="Q40" s="40">
        <v>3</v>
      </c>
      <c r="R40" s="41">
        <f t="shared" si="4"/>
        <v>42.857142857142854</v>
      </c>
      <c r="S40" s="42">
        <v>2</v>
      </c>
      <c r="T40" s="42">
        <v>1</v>
      </c>
      <c r="U40" s="41">
        <f t="shared" si="5"/>
        <v>50</v>
      </c>
      <c r="V40" s="39">
        <v>4</v>
      </c>
      <c r="W40" s="39">
        <v>3</v>
      </c>
      <c r="X40" s="41">
        <f t="shared" si="6"/>
        <v>75</v>
      </c>
      <c r="Y40" s="42">
        <v>2</v>
      </c>
      <c r="Z40" s="42">
        <v>2</v>
      </c>
      <c r="AA40" s="41">
        <f t="shared" si="7"/>
        <v>100</v>
      </c>
      <c r="AB40" s="40">
        <v>4</v>
      </c>
      <c r="AC40" s="40">
        <v>2</v>
      </c>
      <c r="AD40" s="41">
        <f t="shared" si="8"/>
        <v>50</v>
      </c>
      <c r="AE40" s="42">
        <v>4</v>
      </c>
      <c r="AF40" s="42">
        <v>2</v>
      </c>
      <c r="AG40" s="41">
        <f t="shared" si="9"/>
        <v>50</v>
      </c>
      <c r="AH40" s="40">
        <v>8</v>
      </c>
      <c r="AI40" s="40">
        <v>3</v>
      </c>
      <c r="AJ40" s="41">
        <f t="shared" si="10"/>
        <v>37.5</v>
      </c>
      <c r="AK40" s="42">
        <v>6</v>
      </c>
      <c r="AL40" s="42">
        <v>0</v>
      </c>
      <c r="AM40" s="41">
        <f t="shared" si="11"/>
        <v>0</v>
      </c>
      <c r="AN40" s="42">
        <v>7</v>
      </c>
      <c r="AO40" s="42">
        <v>5</v>
      </c>
      <c r="AP40" s="41">
        <f t="shared" si="12"/>
        <v>71.428571428571431</v>
      </c>
      <c r="AQ40" s="40">
        <v>4</v>
      </c>
      <c r="AR40" s="40">
        <v>2</v>
      </c>
      <c r="AS40" s="41">
        <f t="shared" si="13"/>
        <v>50</v>
      </c>
      <c r="AT40" s="10">
        <f t="shared" si="14"/>
        <v>41</v>
      </c>
      <c r="AU40" s="10">
        <f t="shared" si="14"/>
        <v>19</v>
      </c>
      <c r="AV40" s="26">
        <f t="shared" si="15"/>
        <v>46.341463414634148</v>
      </c>
      <c r="AW40" s="10">
        <f t="shared" si="16"/>
        <v>26</v>
      </c>
      <c r="AX40" s="10">
        <f t="shared" si="16"/>
        <v>10</v>
      </c>
      <c r="AY40" s="26">
        <f t="shared" si="17"/>
        <v>38.461538461538467</v>
      </c>
      <c r="AZ40" s="10">
        <f t="shared" si="18"/>
        <v>67</v>
      </c>
      <c r="BA40" s="10">
        <f t="shared" si="18"/>
        <v>29</v>
      </c>
      <c r="BB40" s="27">
        <f t="shared" si="19"/>
        <v>43.283582089552233</v>
      </c>
    </row>
    <row r="41" spans="1:54">
      <c r="A41" s="12">
        <v>35</v>
      </c>
      <c r="B41" s="13">
        <v>1230321032</v>
      </c>
      <c r="C41" s="14" t="s">
        <v>57</v>
      </c>
      <c r="D41" s="39">
        <v>4</v>
      </c>
      <c r="E41" s="39">
        <v>2</v>
      </c>
      <c r="F41" s="39">
        <f t="shared" si="0"/>
        <v>50</v>
      </c>
      <c r="G41" s="39">
        <v>2</v>
      </c>
      <c r="H41" s="39">
        <v>0</v>
      </c>
      <c r="I41" s="39">
        <f t="shared" si="1"/>
        <v>0</v>
      </c>
      <c r="J41" s="40">
        <v>7</v>
      </c>
      <c r="K41" s="40">
        <v>1</v>
      </c>
      <c r="L41" s="41">
        <f t="shared" si="2"/>
        <v>14.285714285714285</v>
      </c>
      <c r="M41" s="42">
        <v>6</v>
      </c>
      <c r="N41" s="42">
        <v>1</v>
      </c>
      <c r="O41" s="41">
        <f t="shared" si="3"/>
        <v>16.666666666666664</v>
      </c>
      <c r="P41" s="40">
        <v>7</v>
      </c>
      <c r="Q41" s="40">
        <v>3</v>
      </c>
      <c r="R41" s="41">
        <f t="shared" si="4"/>
        <v>42.857142857142854</v>
      </c>
      <c r="S41" s="42">
        <v>2</v>
      </c>
      <c r="T41" s="42">
        <v>2</v>
      </c>
      <c r="U41" s="41">
        <f t="shared" si="5"/>
        <v>100</v>
      </c>
      <c r="V41" s="39">
        <v>4</v>
      </c>
      <c r="W41" s="39">
        <v>3</v>
      </c>
      <c r="X41" s="41">
        <f t="shared" si="6"/>
        <v>75</v>
      </c>
      <c r="Y41" s="42">
        <v>2</v>
      </c>
      <c r="Z41" s="42">
        <v>1</v>
      </c>
      <c r="AA41" s="41">
        <f t="shared" si="7"/>
        <v>50</v>
      </c>
      <c r="AB41" s="40">
        <v>4</v>
      </c>
      <c r="AC41" s="40">
        <v>4</v>
      </c>
      <c r="AD41" s="41">
        <f t="shared" si="8"/>
        <v>100</v>
      </c>
      <c r="AE41" s="42">
        <v>4</v>
      </c>
      <c r="AF41" s="42">
        <v>4</v>
      </c>
      <c r="AG41" s="41">
        <f t="shared" si="9"/>
        <v>100</v>
      </c>
      <c r="AH41" s="40">
        <v>8</v>
      </c>
      <c r="AI41" s="40">
        <v>6</v>
      </c>
      <c r="AJ41" s="41">
        <f t="shared" si="10"/>
        <v>75</v>
      </c>
      <c r="AK41" s="42">
        <v>6</v>
      </c>
      <c r="AL41" s="42">
        <v>4</v>
      </c>
      <c r="AM41" s="41">
        <f t="shared" si="11"/>
        <v>66.666666666666657</v>
      </c>
      <c r="AN41" s="42">
        <v>7</v>
      </c>
      <c r="AO41" s="42">
        <v>5</v>
      </c>
      <c r="AP41" s="41">
        <f t="shared" si="12"/>
        <v>71.428571428571431</v>
      </c>
      <c r="AQ41" s="40">
        <v>4</v>
      </c>
      <c r="AR41" s="40">
        <v>4</v>
      </c>
      <c r="AS41" s="41">
        <f t="shared" si="13"/>
        <v>100</v>
      </c>
      <c r="AT41" s="10">
        <f t="shared" si="14"/>
        <v>41</v>
      </c>
      <c r="AU41" s="10">
        <f t="shared" si="14"/>
        <v>24</v>
      </c>
      <c r="AV41" s="26">
        <f t="shared" si="15"/>
        <v>58.536585365853654</v>
      </c>
      <c r="AW41" s="10">
        <f t="shared" si="16"/>
        <v>26</v>
      </c>
      <c r="AX41" s="10">
        <f t="shared" si="16"/>
        <v>16</v>
      </c>
      <c r="AY41" s="26">
        <f t="shared" si="17"/>
        <v>61.53846153846154</v>
      </c>
      <c r="AZ41" s="10">
        <f t="shared" si="18"/>
        <v>67</v>
      </c>
      <c r="BA41" s="10">
        <f t="shared" si="18"/>
        <v>40</v>
      </c>
      <c r="BB41" s="27">
        <f t="shared" si="19"/>
        <v>59.701492537313428</v>
      </c>
    </row>
    <row r="42" spans="1:54">
      <c r="A42" s="12">
        <v>36</v>
      </c>
      <c r="B42" s="13">
        <v>1230321033</v>
      </c>
      <c r="C42" s="14" t="s">
        <v>58</v>
      </c>
      <c r="D42" s="39">
        <v>4</v>
      </c>
      <c r="E42" s="39">
        <v>2</v>
      </c>
      <c r="F42" s="39">
        <f t="shared" si="0"/>
        <v>50</v>
      </c>
      <c r="G42" s="39">
        <v>2</v>
      </c>
      <c r="H42" s="39">
        <v>0</v>
      </c>
      <c r="I42" s="39">
        <f t="shared" si="1"/>
        <v>0</v>
      </c>
      <c r="J42" s="40">
        <v>7</v>
      </c>
      <c r="K42" s="40">
        <v>5</v>
      </c>
      <c r="L42" s="41">
        <f t="shared" si="2"/>
        <v>71.428571428571431</v>
      </c>
      <c r="M42" s="42">
        <v>6</v>
      </c>
      <c r="N42" s="42">
        <v>3</v>
      </c>
      <c r="O42" s="41">
        <f t="shared" si="3"/>
        <v>50</v>
      </c>
      <c r="P42" s="40">
        <v>7</v>
      </c>
      <c r="Q42" s="40">
        <v>6</v>
      </c>
      <c r="R42" s="41">
        <f t="shared" si="4"/>
        <v>85.714285714285708</v>
      </c>
      <c r="S42" s="42">
        <v>2</v>
      </c>
      <c r="T42" s="42">
        <v>1</v>
      </c>
      <c r="U42" s="41">
        <f t="shared" si="5"/>
        <v>50</v>
      </c>
      <c r="V42" s="39">
        <v>4</v>
      </c>
      <c r="W42" s="39">
        <v>3</v>
      </c>
      <c r="X42" s="41">
        <f t="shared" si="6"/>
        <v>75</v>
      </c>
      <c r="Y42" s="42">
        <v>2</v>
      </c>
      <c r="Z42" s="42">
        <v>1</v>
      </c>
      <c r="AA42" s="41">
        <f t="shared" si="7"/>
        <v>50</v>
      </c>
      <c r="AB42" s="40">
        <v>4</v>
      </c>
      <c r="AC42" s="40">
        <v>4</v>
      </c>
      <c r="AD42" s="41">
        <f t="shared" si="8"/>
        <v>100</v>
      </c>
      <c r="AE42" s="42">
        <v>4</v>
      </c>
      <c r="AF42" s="42">
        <v>1</v>
      </c>
      <c r="AG42" s="41">
        <f t="shared" si="9"/>
        <v>25</v>
      </c>
      <c r="AH42" s="40">
        <v>8</v>
      </c>
      <c r="AI42" s="40">
        <v>7</v>
      </c>
      <c r="AJ42" s="41">
        <f t="shared" si="10"/>
        <v>87.5</v>
      </c>
      <c r="AK42" s="42">
        <v>6</v>
      </c>
      <c r="AL42" s="42">
        <v>4</v>
      </c>
      <c r="AM42" s="41">
        <f t="shared" si="11"/>
        <v>66.666666666666657</v>
      </c>
      <c r="AN42" s="42">
        <v>7</v>
      </c>
      <c r="AO42" s="42">
        <v>6</v>
      </c>
      <c r="AP42" s="41">
        <f t="shared" si="12"/>
        <v>85.714285714285708</v>
      </c>
      <c r="AQ42" s="40">
        <v>4</v>
      </c>
      <c r="AR42" s="40">
        <v>4</v>
      </c>
      <c r="AS42" s="41">
        <f t="shared" si="13"/>
        <v>100</v>
      </c>
      <c r="AT42" s="10">
        <f t="shared" si="14"/>
        <v>41</v>
      </c>
      <c r="AU42" s="10">
        <f t="shared" si="14"/>
        <v>33</v>
      </c>
      <c r="AV42" s="26">
        <f t="shared" si="15"/>
        <v>80.487804878048792</v>
      </c>
      <c r="AW42" s="10">
        <f t="shared" si="16"/>
        <v>26</v>
      </c>
      <c r="AX42" s="10">
        <f t="shared" si="16"/>
        <v>14</v>
      </c>
      <c r="AY42" s="26">
        <f t="shared" si="17"/>
        <v>53.846153846153847</v>
      </c>
      <c r="AZ42" s="10">
        <f t="shared" si="18"/>
        <v>67</v>
      </c>
      <c r="BA42" s="10">
        <f t="shared" si="18"/>
        <v>47</v>
      </c>
      <c r="BB42" s="27">
        <f t="shared" si="19"/>
        <v>70.149253731343293</v>
      </c>
    </row>
    <row r="43" spans="1:54">
      <c r="A43" s="12">
        <v>37</v>
      </c>
      <c r="B43" s="13">
        <v>1230321034</v>
      </c>
      <c r="C43" s="14" t="s">
        <v>59</v>
      </c>
      <c r="D43" s="39">
        <v>4</v>
      </c>
      <c r="E43" s="39">
        <v>0</v>
      </c>
      <c r="F43" s="39">
        <f t="shared" si="0"/>
        <v>0</v>
      </c>
      <c r="G43" s="39">
        <v>2</v>
      </c>
      <c r="H43" s="39">
        <v>0</v>
      </c>
      <c r="I43" s="39">
        <f t="shared" si="1"/>
        <v>0</v>
      </c>
      <c r="J43" s="40">
        <v>7</v>
      </c>
      <c r="K43" s="40">
        <v>5</v>
      </c>
      <c r="L43" s="41">
        <f t="shared" si="2"/>
        <v>71.428571428571431</v>
      </c>
      <c r="M43" s="42">
        <v>6</v>
      </c>
      <c r="N43" s="42">
        <v>2</v>
      </c>
      <c r="O43" s="41">
        <f t="shared" si="3"/>
        <v>33.333333333333329</v>
      </c>
      <c r="P43" s="40">
        <v>7</v>
      </c>
      <c r="Q43" s="40">
        <v>4</v>
      </c>
      <c r="R43" s="41">
        <f t="shared" si="4"/>
        <v>57.142857142857139</v>
      </c>
      <c r="S43" s="42">
        <v>2</v>
      </c>
      <c r="T43" s="42">
        <v>0</v>
      </c>
      <c r="U43" s="41">
        <f t="shared" si="5"/>
        <v>0</v>
      </c>
      <c r="V43" s="39">
        <v>4</v>
      </c>
      <c r="W43" s="39">
        <v>0</v>
      </c>
      <c r="X43" s="41">
        <f t="shared" si="6"/>
        <v>0</v>
      </c>
      <c r="Y43" s="42">
        <v>2</v>
      </c>
      <c r="Z43" s="42">
        <v>2</v>
      </c>
      <c r="AA43" s="41">
        <f t="shared" si="7"/>
        <v>100</v>
      </c>
      <c r="AB43" s="40">
        <v>4</v>
      </c>
      <c r="AC43" s="40">
        <v>3</v>
      </c>
      <c r="AD43" s="41">
        <f t="shared" si="8"/>
        <v>75</v>
      </c>
      <c r="AE43" s="42">
        <v>4</v>
      </c>
      <c r="AF43" s="42">
        <v>2</v>
      </c>
      <c r="AG43" s="41">
        <f t="shared" si="9"/>
        <v>50</v>
      </c>
      <c r="AH43" s="40">
        <v>8</v>
      </c>
      <c r="AI43" s="40">
        <v>6</v>
      </c>
      <c r="AJ43" s="41">
        <f t="shared" si="10"/>
        <v>75</v>
      </c>
      <c r="AK43" s="42">
        <v>6</v>
      </c>
      <c r="AL43" s="42">
        <v>3</v>
      </c>
      <c r="AM43" s="41">
        <f t="shared" si="11"/>
        <v>50</v>
      </c>
      <c r="AN43" s="42">
        <v>7</v>
      </c>
      <c r="AO43" s="42">
        <v>6</v>
      </c>
      <c r="AP43" s="41">
        <f t="shared" si="12"/>
        <v>85.714285714285708</v>
      </c>
      <c r="AQ43" s="40">
        <v>4</v>
      </c>
      <c r="AR43" s="40">
        <v>4</v>
      </c>
      <c r="AS43" s="41">
        <f t="shared" si="13"/>
        <v>100</v>
      </c>
      <c r="AT43" s="10">
        <f t="shared" si="14"/>
        <v>41</v>
      </c>
      <c r="AU43" s="10">
        <f t="shared" si="14"/>
        <v>24</v>
      </c>
      <c r="AV43" s="26">
        <f t="shared" si="15"/>
        <v>58.536585365853654</v>
      </c>
      <c r="AW43" s="10">
        <f t="shared" si="16"/>
        <v>26</v>
      </c>
      <c r="AX43" s="10">
        <f t="shared" si="16"/>
        <v>13</v>
      </c>
      <c r="AY43" s="26">
        <f t="shared" si="17"/>
        <v>50</v>
      </c>
      <c r="AZ43" s="10">
        <f t="shared" si="18"/>
        <v>67</v>
      </c>
      <c r="BA43" s="10">
        <f t="shared" si="18"/>
        <v>37</v>
      </c>
      <c r="BB43" s="27">
        <f t="shared" si="19"/>
        <v>55.223880597014926</v>
      </c>
    </row>
    <row r="44" spans="1:54">
      <c r="A44" s="12">
        <v>38</v>
      </c>
      <c r="B44" s="13">
        <v>1230321035</v>
      </c>
      <c r="C44" s="14" t="s">
        <v>60</v>
      </c>
      <c r="D44" s="39">
        <v>4</v>
      </c>
      <c r="E44" s="39">
        <v>1</v>
      </c>
      <c r="F44" s="39">
        <f t="shared" si="0"/>
        <v>25</v>
      </c>
      <c r="G44" s="39">
        <v>2</v>
      </c>
      <c r="H44" s="39">
        <v>0</v>
      </c>
      <c r="I44" s="39">
        <f t="shared" si="1"/>
        <v>0</v>
      </c>
      <c r="J44" s="40">
        <v>7</v>
      </c>
      <c r="K44" s="40">
        <v>3</v>
      </c>
      <c r="L44" s="41">
        <f t="shared" si="2"/>
        <v>42.857142857142854</v>
      </c>
      <c r="M44" s="42">
        <v>6</v>
      </c>
      <c r="N44" s="42">
        <v>2</v>
      </c>
      <c r="O44" s="41">
        <f t="shared" si="3"/>
        <v>33.333333333333329</v>
      </c>
      <c r="P44" s="40">
        <v>7</v>
      </c>
      <c r="Q44" s="40">
        <v>2</v>
      </c>
      <c r="R44" s="41">
        <f t="shared" si="4"/>
        <v>28.571428571428569</v>
      </c>
      <c r="S44" s="42">
        <v>2</v>
      </c>
      <c r="T44" s="42">
        <v>1</v>
      </c>
      <c r="U44" s="41">
        <f t="shared" si="5"/>
        <v>50</v>
      </c>
      <c r="V44" s="39">
        <v>4</v>
      </c>
      <c r="W44" s="39">
        <v>2</v>
      </c>
      <c r="X44" s="41">
        <f t="shared" si="6"/>
        <v>50</v>
      </c>
      <c r="Y44" s="42">
        <v>2</v>
      </c>
      <c r="Z44" s="42">
        <v>2</v>
      </c>
      <c r="AA44" s="41">
        <f t="shared" si="7"/>
        <v>100</v>
      </c>
      <c r="AB44" s="40">
        <v>4</v>
      </c>
      <c r="AC44" s="40">
        <v>2</v>
      </c>
      <c r="AD44" s="41">
        <f t="shared" si="8"/>
        <v>50</v>
      </c>
      <c r="AE44" s="42">
        <v>4</v>
      </c>
      <c r="AF44" s="42">
        <v>1</v>
      </c>
      <c r="AG44" s="41">
        <f t="shared" si="9"/>
        <v>25</v>
      </c>
      <c r="AH44" s="40">
        <v>8</v>
      </c>
      <c r="AI44" s="40">
        <v>4</v>
      </c>
      <c r="AJ44" s="41">
        <f t="shared" si="10"/>
        <v>50</v>
      </c>
      <c r="AK44" s="42">
        <v>6</v>
      </c>
      <c r="AL44" s="42">
        <v>2</v>
      </c>
      <c r="AM44" s="41">
        <f t="shared" si="11"/>
        <v>33.333333333333329</v>
      </c>
      <c r="AN44" s="42">
        <v>7</v>
      </c>
      <c r="AO44" s="42">
        <v>6</v>
      </c>
      <c r="AP44" s="41">
        <f t="shared" si="12"/>
        <v>85.714285714285708</v>
      </c>
      <c r="AQ44" s="40">
        <v>4</v>
      </c>
      <c r="AR44" s="40">
        <v>3</v>
      </c>
      <c r="AS44" s="41">
        <f t="shared" si="13"/>
        <v>75</v>
      </c>
      <c r="AT44" s="10">
        <f t="shared" si="14"/>
        <v>41</v>
      </c>
      <c r="AU44" s="10">
        <f t="shared" si="14"/>
        <v>20</v>
      </c>
      <c r="AV44" s="26">
        <f t="shared" si="15"/>
        <v>48.780487804878049</v>
      </c>
      <c r="AW44" s="10">
        <f t="shared" si="16"/>
        <v>26</v>
      </c>
      <c r="AX44" s="10">
        <f t="shared" si="16"/>
        <v>11</v>
      </c>
      <c r="AY44" s="26">
        <f t="shared" si="17"/>
        <v>42.307692307692307</v>
      </c>
      <c r="AZ44" s="10">
        <f t="shared" si="18"/>
        <v>67</v>
      </c>
      <c r="BA44" s="10">
        <f t="shared" si="18"/>
        <v>31</v>
      </c>
      <c r="BB44" s="27">
        <f t="shared" si="19"/>
        <v>46.268656716417908</v>
      </c>
    </row>
    <row r="45" spans="1:54">
      <c r="A45" s="12">
        <v>39</v>
      </c>
      <c r="B45" s="13">
        <v>1230321036</v>
      </c>
      <c r="C45" s="14" t="s">
        <v>61</v>
      </c>
      <c r="D45" s="39">
        <v>4</v>
      </c>
      <c r="E45" s="39">
        <v>2</v>
      </c>
      <c r="F45" s="39">
        <f t="shared" si="0"/>
        <v>50</v>
      </c>
      <c r="G45" s="39">
        <v>2</v>
      </c>
      <c r="H45" s="39">
        <v>0</v>
      </c>
      <c r="I45" s="39">
        <f t="shared" si="1"/>
        <v>0</v>
      </c>
      <c r="J45" s="40">
        <v>7</v>
      </c>
      <c r="K45" s="40">
        <v>5</v>
      </c>
      <c r="L45" s="41">
        <f t="shared" si="2"/>
        <v>71.428571428571431</v>
      </c>
      <c r="M45" s="42">
        <v>6</v>
      </c>
      <c r="N45" s="42">
        <v>3</v>
      </c>
      <c r="O45" s="41">
        <f t="shared" si="3"/>
        <v>50</v>
      </c>
      <c r="P45" s="40">
        <v>7</v>
      </c>
      <c r="Q45" s="40">
        <v>3</v>
      </c>
      <c r="R45" s="41">
        <f t="shared" si="4"/>
        <v>42.857142857142854</v>
      </c>
      <c r="S45" s="42">
        <v>2</v>
      </c>
      <c r="T45" s="42">
        <v>2</v>
      </c>
      <c r="U45" s="41">
        <f t="shared" si="5"/>
        <v>100</v>
      </c>
      <c r="V45" s="39">
        <v>4</v>
      </c>
      <c r="W45" s="39">
        <v>1</v>
      </c>
      <c r="X45" s="41">
        <f t="shared" si="6"/>
        <v>25</v>
      </c>
      <c r="Y45" s="42">
        <v>2</v>
      </c>
      <c r="Z45" s="42">
        <v>2</v>
      </c>
      <c r="AA45" s="41">
        <f t="shared" si="7"/>
        <v>100</v>
      </c>
      <c r="AB45" s="40">
        <v>4</v>
      </c>
      <c r="AC45" s="40">
        <v>4</v>
      </c>
      <c r="AD45" s="41">
        <f t="shared" si="8"/>
        <v>100</v>
      </c>
      <c r="AE45" s="42">
        <v>4</v>
      </c>
      <c r="AF45" s="42">
        <v>2</v>
      </c>
      <c r="AG45" s="41">
        <f t="shared" si="9"/>
        <v>50</v>
      </c>
      <c r="AH45" s="40">
        <v>8</v>
      </c>
      <c r="AI45" s="40">
        <v>6</v>
      </c>
      <c r="AJ45" s="41">
        <f t="shared" si="10"/>
        <v>75</v>
      </c>
      <c r="AK45" s="42">
        <v>6</v>
      </c>
      <c r="AL45" s="42">
        <v>5</v>
      </c>
      <c r="AM45" s="41">
        <f t="shared" si="11"/>
        <v>83.333333333333343</v>
      </c>
      <c r="AN45" s="42">
        <v>7</v>
      </c>
      <c r="AO45" s="42">
        <v>7</v>
      </c>
      <c r="AP45" s="41">
        <f t="shared" si="12"/>
        <v>100</v>
      </c>
      <c r="AQ45" s="40">
        <v>4</v>
      </c>
      <c r="AR45" s="40">
        <v>4</v>
      </c>
      <c r="AS45" s="41">
        <f t="shared" si="13"/>
        <v>100</v>
      </c>
      <c r="AT45" s="10">
        <f t="shared" si="14"/>
        <v>41</v>
      </c>
      <c r="AU45" s="10">
        <f t="shared" si="14"/>
        <v>28</v>
      </c>
      <c r="AV45" s="26">
        <f t="shared" si="15"/>
        <v>68.292682926829272</v>
      </c>
      <c r="AW45" s="10">
        <f t="shared" si="16"/>
        <v>26</v>
      </c>
      <c r="AX45" s="10">
        <f t="shared" si="16"/>
        <v>18</v>
      </c>
      <c r="AY45" s="26">
        <f t="shared" si="17"/>
        <v>69.230769230769226</v>
      </c>
      <c r="AZ45" s="10">
        <f t="shared" si="18"/>
        <v>67</v>
      </c>
      <c r="BA45" s="10">
        <f t="shared" si="18"/>
        <v>46</v>
      </c>
      <c r="BB45" s="27">
        <f t="shared" si="19"/>
        <v>68.656716417910445</v>
      </c>
    </row>
    <row r="46" spans="1:54">
      <c r="A46" s="12">
        <v>40</v>
      </c>
      <c r="B46" s="13">
        <v>1230321037</v>
      </c>
      <c r="C46" s="14" t="s">
        <v>62</v>
      </c>
      <c r="D46" s="39">
        <v>4</v>
      </c>
      <c r="E46" s="39">
        <v>0</v>
      </c>
      <c r="F46" s="39">
        <f t="shared" si="0"/>
        <v>0</v>
      </c>
      <c r="G46" s="39">
        <v>2</v>
      </c>
      <c r="H46" s="39">
        <v>0</v>
      </c>
      <c r="I46" s="39">
        <f t="shared" si="1"/>
        <v>0</v>
      </c>
      <c r="J46" s="40">
        <v>7</v>
      </c>
      <c r="K46" s="40">
        <v>6</v>
      </c>
      <c r="L46" s="41">
        <f t="shared" si="2"/>
        <v>85.714285714285708</v>
      </c>
      <c r="M46" s="42">
        <v>6</v>
      </c>
      <c r="N46" s="42">
        <v>4</v>
      </c>
      <c r="O46" s="41">
        <f t="shared" si="3"/>
        <v>66.666666666666657</v>
      </c>
      <c r="P46" s="40">
        <v>7</v>
      </c>
      <c r="Q46" s="40">
        <v>2</v>
      </c>
      <c r="R46" s="41">
        <f t="shared" si="4"/>
        <v>28.571428571428569</v>
      </c>
      <c r="S46" s="42">
        <v>2</v>
      </c>
      <c r="T46" s="42">
        <v>2</v>
      </c>
      <c r="U46" s="41">
        <f t="shared" si="5"/>
        <v>100</v>
      </c>
      <c r="V46" s="39">
        <v>4</v>
      </c>
      <c r="W46" s="39">
        <v>3</v>
      </c>
      <c r="X46" s="41">
        <f t="shared" si="6"/>
        <v>75</v>
      </c>
      <c r="Y46" s="42">
        <v>2</v>
      </c>
      <c r="Z46" s="42">
        <v>0</v>
      </c>
      <c r="AA46" s="41">
        <f t="shared" si="7"/>
        <v>0</v>
      </c>
      <c r="AB46" s="40">
        <v>4</v>
      </c>
      <c r="AC46" s="40">
        <v>4</v>
      </c>
      <c r="AD46" s="41">
        <f t="shared" si="8"/>
        <v>100</v>
      </c>
      <c r="AE46" s="42">
        <v>4</v>
      </c>
      <c r="AF46" s="42">
        <v>4</v>
      </c>
      <c r="AG46" s="41">
        <f t="shared" si="9"/>
        <v>100</v>
      </c>
      <c r="AH46" s="40">
        <v>8</v>
      </c>
      <c r="AI46" s="40">
        <v>4</v>
      </c>
      <c r="AJ46" s="41">
        <f t="shared" si="10"/>
        <v>50</v>
      </c>
      <c r="AK46" s="42">
        <v>6</v>
      </c>
      <c r="AL46" s="42">
        <v>3</v>
      </c>
      <c r="AM46" s="41">
        <f t="shared" si="11"/>
        <v>50</v>
      </c>
      <c r="AN46" s="42">
        <v>7</v>
      </c>
      <c r="AO46" s="42">
        <v>7</v>
      </c>
      <c r="AP46" s="41">
        <f t="shared" si="12"/>
        <v>100</v>
      </c>
      <c r="AQ46" s="40">
        <v>4</v>
      </c>
      <c r="AR46" s="40">
        <v>4</v>
      </c>
      <c r="AS46" s="41">
        <f t="shared" si="13"/>
        <v>100</v>
      </c>
      <c r="AT46" s="10">
        <f t="shared" si="14"/>
        <v>41</v>
      </c>
      <c r="AU46" s="10">
        <f t="shared" si="14"/>
        <v>26</v>
      </c>
      <c r="AV46" s="26">
        <f t="shared" si="15"/>
        <v>63.414634146341463</v>
      </c>
      <c r="AW46" s="10">
        <f t="shared" si="16"/>
        <v>26</v>
      </c>
      <c r="AX46" s="10">
        <f t="shared" si="16"/>
        <v>17</v>
      </c>
      <c r="AY46" s="26">
        <f t="shared" si="17"/>
        <v>65.384615384615387</v>
      </c>
      <c r="AZ46" s="10">
        <f t="shared" si="18"/>
        <v>67</v>
      </c>
      <c r="BA46" s="10">
        <f t="shared" si="18"/>
        <v>43</v>
      </c>
      <c r="BB46" s="27">
        <f t="shared" si="19"/>
        <v>64.179104477611943</v>
      </c>
    </row>
    <row r="47" spans="1:54">
      <c r="A47" s="12">
        <v>41</v>
      </c>
      <c r="B47" s="13">
        <v>1230321038</v>
      </c>
      <c r="C47" s="14" t="s">
        <v>63</v>
      </c>
      <c r="D47" s="39">
        <v>4</v>
      </c>
      <c r="E47" s="39">
        <v>0</v>
      </c>
      <c r="F47" s="39">
        <f t="shared" si="0"/>
        <v>0</v>
      </c>
      <c r="G47" s="39">
        <v>2</v>
      </c>
      <c r="H47" s="39">
        <v>0</v>
      </c>
      <c r="I47" s="39">
        <f t="shared" si="1"/>
        <v>0</v>
      </c>
      <c r="J47" s="40">
        <v>7</v>
      </c>
      <c r="K47" s="40">
        <v>3</v>
      </c>
      <c r="L47" s="41">
        <f t="shared" si="2"/>
        <v>42.857142857142854</v>
      </c>
      <c r="M47" s="42">
        <v>6</v>
      </c>
      <c r="N47" s="42">
        <v>4</v>
      </c>
      <c r="O47" s="41">
        <f t="shared" si="3"/>
        <v>66.666666666666657</v>
      </c>
      <c r="P47" s="40">
        <v>7</v>
      </c>
      <c r="Q47" s="40">
        <v>1</v>
      </c>
      <c r="R47" s="41">
        <f t="shared" si="4"/>
        <v>14.285714285714285</v>
      </c>
      <c r="S47" s="42">
        <v>2</v>
      </c>
      <c r="T47" s="42">
        <v>1</v>
      </c>
      <c r="U47" s="41">
        <f t="shared" si="5"/>
        <v>50</v>
      </c>
      <c r="V47" s="39">
        <v>4</v>
      </c>
      <c r="W47" s="39">
        <v>2</v>
      </c>
      <c r="X47" s="41">
        <f t="shared" si="6"/>
        <v>50</v>
      </c>
      <c r="Y47" s="42">
        <v>2</v>
      </c>
      <c r="Z47" s="42">
        <v>1</v>
      </c>
      <c r="AA47" s="41">
        <f t="shared" si="7"/>
        <v>50</v>
      </c>
      <c r="AB47" s="40">
        <v>4</v>
      </c>
      <c r="AC47" s="40">
        <v>0</v>
      </c>
      <c r="AD47" s="41">
        <f t="shared" si="8"/>
        <v>0</v>
      </c>
      <c r="AE47" s="42">
        <v>4</v>
      </c>
      <c r="AF47" s="42">
        <v>2</v>
      </c>
      <c r="AG47" s="41">
        <f t="shared" si="9"/>
        <v>50</v>
      </c>
      <c r="AH47" s="40">
        <v>8</v>
      </c>
      <c r="AI47" s="40">
        <v>4</v>
      </c>
      <c r="AJ47" s="41">
        <f t="shared" si="10"/>
        <v>50</v>
      </c>
      <c r="AK47" s="42">
        <v>6</v>
      </c>
      <c r="AL47" s="42">
        <v>2</v>
      </c>
      <c r="AM47" s="41">
        <f t="shared" si="11"/>
        <v>33.333333333333329</v>
      </c>
      <c r="AN47" s="42">
        <v>7</v>
      </c>
      <c r="AO47" s="42">
        <v>3</v>
      </c>
      <c r="AP47" s="41">
        <f t="shared" si="12"/>
        <v>42.857142857142854</v>
      </c>
      <c r="AQ47" s="40">
        <v>4</v>
      </c>
      <c r="AR47" s="40">
        <v>2</v>
      </c>
      <c r="AS47" s="41">
        <f t="shared" si="13"/>
        <v>50</v>
      </c>
      <c r="AT47" s="10">
        <f t="shared" si="14"/>
        <v>41</v>
      </c>
      <c r="AU47" s="10">
        <f t="shared" si="14"/>
        <v>13</v>
      </c>
      <c r="AV47" s="26">
        <f t="shared" si="15"/>
        <v>31.707317073170731</v>
      </c>
      <c r="AW47" s="10">
        <f t="shared" si="16"/>
        <v>26</v>
      </c>
      <c r="AX47" s="10">
        <f t="shared" si="16"/>
        <v>12</v>
      </c>
      <c r="AY47" s="26">
        <f t="shared" si="17"/>
        <v>46.153846153846153</v>
      </c>
      <c r="AZ47" s="10">
        <f t="shared" si="18"/>
        <v>67</v>
      </c>
      <c r="BA47" s="10">
        <f t="shared" si="18"/>
        <v>25</v>
      </c>
      <c r="BB47" s="27">
        <f t="shared" si="19"/>
        <v>37.313432835820898</v>
      </c>
    </row>
    <row r="48" spans="1:54">
      <c r="A48" s="12">
        <v>42</v>
      </c>
      <c r="B48" s="13">
        <v>1230321039</v>
      </c>
      <c r="C48" s="14" t="s">
        <v>64</v>
      </c>
      <c r="D48" s="39">
        <v>4</v>
      </c>
      <c r="E48" s="39">
        <v>2</v>
      </c>
      <c r="F48" s="39">
        <f t="shared" si="0"/>
        <v>50</v>
      </c>
      <c r="G48" s="39">
        <v>2</v>
      </c>
      <c r="H48" s="39">
        <v>0</v>
      </c>
      <c r="I48" s="39">
        <f t="shared" si="1"/>
        <v>0</v>
      </c>
      <c r="J48" s="40">
        <v>7</v>
      </c>
      <c r="K48" s="40">
        <v>6</v>
      </c>
      <c r="L48" s="41">
        <f t="shared" si="2"/>
        <v>85.714285714285708</v>
      </c>
      <c r="M48" s="42">
        <v>7</v>
      </c>
      <c r="N48" s="42">
        <v>2</v>
      </c>
      <c r="O48" s="41">
        <f t="shared" si="3"/>
        <v>28.571428571428569</v>
      </c>
      <c r="P48" s="40">
        <v>7</v>
      </c>
      <c r="Q48" s="40">
        <v>4</v>
      </c>
      <c r="R48" s="41">
        <f t="shared" si="4"/>
        <v>57.142857142857139</v>
      </c>
      <c r="S48" s="42">
        <v>3</v>
      </c>
      <c r="T48" s="42">
        <v>1</v>
      </c>
      <c r="U48" s="41">
        <f t="shared" si="5"/>
        <v>33.333333333333329</v>
      </c>
      <c r="V48" s="39">
        <v>4</v>
      </c>
      <c r="W48" s="39">
        <v>2</v>
      </c>
      <c r="X48" s="41">
        <f t="shared" si="6"/>
        <v>50</v>
      </c>
      <c r="Y48" s="42">
        <v>2</v>
      </c>
      <c r="Z48" s="42">
        <v>2</v>
      </c>
      <c r="AA48" s="41">
        <f t="shared" si="7"/>
        <v>100</v>
      </c>
      <c r="AB48" s="40">
        <v>4</v>
      </c>
      <c r="AC48" s="40">
        <v>3</v>
      </c>
      <c r="AD48" s="41">
        <f t="shared" si="8"/>
        <v>75</v>
      </c>
      <c r="AE48" s="42">
        <v>4</v>
      </c>
      <c r="AF48" s="42">
        <v>1</v>
      </c>
      <c r="AG48" s="41">
        <f t="shared" si="9"/>
        <v>25</v>
      </c>
      <c r="AH48" s="40">
        <v>8</v>
      </c>
      <c r="AI48" s="40">
        <v>6</v>
      </c>
      <c r="AJ48" s="41">
        <f t="shared" si="10"/>
        <v>75</v>
      </c>
      <c r="AK48" s="42">
        <v>5</v>
      </c>
      <c r="AL48" s="42">
        <v>2</v>
      </c>
      <c r="AM48" s="41">
        <f t="shared" si="11"/>
        <v>40</v>
      </c>
      <c r="AN48" s="42">
        <v>7</v>
      </c>
      <c r="AO48" s="42">
        <v>6</v>
      </c>
      <c r="AP48" s="41">
        <f t="shared" si="12"/>
        <v>85.714285714285708</v>
      </c>
      <c r="AQ48" s="40">
        <v>4</v>
      </c>
      <c r="AR48" s="40">
        <v>2</v>
      </c>
      <c r="AS48" s="41">
        <f t="shared" si="13"/>
        <v>50</v>
      </c>
      <c r="AT48" s="10">
        <f t="shared" si="14"/>
        <v>41</v>
      </c>
      <c r="AU48" s="10">
        <f t="shared" si="14"/>
        <v>29</v>
      </c>
      <c r="AV48" s="26">
        <f t="shared" si="15"/>
        <v>70.731707317073173</v>
      </c>
      <c r="AW48" s="10">
        <f t="shared" si="16"/>
        <v>27</v>
      </c>
      <c r="AX48" s="10">
        <f t="shared" si="16"/>
        <v>10</v>
      </c>
      <c r="AY48" s="26">
        <f t="shared" si="17"/>
        <v>37.037037037037038</v>
      </c>
      <c r="AZ48" s="10">
        <f t="shared" si="18"/>
        <v>68</v>
      </c>
      <c r="BA48" s="10">
        <f t="shared" si="18"/>
        <v>39</v>
      </c>
      <c r="BB48" s="27">
        <f t="shared" si="19"/>
        <v>57.352941176470587</v>
      </c>
    </row>
    <row r="49" spans="1:54">
      <c r="A49" s="12">
        <v>43</v>
      </c>
      <c r="B49" s="13">
        <v>1230321040</v>
      </c>
      <c r="C49" s="14" t="s">
        <v>65</v>
      </c>
      <c r="D49" s="39">
        <v>4</v>
      </c>
      <c r="E49" s="39">
        <v>2</v>
      </c>
      <c r="F49" s="39">
        <f t="shared" si="0"/>
        <v>50</v>
      </c>
      <c r="G49" s="39">
        <v>2</v>
      </c>
      <c r="H49" s="39">
        <v>0</v>
      </c>
      <c r="I49" s="39">
        <f t="shared" si="1"/>
        <v>0</v>
      </c>
      <c r="J49" s="40">
        <v>7</v>
      </c>
      <c r="K49" s="40">
        <v>3</v>
      </c>
      <c r="L49" s="41">
        <f t="shared" si="2"/>
        <v>42.857142857142854</v>
      </c>
      <c r="M49" s="42">
        <v>7</v>
      </c>
      <c r="N49" s="42">
        <v>2</v>
      </c>
      <c r="O49" s="41">
        <f t="shared" si="3"/>
        <v>28.571428571428569</v>
      </c>
      <c r="P49" s="40">
        <v>7</v>
      </c>
      <c r="Q49" s="40">
        <v>4</v>
      </c>
      <c r="R49" s="41">
        <f t="shared" si="4"/>
        <v>57.142857142857139</v>
      </c>
      <c r="S49" s="42">
        <v>3</v>
      </c>
      <c r="T49" s="42">
        <v>1</v>
      </c>
      <c r="U49" s="41">
        <f t="shared" si="5"/>
        <v>33.333333333333329</v>
      </c>
      <c r="V49" s="39">
        <v>4</v>
      </c>
      <c r="W49" s="39">
        <v>1</v>
      </c>
      <c r="X49" s="41">
        <f t="shared" si="6"/>
        <v>25</v>
      </c>
      <c r="Y49" s="42">
        <v>2</v>
      </c>
      <c r="Z49" s="42">
        <v>2</v>
      </c>
      <c r="AA49" s="41">
        <f t="shared" si="7"/>
        <v>100</v>
      </c>
      <c r="AB49" s="40">
        <v>4</v>
      </c>
      <c r="AC49" s="40">
        <v>3</v>
      </c>
      <c r="AD49" s="41">
        <f t="shared" si="8"/>
        <v>75</v>
      </c>
      <c r="AE49" s="42">
        <v>4</v>
      </c>
      <c r="AF49" s="42">
        <v>1</v>
      </c>
      <c r="AG49" s="41">
        <f t="shared" si="9"/>
        <v>25</v>
      </c>
      <c r="AH49" s="40">
        <v>8</v>
      </c>
      <c r="AI49" s="40">
        <v>5</v>
      </c>
      <c r="AJ49" s="41">
        <f t="shared" si="10"/>
        <v>62.5</v>
      </c>
      <c r="AK49" s="42">
        <v>5</v>
      </c>
      <c r="AL49" s="42">
        <v>2</v>
      </c>
      <c r="AM49" s="41">
        <f t="shared" si="11"/>
        <v>40</v>
      </c>
      <c r="AN49" s="42">
        <v>7</v>
      </c>
      <c r="AO49" s="42">
        <v>4</v>
      </c>
      <c r="AP49" s="41">
        <f t="shared" si="12"/>
        <v>57.142857142857139</v>
      </c>
      <c r="AQ49" s="40">
        <v>4</v>
      </c>
      <c r="AR49" s="40">
        <v>1</v>
      </c>
      <c r="AS49" s="41">
        <f t="shared" si="13"/>
        <v>25</v>
      </c>
      <c r="AT49" s="10">
        <f t="shared" si="14"/>
        <v>41</v>
      </c>
      <c r="AU49" s="10">
        <f t="shared" si="14"/>
        <v>22</v>
      </c>
      <c r="AV49" s="26">
        <f t="shared" si="15"/>
        <v>53.658536585365859</v>
      </c>
      <c r="AW49" s="10">
        <f t="shared" si="16"/>
        <v>27</v>
      </c>
      <c r="AX49" s="10">
        <f t="shared" si="16"/>
        <v>9</v>
      </c>
      <c r="AY49" s="26">
        <f t="shared" si="17"/>
        <v>33.333333333333329</v>
      </c>
      <c r="AZ49" s="10">
        <f t="shared" si="18"/>
        <v>68</v>
      </c>
      <c r="BA49" s="10">
        <f t="shared" si="18"/>
        <v>31</v>
      </c>
      <c r="BB49" s="27">
        <f t="shared" si="19"/>
        <v>45.588235294117645</v>
      </c>
    </row>
    <row r="50" spans="1:54" s="11" customFormat="1">
      <c r="A50" s="12">
        <v>44</v>
      </c>
      <c r="B50" s="13">
        <v>1230321041</v>
      </c>
      <c r="C50" s="14" t="s">
        <v>66</v>
      </c>
      <c r="D50" s="39">
        <v>4</v>
      </c>
      <c r="E50" s="39">
        <v>0</v>
      </c>
      <c r="F50" s="39">
        <f t="shared" si="0"/>
        <v>0</v>
      </c>
      <c r="G50" s="39">
        <v>2</v>
      </c>
      <c r="H50" s="39">
        <v>0</v>
      </c>
      <c r="I50" s="39">
        <f t="shared" si="1"/>
        <v>0</v>
      </c>
      <c r="J50" s="40">
        <v>7</v>
      </c>
      <c r="K50" s="42">
        <v>2</v>
      </c>
      <c r="L50" s="41">
        <f t="shared" si="2"/>
        <v>28.571428571428569</v>
      </c>
      <c r="M50" s="42">
        <v>7</v>
      </c>
      <c r="N50" s="42">
        <v>3</v>
      </c>
      <c r="O50" s="41">
        <f t="shared" si="3"/>
        <v>42.857142857142854</v>
      </c>
      <c r="P50" s="40">
        <v>7</v>
      </c>
      <c r="Q50" s="42">
        <v>3</v>
      </c>
      <c r="R50" s="41">
        <f t="shared" si="4"/>
        <v>42.857142857142854</v>
      </c>
      <c r="S50" s="42">
        <v>3</v>
      </c>
      <c r="T50" s="42">
        <v>0</v>
      </c>
      <c r="U50" s="41">
        <f t="shared" si="5"/>
        <v>0</v>
      </c>
      <c r="V50" s="39">
        <v>4</v>
      </c>
      <c r="W50" s="39">
        <v>0</v>
      </c>
      <c r="X50" s="41">
        <f t="shared" si="6"/>
        <v>0</v>
      </c>
      <c r="Y50" s="42">
        <v>2</v>
      </c>
      <c r="Z50" s="42">
        <v>2</v>
      </c>
      <c r="AA50" s="41">
        <f t="shared" si="7"/>
        <v>100</v>
      </c>
      <c r="AB50" s="40">
        <v>4</v>
      </c>
      <c r="AC50" s="42">
        <v>4</v>
      </c>
      <c r="AD50" s="41">
        <f t="shared" si="8"/>
        <v>100</v>
      </c>
      <c r="AE50" s="42">
        <v>4</v>
      </c>
      <c r="AF50" s="42">
        <v>4</v>
      </c>
      <c r="AG50" s="41">
        <f t="shared" si="9"/>
        <v>100</v>
      </c>
      <c r="AH50" s="40">
        <v>8</v>
      </c>
      <c r="AI50" s="42">
        <v>4</v>
      </c>
      <c r="AJ50" s="41">
        <f t="shared" si="10"/>
        <v>50</v>
      </c>
      <c r="AK50" s="42">
        <v>5</v>
      </c>
      <c r="AL50" s="42">
        <v>4</v>
      </c>
      <c r="AM50" s="41">
        <f t="shared" si="11"/>
        <v>80</v>
      </c>
      <c r="AN50" s="42">
        <v>7</v>
      </c>
      <c r="AO50" s="42">
        <v>6</v>
      </c>
      <c r="AP50" s="41">
        <f t="shared" si="12"/>
        <v>85.714285714285708</v>
      </c>
      <c r="AQ50" s="40">
        <v>4</v>
      </c>
      <c r="AR50" s="42">
        <v>1</v>
      </c>
      <c r="AS50" s="41">
        <f t="shared" si="13"/>
        <v>25</v>
      </c>
      <c r="AT50" s="10">
        <f t="shared" si="14"/>
        <v>41</v>
      </c>
      <c r="AU50" s="10">
        <f t="shared" si="14"/>
        <v>19</v>
      </c>
      <c r="AV50" s="26">
        <f t="shared" si="15"/>
        <v>46.341463414634148</v>
      </c>
      <c r="AW50" s="10">
        <f t="shared" si="16"/>
        <v>27</v>
      </c>
      <c r="AX50" s="10">
        <f t="shared" si="16"/>
        <v>14</v>
      </c>
      <c r="AY50" s="26">
        <f t="shared" si="17"/>
        <v>51.851851851851848</v>
      </c>
      <c r="AZ50" s="10">
        <f t="shared" si="18"/>
        <v>68</v>
      </c>
      <c r="BA50" s="10">
        <f t="shared" si="18"/>
        <v>33</v>
      </c>
      <c r="BB50" s="27">
        <f t="shared" si="19"/>
        <v>48.529411764705884</v>
      </c>
    </row>
    <row r="51" spans="1:54" s="11" customFormat="1">
      <c r="A51" s="12">
        <v>45</v>
      </c>
      <c r="B51" s="13">
        <v>1230321042</v>
      </c>
      <c r="C51" s="14" t="s">
        <v>67</v>
      </c>
      <c r="D51" s="39">
        <v>4</v>
      </c>
      <c r="E51" s="39">
        <v>1</v>
      </c>
      <c r="F51" s="39">
        <f t="shared" si="0"/>
        <v>25</v>
      </c>
      <c r="G51" s="39">
        <v>2</v>
      </c>
      <c r="H51" s="39">
        <v>0</v>
      </c>
      <c r="I51" s="39">
        <f t="shared" si="1"/>
        <v>0</v>
      </c>
      <c r="J51" s="40">
        <v>7</v>
      </c>
      <c r="K51" s="42">
        <v>5</v>
      </c>
      <c r="L51" s="41">
        <f t="shared" si="2"/>
        <v>71.428571428571431</v>
      </c>
      <c r="M51" s="42">
        <v>7</v>
      </c>
      <c r="N51" s="42">
        <v>5</v>
      </c>
      <c r="O51" s="41">
        <f t="shared" si="3"/>
        <v>71.428571428571431</v>
      </c>
      <c r="P51" s="40">
        <v>7</v>
      </c>
      <c r="Q51" s="42">
        <v>4</v>
      </c>
      <c r="R51" s="41">
        <f t="shared" si="4"/>
        <v>57.142857142857139</v>
      </c>
      <c r="S51" s="42">
        <v>3</v>
      </c>
      <c r="T51" s="42">
        <v>3</v>
      </c>
      <c r="U51" s="41">
        <f t="shared" si="5"/>
        <v>100</v>
      </c>
      <c r="V51" s="39">
        <v>4</v>
      </c>
      <c r="W51" s="39">
        <v>1</v>
      </c>
      <c r="X51" s="41">
        <f t="shared" si="6"/>
        <v>25</v>
      </c>
      <c r="Y51" s="42">
        <v>2</v>
      </c>
      <c r="Z51" s="42">
        <v>1</v>
      </c>
      <c r="AA51" s="41">
        <f t="shared" si="7"/>
        <v>50</v>
      </c>
      <c r="AB51" s="40">
        <v>4</v>
      </c>
      <c r="AC51" s="42">
        <v>3</v>
      </c>
      <c r="AD51" s="41">
        <f t="shared" si="8"/>
        <v>75</v>
      </c>
      <c r="AE51" s="42">
        <v>4</v>
      </c>
      <c r="AF51" s="42">
        <v>4</v>
      </c>
      <c r="AG51" s="41">
        <f t="shared" si="9"/>
        <v>100</v>
      </c>
      <c r="AH51" s="40">
        <v>8</v>
      </c>
      <c r="AI51" s="42">
        <v>6</v>
      </c>
      <c r="AJ51" s="41">
        <f t="shared" si="10"/>
        <v>75</v>
      </c>
      <c r="AK51" s="42">
        <v>5</v>
      </c>
      <c r="AL51" s="42">
        <v>5</v>
      </c>
      <c r="AM51" s="41">
        <f t="shared" si="11"/>
        <v>100</v>
      </c>
      <c r="AN51" s="42">
        <v>7</v>
      </c>
      <c r="AO51" s="42">
        <v>6</v>
      </c>
      <c r="AP51" s="41">
        <f t="shared" si="12"/>
        <v>85.714285714285708</v>
      </c>
      <c r="AQ51" s="40">
        <v>4</v>
      </c>
      <c r="AR51" s="42">
        <v>4</v>
      </c>
      <c r="AS51" s="41">
        <f t="shared" si="13"/>
        <v>100</v>
      </c>
      <c r="AT51" s="10">
        <f t="shared" si="14"/>
        <v>41</v>
      </c>
      <c r="AU51" s="10">
        <f t="shared" si="14"/>
        <v>26</v>
      </c>
      <c r="AV51" s="26">
        <f t="shared" si="15"/>
        <v>63.414634146341463</v>
      </c>
      <c r="AW51" s="10">
        <f t="shared" si="16"/>
        <v>27</v>
      </c>
      <c r="AX51" s="10">
        <f t="shared" si="16"/>
        <v>22</v>
      </c>
      <c r="AY51" s="26">
        <f t="shared" si="17"/>
        <v>81.481481481481481</v>
      </c>
      <c r="AZ51" s="10">
        <f t="shared" si="18"/>
        <v>68</v>
      </c>
      <c r="BA51" s="10">
        <f t="shared" si="18"/>
        <v>48</v>
      </c>
      <c r="BB51" s="27">
        <f t="shared" si="19"/>
        <v>70.588235294117652</v>
      </c>
    </row>
    <row r="52" spans="1:54" s="11" customFormat="1">
      <c r="A52" s="12">
        <v>46</v>
      </c>
      <c r="B52" s="13">
        <v>1230321043</v>
      </c>
      <c r="C52" s="14" t="s">
        <v>68</v>
      </c>
      <c r="D52" s="39">
        <v>4</v>
      </c>
      <c r="E52" s="39">
        <v>1</v>
      </c>
      <c r="F52" s="39">
        <f t="shared" si="0"/>
        <v>25</v>
      </c>
      <c r="G52" s="39">
        <v>2</v>
      </c>
      <c r="H52" s="39">
        <v>0</v>
      </c>
      <c r="I52" s="39">
        <f t="shared" si="1"/>
        <v>0</v>
      </c>
      <c r="J52" s="40">
        <v>7</v>
      </c>
      <c r="K52" s="42">
        <v>4</v>
      </c>
      <c r="L52" s="41">
        <f t="shared" si="2"/>
        <v>57.142857142857139</v>
      </c>
      <c r="M52" s="42">
        <v>7</v>
      </c>
      <c r="N52" s="42">
        <v>2</v>
      </c>
      <c r="O52" s="41">
        <f t="shared" si="3"/>
        <v>28.571428571428569</v>
      </c>
      <c r="P52" s="40">
        <v>7</v>
      </c>
      <c r="Q52" s="42">
        <v>2</v>
      </c>
      <c r="R52" s="41">
        <f t="shared" si="4"/>
        <v>28.571428571428569</v>
      </c>
      <c r="S52" s="42">
        <v>3</v>
      </c>
      <c r="T52" s="42">
        <v>0</v>
      </c>
      <c r="U52" s="41">
        <f t="shared" si="5"/>
        <v>0</v>
      </c>
      <c r="V52" s="39">
        <v>4</v>
      </c>
      <c r="W52" s="39">
        <v>2</v>
      </c>
      <c r="X52" s="41">
        <f t="shared" si="6"/>
        <v>50</v>
      </c>
      <c r="Y52" s="42">
        <v>2</v>
      </c>
      <c r="Z52" s="42">
        <v>2</v>
      </c>
      <c r="AA52" s="41">
        <f t="shared" si="7"/>
        <v>100</v>
      </c>
      <c r="AB52" s="40">
        <v>4</v>
      </c>
      <c r="AC52" s="42">
        <v>1</v>
      </c>
      <c r="AD52" s="41">
        <f t="shared" si="8"/>
        <v>25</v>
      </c>
      <c r="AE52" s="42">
        <v>4</v>
      </c>
      <c r="AF52" s="42">
        <v>0</v>
      </c>
      <c r="AG52" s="41">
        <f t="shared" si="9"/>
        <v>0</v>
      </c>
      <c r="AH52" s="40">
        <v>8</v>
      </c>
      <c r="AI52" s="42">
        <v>3</v>
      </c>
      <c r="AJ52" s="41">
        <f t="shared" si="10"/>
        <v>37.5</v>
      </c>
      <c r="AK52" s="42">
        <v>5</v>
      </c>
      <c r="AL52" s="42">
        <v>2</v>
      </c>
      <c r="AM52" s="41">
        <f t="shared" si="11"/>
        <v>40</v>
      </c>
      <c r="AN52" s="42">
        <v>7</v>
      </c>
      <c r="AO52" s="42">
        <v>3</v>
      </c>
      <c r="AP52" s="41">
        <f t="shared" si="12"/>
        <v>42.857142857142854</v>
      </c>
      <c r="AQ52" s="40">
        <v>4</v>
      </c>
      <c r="AR52" s="42">
        <v>2</v>
      </c>
      <c r="AS52" s="41">
        <f t="shared" si="13"/>
        <v>50</v>
      </c>
      <c r="AT52" s="10">
        <f t="shared" si="14"/>
        <v>41</v>
      </c>
      <c r="AU52" s="10">
        <f t="shared" si="14"/>
        <v>16</v>
      </c>
      <c r="AV52" s="26">
        <f t="shared" si="15"/>
        <v>39.024390243902438</v>
      </c>
      <c r="AW52" s="10">
        <f t="shared" si="16"/>
        <v>27</v>
      </c>
      <c r="AX52" s="10">
        <f t="shared" si="16"/>
        <v>8</v>
      </c>
      <c r="AY52" s="26">
        <f t="shared" si="17"/>
        <v>29.629629629629626</v>
      </c>
      <c r="AZ52" s="10">
        <f t="shared" si="18"/>
        <v>68</v>
      </c>
      <c r="BA52" s="10">
        <f t="shared" si="18"/>
        <v>24</v>
      </c>
      <c r="BB52" s="27">
        <f t="shared" si="19"/>
        <v>35.294117647058826</v>
      </c>
    </row>
    <row r="53" spans="1:54" s="11" customFormat="1">
      <c r="A53" s="12">
        <v>47</v>
      </c>
      <c r="B53" s="13">
        <v>1230321044</v>
      </c>
      <c r="C53" s="14" t="s">
        <v>69</v>
      </c>
      <c r="D53" s="39">
        <v>4</v>
      </c>
      <c r="E53" s="39">
        <v>0</v>
      </c>
      <c r="F53" s="39">
        <f t="shared" si="0"/>
        <v>0</v>
      </c>
      <c r="G53" s="39">
        <v>2</v>
      </c>
      <c r="H53" s="39">
        <v>0</v>
      </c>
      <c r="I53" s="39">
        <f t="shared" si="1"/>
        <v>0</v>
      </c>
      <c r="J53" s="40">
        <v>7</v>
      </c>
      <c r="K53" s="42">
        <v>3</v>
      </c>
      <c r="L53" s="41">
        <f t="shared" si="2"/>
        <v>42.857142857142854</v>
      </c>
      <c r="M53" s="42">
        <v>7</v>
      </c>
      <c r="N53" s="42">
        <v>1</v>
      </c>
      <c r="O53" s="41">
        <f t="shared" si="3"/>
        <v>14.285714285714285</v>
      </c>
      <c r="P53" s="40">
        <v>7</v>
      </c>
      <c r="Q53" s="42">
        <v>2</v>
      </c>
      <c r="R53" s="41">
        <f t="shared" si="4"/>
        <v>28.571428571428569</v>
      </c>
      <c r="S53" s="42">
        <v>3</v>
      </c>
      <c r="T53" s="42">
        <v>1</v>
      </c>
      <c r="U53" s="41">
        <f t="shared" si="5"/>
        <v>33.333333333333329</v>
      </c>
      <c r="V53" s="39">
        <v>4</v>
      </c>
      <c r="W53" s="39">
        <v>2</v>
      </c>
      <c r="X53" s="41">
        <f t="shared" si="6"/>
        <v>50</v>
      </c>
      <c r="Y53" s="42">
        <v>2</v>
      </c>
      <c r="Z53" s="42">
        <v>2</v>
      </c>
      <c r="AA53" s="41">
        <f t="shared" si="7"/>
        <v>100</v>
      </c>
      <c r="AB53" s="40">
        <v>4</v>
      </c>
      <c r="AC53" s="42">
        <v>3</v>
      </c>
      <c r="AD53" s="41">
        <f t="shared" si="8"/>
        <v>75</v>
      </c>
      <c r="AE53" s="42">
        <v>4</v>
      </c>
      <c r="AF53" s="42">
        <v>2</v>
      </c>
      <c r="AG53" s="41">
        <f t="shared" si="9"/>
        <v>50</v>
      </c>
      <c r="AH53" s="40">
        <v>8</v>
      </c>
      <c r="AI53" s="42">
        <v>1</v>
      </c>
      <c r="AJ53" s="41">
        <f t="shared" si="10"/>
        <v>12.5</v>
      </c>
      <c r="AK53" s="42">
        <v>5</v>
      </c>
      <c r="AL53" s="42">
        <v>3</v>
      </c>
      <c r="AM53" s="41">
        <f t="shared" si="11"/>
        <v>60</v>
      </c>
      <c r="AN53" s="42">
        <v>7</v>
      </c>
      <c r="AO53" s="42">
        <v>4</v>
      </c>
      <c r="AP53" s="41">
        <f t="shared" si="12"/>
        <v>57.142857142857139</v>
      </c>
      <c r="AQ53" s="40">
        <v>4</v>
      </c>
      <c r="AR53" s="42">
        <v>2</v>
      </c>
      <c r="AS53" s="41">
        <f t="shared" si="13"/>
        <v>50</v>
      </c>
      <c r="AT53" s="10">
        <f t="shared" si="14"/>
        <v>41</v>
      </c>
      <c r="AU53" s="10">
        <f t="shared" si="14"/>
        <v>15</v>
      </c>
      <c r="AV53" s="26">
        <f t="shared" si="15"/>
        <v>36.585365853658537</v>
      </c>
      <c r="AW53" s="10">
        <f t="shared" si="16"/>
        <v>27</v>
      </c>
      <c r="AX53" s="10">
        <f t="shared" si="16"/>
        <v>11</v>
      </c>
      <c r="AY53" s="26">
        <f t="shared" si="17"/>
        <v>40.74074074074074</v>
      </c>
      <c r="AZ53" s="10">
        <f t="shared" si="18"/>
        <v>68</v>
      </c>
      <c r="BA53" s="10">
        <f t="shared" si="18"/>
        <v>26</v>
      </c>
      <c r="BB53" s="27">
        <f t="shared" si="19"/>
        <v>38.235294117647058</v>
      </c>
    </row>
    <row r="54" spans="1:54" s="11" customFormat="1">
      <c r="A54" s="12">
        <v>48</v>
      </c>
      <c r="B54" s="13">
        <v>1230321045</v>
      </c>
      <c r="C54" s="14" t="s">
        <v>70</v>
      </c>
      <c r="D54" s="39">
        <v>4</v>
      </c>
      <c r="E54" s="39">
        <v>1</v>
      </c>
      <c r="F54" s="39">
        <f t="shared" si="0"/>
        <v>25</v>
      </c>
      <c r="G54" s="39">
        <v>2</v>
      </c>
      <c r="H54" s="39">
        <v>0</v>
      </c>
      <c r="I54" s="39">
        <f t="shared" si="1"/>
        <v>0</v>
      </c>
      <c r="J54" s="40">
        <v>7</v>
      </c>
      <c r="K54" s="42">
        <v>5</v>
      </c>
      <c r="L54" s="41">
        <f t="shared" si="2"/>
        <v>71.428571428571431</v>
      </c>
      <c r="M54" s="42">
        <v>7</v>
      </c>
      <c r="N54" s="42">
        <v>5</v>
      </c>
      <c r="O54" s="41">
        <f t="shared" si="3"/>
        <v>71.428571428571431</v>
      </c>
      <c r="P54" s="40">
        <v>7</v>
      </c>
      <c r="Q54" s="42">
        <v>3</v>
      </c>
      <c r="R54" s="41">
        <f t="shared" si="4"/>
        <v>42.857142857142854</v>
      </c>
      <c r="S54" s="42">
        <v>3</v>
      </c>
      <c r="T54" s="42">
        <v>3</v>
      </c>
      <c r="U54" s="41">
        <f t="shared" si="5"/>
        <v>100</v>
      </c>
      <c r="V54" s="39">
        <v>4</v>
      </c>
      <c r="W54" s="39">
        <v>2</v>
      </c>
      <c r="X54" s="41">
        <f t="shared" si="6"/>
        <v>50</v>
      </c>
      <c r="Y54" s="42">
        <v>2</v>
      </c>
      <c r="Z54" s="42">
        <v>1</v>
      </c>
      <c r="AA54" s="41">
        <f t="shared" si="7"/>
        <v>50</v>
      </c>
      <c r="AB54" s="40">
        <v>4</v>
      </c>
      <c r="AC54" s="42">
        <v>3</v>
      </c>
      <c r="AD54" s="41">
        <f t="shared" si="8"/>
        <v>75</v>
      </c>
      <c r="AE54" s="42">
        <v>4</v>
      </c>
      <c r="AF54" s="42">
        <v>2</v>
      </c>
      <c r="AG54" s="41">
        <f t="shared" si="9"/>
        <v>50</v>
      </c>
      <c r="AH54" s="40">
        <v>8</v>
      </c>
      <c r="AI54" s="42">
        <v>4</v>
      </c>
      <c r="AJ54" s="41">
        <f t="shared" si="10"/>
        <v>50</v>
      </c>
      <c r="AK54" s="42">
        <v>5</v>
      </c>
      <c r="AL54" s="42">
        <v>5</v>
      </c>
      <c r="AM54" s="41">
        <f t="shared" si="11"/>
        <v>100</v>
      </c>
      <c r="AN54" s="42">
        <v>7</v>
      </c>
      <c r="AO54" s="42">
        <v>4</v>
      </c>
      <c r="AP54" s="41">
        <f t="shared" si="12"/>
        <v>57.142857142857139</v>
      </c>
      <c r="AQ54" s="40">
        <v>4</v>
      </c>
      <c r="AR54" s="42">
        <v>4</v>
      </c>
      <c r="AS54" s="41">
        <f t="shared" si="13"/>
        <v>100</v>
      </c>
      <c r="AT54" s="10">
        <f t="shared" si="14"/>
        <v>41</v>
      </c>
      <c r="AU54" s="10">
        <f t="shared" si="14"/>
        <v>22</v>
      </c>
      <c r="AV54" s="26">
        <f t="shared" si="15"/>
        <v>53.658536585365859</v>
      </c>
      <c r="AW54" s="10">
        <f t="shared" si="16"/>
        <v>27</v>
      </c>
      <c r="AX54" s="10">
        <f t="shared" si="16"/>
        <v>20</v>
      </c>
      <c r="AY54" s="26">
        <f t="shared" si="17"/>
        <v>74.074074074074076</v>
      </c>
      <c r="AZ54" s="10">
        <f t="shared" si="18"/>
        <v>68</v>
      </c>
      <c r="BA54" s="10">
        <f t="shared" si="18"/>
        <v>42</v>
      </c>
      <c r="BB54" s="27">
        <f t="shared" si="19"/>
        <v>61.764705882352942</v>
      </c>
    </row>
    <row r="55" spans="1:54" s="11" customFormat="1">
      <c r="A55" s="12">
        <v>49</v>
      </c>
      <c r="B55" s="13">
        <v>1230321046</v>
      </c>
      <c r="C55" s="14" t="s">
        <v>71</v>
      </c>
      <c r="D55" s="39">
        <v>4</v>
      </c>
      <c r="E55" s="39">
        <v>2</v>
      </c>
      <c r="F55" s="39">
        <f t="shared" si="0"/>
        <v>50</v>
      </c>
      <c r="G55" s="39">
        <v>2</v>
      </c>
      <c r="H55" s="39">
        <v>0</v>
      </c>
      <c r="I55" s="39">
        <f t="shared" si="1"/>
        <v>0</v>
      </c>
      <c r="J55" s="40">
        <v>7</v>
      </c>
      <c r="K55" s="42">
        <v>3</v>
      </c>
      <c r="L55" s="41">
        <f t="shared" si="2"/>
        <v>42.857142857142854</v>
      </c>
      <c r="M55" s="42">
        <v>7</v>
      </c>
      <c r="N55" s="42">
        <v>1</v>
      </c>
      <c r="O55" s="41">
        <f t="shared" si="3"/>
        <v>14.285714285714285</v>
      </c>
      <c r="P55" s="40">
        <v>7</v>
      </c>
      <c r="Q55" s="42">
        <v>3</v>
      </c>
      <c r="R55" s="41">
        <f t="shared" si="4"/>
        <v>42.857142857142854</v>
      </c>
      <c r="S55" s="42">
        <v>3</v>
      </c>
      <c r="T55" s="42">
        <v>0</v>
      </c>
      <c r="U55" s="41">
        <f t="shared" si="5"/>
        <v>0</v>
      </c>
      <c r="V55" s="39">
        <v>4</v>
      </c>
      <c r="W55" s="39">
        <v>3</v>
      </c>
      <c r="X55" s="41">
        <f t="shared" si="6"/>
        <v>75</v>
      </c>
      <c r="Y55" s="42">
        <v>2</v>
      </c>
      <c r="Z55" s="42">
        <v>2</v>
      </c>
      <c r="AA55" s="41">
        <f t="shared" si="7"/>
        <v>100</v>
      </c>
      <c r="AB55" s="40">
        <v>4</v>
      </c>
      <c r="AC55" s="42">
        <v>3</v>
      </c>
      <c r="AD55" s="41">
        <f t="shared" si="8"/>
        <v>75</v>
      </c>
      <c r="AE55" s="42">
        <v>4</v>
      </c>
      <c r="AF55" s="42">
        <v>1</v>
      </c>
      <c r="AG55" s="41">
        <f t="shared" si="9"/>
        <v>25</v>
      </c>
      <c r="AH55" s="40">
        <v>8</v>
      </c>
      <c r="AI55" s="42">
        <v>2</v>
      </c>
      <c r="AJ55" s="41">
        <f t="shared" si="10"/>
        <v>25</v>
      </c>
      <c r="AK55" s="42">
        <v>5</v>
      </c>
      <c r="AL55" s="42">
        <v>2</v>
      </c>
      <c r="AM55" s="41">
        <f t="shared" si="11"/>
        <v>40</v>
      </c>
      <c r="AN55" s="42">
        <v>7</v>
      </c>
      <c r="AO55" s="42">
        <v>7</v>
      </c>
      <c r="AP55" s="41">
        <f t="shared" si="12"/>
        <v>100</v>
      </c>
      <c r="AQ55" s="40">
        <v>4</v>
      </c>
      <c r="AR55" s="42">
        <v>4</v>
      </c>
      <c r="AS55" s="41">
        <f t="shared" si="13"/>
        <v>100</v>
      </c>
      <c r="AT55" s="10">
        <f t="shared" si="14"/>
        <v>41</v>
      </c>
      <c r="AU55" s="10">
        <f t="shared" si="14"/>
        <v>23</v>
      </c>
      <c r="AV55" s="26">
        <f t="shared" si="15"/>
        <v>56.09756097560976</v>
      </c>
      <c r="AW55" s="10">
        <f t="shared" si="16"/>
        <v>27</v>
      </c>
      <c r="AX55" s="10">
        <f t="shared" si="16"/>
        <v>10</v>
      </c>
      <c r="AY55" s="26">
        <f t="shared" si="17"/>
        <v>37.037037037037038</v>
      </c>
      <c r="AZ55" s="10">
        <f t="shared" si="18"/>
        <v>68</v>
      </c>
      <c r="BA55" s="10">
        <f t="shared" si="18"/>
        <v>33</v>
      </c>
      <c r="BB55" s="27">
        <f t="shared" si="19"/>
        <v>48.529411764705884</v>
      </c>
    </row>
    <row r="56" spans="1:54" s="11" customFormat="1">
      <c r="A56" s="12">
        <v>50</v>
      </c>
      <c r="B56" s="13">
        <v>1230321047</v>
      </c>
      <c r="C56" s="14" t="s">
        <v>72</v>
      </c>
      <c r="D56" s="39">
        <v>4</v>
      </c>
      <c r="E56" s="39">
        <v>2</v>
      </c>
      <c r="F56" s="39">
        <f t="shared" si="0"/>
        <v>50</v>
      </c>
      <c r="G56" s="39">
        <v>2</v>
      </c>
      <c r="H56" s="39">
        <v>1</v>
      </c>
      <c r="I56" s="39">
        <f t="shared" si="1"/>
        <v>50</v>
      </c>
      <c r="J56" s="40">
        <v>7</v>
      </c>
      <c r="K56" s="42">
        <v>3</v>
      </c>
      <c r="L56" s="41">
        <f t="shared" si="2"/>
        <v>42.857142857142854</v>
      </c>
      <c r="M56" s="42">
        <v>7</v>
      </c>
      <c r="N56" s="42">
        <v>3</v>
      </c>
      <c r="O56" s="41">
        <f t="shared" si="3"/>
        <v>42.857142857142854</v>
      </c>
      <c r="P56" s="40">
        <v>7</v>
      </c>
      <c r="Q56" s="42">
        <v>3</v>
      </c>
      <c r="R56" s="41">
        <f t="shared" si="4"/>
        <v>42.857142857142854</v>
      </c>
      <c r="S56" s="42">
        <v>3</v>
      </c>
      <c r="T56" s="42">
        <v>3</v>
      </c>
      <c r="U56" s="41">
        <f t="shared" si="5"/>
        <v>100</v>
      </c>
      <c r="V56" s="39">
        <v>4</v>
      </c>
      <c r="W56" s="39">
        <v>2</v>
      </c>
      <c r="X56" s="41">
        <f t="shared" si="6"/>
        <v>50</v>
      </c>
      <c r="Y56" s="42">
        <v>2</v>
      </c>
      <c r="Z56" s="42">
        <v>2</v>
      </c>
      <c r="AA56" s="41">
        <f t="shared" si="7"/>
        <v>100</v>
      </c>
      <c r="AB56" s="40">
        <v>4</v>
      </c>
      <c r="AC56" s="42">
        <v>4</v>
      </c>
      <c r="AD56" s="41">
        <f t="shared" si="8"/>
        <v>100</v>
      </c>
      <c r="AE56" s="42">
        <v>4</v>
      </c>
      <c r="AF56" s="42">
        <v>2</v>
      </c>
      <c r="AG56" s="41">
        <f t="shared" si="9"/>
        <v>50</v>
      </c>
      <c r="AH56" s="40">
        <v>8</v>
      </c>
      <c r="AI56" s="42">
        <v>5</v>
      </c>
      <c r="AJ56" s="41">
        <f t="shared" si="10"/>
        <v>62.5</v>
      </c>
      <c r="AK56" s="42">
        <v>5</v>
      </c>
      <c r="AL56" s="42">
        <v>4</v>
      </c>
      <c r="AM56" s="41">
        <f t="shared" si="11"/>
        <v>80</v>
      </c>
      <c r="AN56" s="42">
        <v>7</v>
      </c>
      <c r="AO56" s="42">
        <v>5</v>
      </c>
      <c r="AP56" s="41">
        <f t="shared" si="12"/>
        <v>71.428571428571431</v>
      </c>
      <c r="AQ56" s="40">
        <v>4</v>
      </c>
      <c r="AR56" s="42">
        <v>4</v>
      </c>
      <c r="AS56" s="41">
        <f t="shared" si="13"/>
        <v>100</v>
      </c>
      <c r="AT56" s="10">
        <f t="shared" si="14"/>
        <v>41</v>
      </c>
      <c r="AU56" s="10">
        <f t="shared" si="14"/>
        <v>24</v>
      </c>
      <c r="AV56" s="26">
        <f t="shared" si="15"/>
        <v>58.536585365853654</v>
      </c>
      <c r="AW56" s="10">
        <f t="shared" si="16"/>
        <v>27</v>
      </c>
      <c r="AX56" s="10">
        <f t="shared" si="16"/>
        <v>19</v>
      </c>
      <c r="AY56" s="26">
        <f t="shared" si="17"/>
        <v>70.370370370370367</v>
      </c>
      <c r="AZ56" s="10">
        <f t="shared" si="18"/>
        <v>68</v>
      </c>
      <c r="BA56" s="10">
        <f t="shared" si="18"/>
        <v>43</v>
      </c>
      <c r="BB56" s="27">
        <f t="shared" si="19"/>
        <v>63.235294117647058</v>
      </c>
    </row>
    <row r="57" spans="1:54" s="11" customFormat="1">
      <c r="A57" s="12">
        <v>51</v>
      </c>
      <c r="B57" s="13">
        <v>1230321048</v>
      </c>
      <c r="C57" s="14" t="s">
        <v>73</v>
      </c>
      <c r="D57" s="39">
        <v>4</v>
      </c>
      <c r="E57" s="39">
        <v>2</v>
      </c>
      <c r="F57" s="39">
        <f t="shared" si="0"/>
        <v>50</v>
      </c>
      <c r="G57" s="39">
        <v>2</v>
      </c>
      <c r="H57" s="39">
        <v>0</v>
      </c>
      <c r="I57" s="39">
        <f t="shared" si="1"/>
        <v>0</v>
      </c>
      <c r="J57" s="40">
        <v>7</v>
      </c>
      <c r="K57" s="42">
        <v>5</v>
      </c>
      <c r="L57" s="41">
        <f t="shared" si="2"/>
        <v>71.428571428571431</v>
      </c>
      <c r="M57" s="42">
        <v>7</v>
      </c>
      <c r="N57" s="42">
        <v>2</v>
      </c>
      <c r="O57" s="41">
        <f t="shared" si="3"/>
        <v>28.571428571428569</v>
      </c>
      <c r="P57" s="40">
        <v>7</v>
      </c>
      <c r="Q57" s="42">
        <v>4</v>
      </c>
      <c r="R57" s="41">
        <f t="shared" si="4"/>
        <v>57.142857142857139</v>
      </c>
      <c r="S57" s="42">
        <v>3</v>
      </c>
      <c r="T57" s="42">
        <v>1</v>
      </c>
      <c r="U57" s="41">
        <f t="shared" si="5"/>
        <v>33.333333333333329</v>
      </c>
      <c r="V57" s="39">
        <v>4</v>
      </c>
      <c r="W57" s="39">
        <v>2</v>
      </c>
      <c r="X57" s="41">
        <f t="shared" si="6"/>
        <v>50</v>
      </c>
      <c r="Y57" s="42">
        <v>2</v>
      </c>
      <c r="Z57" s="42">
        <v>2</v>
      </c>
      <c r="AA57" s="41">
        <f t="shared" si="7"/>
        <v>100</v>
      </c>
      <c r="AB57" s="40">
        <v>4</v>
      </c>
      <c r="AC57" s="42">
        <v>3</v>
      </c>
      <c r="AD57" s="41">
        <f t="shared" si="8"/>
        <v>75</v>
      </c>
      <c r="AE57" s="42">
        <v>4</v>
      </c>
      <c r="AF57" s="42">
        <v>3</v>
      </c>
      <c r="AG57" s="41">
        <f t="shared" si="9"/>
        <v>75</v>
      </c>
      <c r="AH57" s="40">
        <v>8</v>
      </c>
      <c r="AI57" s="42">
        <v>7</v>
      </c>
      <c r="AJ57" s="41">
        <f t="shared" si="10"/>
        <v>87.5</v>
      </c>
      <c r="AK57" s="42">
        <v>5</v>
      </c>
      <c r="AL57" s="42">
        <v>3</v>
      </c>
      <c r="AM57" s="41">
        <f t="shared" si="11"/>
        <v>60</v>
      </c>
      <c r="AN57" s="42">
        <v>7</v>
      </c>
      <c r="AO57" s="42">
        <v>7</v>
      </c>
      <c r="AP57" s="41">
        <f t="shared" si="12"/>
        <v>100</v>
      </c>
      <c r="AQ57" s="40">
        <v>4</v>
      </c>
      <c r="AR57" s="42">
        <v>3</v>
      </c>
      <c r="AS57" s="41">
        <f t="shared" si="13"/>
        <v>75</v>
      </c>
      <c r="AT57" s="10">
        <f t="shared" si="14"/>
        <v>41</v>
      </c>
      <c r="AU57" s="10">
        <f t="shared" si="14"/>
        <v>30</v>
      </c>
      <c r="AV57" s="26">
        <f t="shared" si="15"/>
        <v>73.170731707317074</v>
      </c>
      <c r="AW57" s="10">
        <f t="shared" si="16"/>
        <v>27</v>
      </c>
      <c r="AX57" s="10">
        <f t="shared" si="16"/>
        <v>14</v>
      </c>
      <c r="AY57" s="26">
        <f t="shared" si="17"/>
        <v>51.851851851851848</v>
      </c>
      <c r="AZ57" s="10">
        <f t="shared" si="18"/>
        <v>68</v>
      </c>
      <c r="BA57" s="10">
        <f t="shared" si="18"/>
        <v>44</v>
      </c>
      <c r="BB57" s="27">
        <f t="shared" si="19"/>
        <v>64.705882352941174</v>
      </c>
    </row>
    <row r="58" spans="1:54" s="11" customFormat="1">
      <c r="A58" s="12">
        <v>52</v>
      </c>
      <c r="B58" s="13">
        <v>1230321049</v>
      </c>
      <c r="C58" s="14" t="s">
        <v>74</v>
      </c>
      <c r="D58" s="39">
        <v>4</v>
      </c>
      <c r="E58" s="39">
        <v>3</v>
      </c>
      <c r="F58" s="39">
        <f t="shared" si="0"/>
        <v>75</v>
      </c>
      <c r="G58" s="39">
        <v>2</v>
      </c>
      <c r="H58" s="39">
        <v>0</v>
      </c>
      <c r="I58" s="39">
        <f t="shared" si="1"/>
        <v>0</v>
      </c>
      <c r="J58" s="40">
        <v>7</v>
      </c>
      <c r="K58" s="42">
        <v>5</v>
      </c>
      <c r="L58" s="41">
        <f t="shared" si="2"/>
        <v>71.428571428571431</v>
      </c>
      <c r="M58" s="42">
        <v>7</v>
      </c>
      <c r="N58" s="42">
        <v>5</v>
      </c>
      <c r="O58" s="41">
        <f t="shared" si="3"/>
        <v>71.428571428571431</v>
      </c>
      <c r="P58" s="40">
        <v>7</v>
      </c>
      <c r="Q58" s="42">
        <v>4</v>
      </c>
      <c r="R58" s="41">
        <f t="shared" si="4"/>
        <v>57.142857142857139</v>
      </c>
      <c r="S58" s="42">
        <v>3</v>
      </c>
      <c r="T58" s="42">
        <v>2</v>
      </c>
      <c r="U58" s="41">
        <f t="shared" si="5"/>
        <v>66.666666666666657</v>
      </c>
      <c r="V58" s="39">
        <v>4</v>
      </c>
      <c r="W58" s="39">
        <v>2</v>
      </c>
      <c r="X58" s="41">
        <f t="shared" si="6"/>
        <v>50</v>
      </c>
      <c r="Y58" s="42">
        <v>2</v>
      </c>
      <c r="Z58" s="42">
        <v>2</v>
      </c>
      <c r="AA58" s="41">
        <f t="shared" si="7"/>
        <v>100</v>
      </c>
      <c r="AB58" s="40">
        <v>4</v>
      </c>
      <c r="AC58" s="42">
        <v>4</v>
      </c>
      <c r="AD58" s="41">
        <f t="shared" si="8"/>
        <v>100</v>
      </c>
      <c r="AE58" s="42">
        <v>4</v>
      </c>
      <c r="AF58" s="42">
        <v>3</v>
      </c>
      <c r="AG58" s="41">
        <f t="shared" si="9"/>
        <v>75</v>
      </c>
      <c r="AH58" s="40">
        <v>8</v>
      </c>
      <c r="AI58" s="42">
        <v>4</v>
      </c>
      <c r="AJ58" s="41">
        <f t="shared" si="10"/>
        <v>50</v>
      </c>
      <c r="AK58" s="42">
        <v>5</v>
      </c>
      <c r="AL58" s="42">
        <v>4</v>
      </c>
      <c r="AM58" s="41">
        <f t="shared" si="11"/>
        <v>80</v>
      </c>
      <c r="AN58" s="42">
        <v>7</v>
      </c>
      <c r="AO58" s="42">
        <v>6</v>
      </c>
      <c r="AP58" s="41">
        <f t="shared" si="12"/>
        <v>85.714285714285708</v>
      </c>
      <c r="AQ58" s="40">
        <v>4</v>
      </c>
      <c r="AR58" s="42">
        <v>3</v>
      </c>
      <c r="AS58" s="41">
        <f t="shared" si="13"/>
        <v>75</v>
      </c>
      <c r="AT58" s="10">
        <f t="shared" si="14"/>
        <v>41</v>
      </c>
      <c r="AU58" s="10">
        <f t="shared" si="14"/>
        <v>28</v>
      </c>
      <c r="AV58" s="26">
        <f t="shared" si="15"/>
        <v>68.292682926829272</v>
      </c>
      <c r="AW58" s="10">
        <f t="shared" si="16"/>
        <v>27</v>
      </c>
      <c r="AX58" s="10">
        <f t="shared" si="16"/>
        <v>19</v>
      </c>
      <c r="AY58" s="26">
        <f t="shared" si="17"/>
        <v>70.370370370370367</v>
      </c>
      <c r="AZ58" s="10">
        <f t="shared" si="18"/>
        <v>68</v>
      </c>
      <c r="BA58" s="10">
        <f t="shared" si="18"/>
        <v>47</v>
      </c>
      <c r="BB58" s="27">
        <f t="shared" si="19"/>
        <v>69.117647058823522</v>
      </c>
    </row>
    <row r="59" spans="1:54" s="11" customFormat="1">
      <c r="A59" s="12">
        <v>53</v>
      </c>
      <c r="B59" s="13">
        <v>1230321050</v>
      </c>
      <c r="C59" s="14" t="s">
        <v>75</v>
      </c>
      <c r="D59" s="39">
        <v>4</v>
      </c>
      <c r="E59" s="39">
        <v>2</v>
      </c>
      <c r="F59" s="39">
        <f t="shared" si="0"/>
        <v>50</v>
      </c>
      <c r="G59" s="39">
        <v>2</v>
      </c>
      <c r="H59" s="39">
        <v>1</v>
      </c>
      <c r="I59" s="39">
        <f t="shared" si="1"/>
        <v>50</v>
      </c>
      <c r="J59" s="40">
        <v>7</v>
      </c>
      <c r="K59" s="42">
        <v>4</v>
      </c>
      <c r="L59" s="41">
        <f t="shared" si="2"/>
        <v>57.142857142857139</v>
      </c>
      <c r="M59" s="42">
        <v>7</v>
      </c>
      <c r="N59" s="42">
        <v>3</v>
      </c>
      <c r="O59" s="41">
        <f t="shared" si="3"/>
        <v>42.857142857142854</v>
      </c>
      <c r="P59" s="40">
        <v>7</v>
      </c>
      <c r="Q59" s="42">
        <v>4</v>
      </c>
      <c r="R59" s="41">
        <f t="shared" si="4"/>
        <v>57.142857142857139</v>
      </c>
      <c r="S59" s="42">
        <v>3</v>
      </c>
      <c r="T59" s="42">
        <v>3</v>
      </c>
      <c r="U59" s="41">
        <f t="shared" si="5"/>
        <v>100</v>
      </c>
      <c r="V59" s="39">
        <v>4</v>
      </c>
      <c r="W59" s="39">
        <v>1</v>
      </c>
      <c r="X59" s="41">
        <f t="shared" si="6"/>
        <v>25</v>
      </c>
      <c r="Y59" s="42">
        <v>2</v>
      </c>
      <c r="Z59" s="42">
        <v>2</v>
      </c>
      <c r="AA59" s="41">
        <f t="shared" si="7"/>
        <v>100</v>
      </c>
      <c r="AB59" s="40">
        <v>4</v>
      </c>
      <c r="AC59" s="42">
        <v>4</v>
      </c>
      <c r="AD59" s="41">
        <f t="shared" si="8"/>
        <v>100</v>
      </c>
      <c r="AE59" s="42">
        <v>4</v>
      </c>
      <c r="AF59" s="42">
        <v>4</v>
      </c>
      <c r="AG59" s="41">
        <f t="shared" si="9"/>
        <v>100</v>
      </c>
      <c r="AH59" s="40">
        <v>8</v>
      </c>
      <c r="AI59" s="42">
        <v>4</v>
      </c>
      <c r="AJ59" s="41">
        <f t="shared" si="10"/>
        <v>50</v>
      </c>
      <c r="AK59" s="42">
        <v>5</v>
      </c>
      <c r="AL59" s="42">
        <v>4</v>
      </c>
      <c r="AM59" s="41">
        <f t="shared" si="11"/>
        <v>80</v>
      </c>
      <c r="AN59" s="42">
        <v>7</v>
      </c>
      <c r="AO59" s="42">
        <v>7</v>
      </c>
      <c r="AP59" s="41">
        <f t="shared" si="12"/>
        <v>100</v>
      </c>
      <c r="AQ59" s="40">
        <v>4</v>
      </c>
      <c r="AR59" s="42">
        <v>3</v>
      </c>
      <c r="AS59" s="41">
        <f t="shared" si="13"/>
        <v>75</v>
      </c>
      <c r="AT59" s="10">
        <f t="shared" si="14"/>
        <v>41</v>
      </c>
      <c r="AU59" s="10">
        <f t="shared" si="14"/>
        <v>26</v>
      </c>
      <c r="AV59" s="26">
        <f t="shared" si="15"/>
        <v>63.414634146341463</v>
      </c>
      <c r="AW59" s="10">
        <f t="shared" si="16"/>
        <v>27</v>
      </c>
      <c r="AX59" s="10">
        <f t="shared" si="16"/>
        <v>20</v>
      </c>
      <c r="AY59" s="26">
        <f t="shared" si="17"/>
        <v>74.074074074074076</v>
      </c>
      <c r="AZ59" s="10">
        <f t="shared" si="18"/>
        <v>68</v>
      </c>
      <c r="BA59" s="10">
        <f t="shared" si="18"/>
        <v>46</v>
      </c>
      <c r="BB59" s="27">
        <f t="shared" si="19"/>
        <v>67.64705882352942</v>
      </c>
    </row>
    <row r="60" spans="1:54" s="11" customFormat="1">
      <c r="A60" s="12">
        <v>54</v>
      </c>
      <c r="B60" s="13">
        <v>1230321052</v>
      </c>
      <c r="C60" s="14" t="s">
        <v>76</v>
      </c>
      <c r="D60" s="39">
        <v>4</v>
      </c>
      <c r="E60" s="39">
        <v>2</v>
      </c>
      <c r="F60" s="39">
        <f t="shared" si="0"/>
        <v>50</v>
      </c>
      <c r="G60" s="39">
        <v>2</v>
      </c>
      <c r="H60" s="39">
        <v>1</v>
      </c>
      <c r="I60" s="39">
        <f t="shared" si="1"/>
        <v>50</v>
      </c>
      <c r="J60" s="40">
        <v>7</v>
      </c>
      <c r="K60" s="42">
        <v>4</v>
      </c>
      <c r="L60" s="41">
        <f t="shared" si="2"/>
        <v>57.142857142857139</v>
      </c>
      <c r="M60" s="42">
        <v>7</v>
      </c>
      <c r="N60" s="42">
        <v>4</v>
      </c>
      <c r="O60" s="41">
        <f t="shared" si="3"/>
        <v>57.142857142857139</v>
      </c>
      <c r="P60" s="40">
        <v>7</v>
      </c>
      <c r="Q60" s="42">
        <v>3</v>
      </c>
      <c r="R60" s="41">
        <f t="shared" si="4"/>
        <v>42.857142857142854</v>
      </c>
      <c r="S60" s="42">
        <v>3</v>
      </c>
      <c r="T60" s="42">
        <v>1</v>
      </c>
      <c r="U60" s="41">
        <f t="shared" si="5"/>
        <v>33.333333333333329</v>
      </c>
      <c r="V60" s="39">
        <v>4</v>
      </c>
      <c r="W60" s="39">
        <v>2</v>
      </c>
      <c r="X60" s="41">
        <f t="shared" si="6"/>
        <v>50</v>
      </c>
      <c r="Y60" s="42">
        <v>2</v>
      </c>
      <c r="Z60" s="42">
        <v>2</v>
      </c>
      <c r="AA60" s="41">
        <f t="shared" si="7"/>
        <v>100</v>
      </c>
      <c r="AB60" s="40">
        <v>4</v>
      </c>
      <c r="AC60" s="42">
        <v>1</v>
      </c>
      <c r="AD60" s="41">
        <f t="shared" si="8"/>
        <v>25</v>
      </c>
      <c r="AE60" s="42">
        <v>4</v>
      </c>
      <c r="AF60" s="42">
        <v>2</v>
      </c>
      <c r="AG60" s="41">
        <f t="shared" si="9"/>
        <v>50</v>
      </c>
      <c r="AH60" s="40">
        <v>8</v>
      </c>
      <c r="AI60" s="42">
        <v>1</v>
      </c>
      <c r="AJ60" s="41">
        <f t="shared" si="10"/>
        <v>12.5</v>
      </c>
      <c r="AK60" s="42">
        <v>5</v>
      </c>
      <c r="AL60" s="42">
        <v>1</v>
      </c>
      <c r="AM60" s="41">
        <f t="shared" si="11"/>
        <v>20</v>
      </c>
      <c r="AN60" s="42">
        <v>7</v>
      </c>
      <c r="AO60" s="42">
        <v>6</v>
      </c>
      <c r="AP60" s="41">
        <f t="shared" si="12"/>
        <v>85.714285714285708</v>
      </c>
      <c r="AQ60" s="40">
        <v>4</v>
      </c>
      <c r="AR60" s="42">
        <v>3</v>
      </c>
      <c r="AS60" s="41">
        <f t="shared" si="13"/>
        <v>75</v>
      </c>
      <c r="AT60" s="10">
        <f t="shared" si="14"/>
        <v>41</v>
      </c>
      <c r="AU60" s="10">
        <f t="shared" si="14"/>
        <v>19</v>
      </c>
      <c r="AV60" s="26">
        <f t="shared" si="15"/>
        <v>46.341463414634148</v>
      </c>
      <c r="AW60" s="10">
        <f t="shared" si="16"/>
        <v>27</v>
      </c>
      <c r="AX60" s="10">
        <f t="shared" si="16"/>
        <v>14</v>
      </c>
      <c r="AY60" s="26">
        <f t="shared" si="17"/>
        <v>51.851851851851848</v>
      </c>
      <c r="AZ60" s="10">
        <f t="shared" si="18"/>
        <v>68</v>
      </c>
      <c r="BA60" s="10">
        <f t="shared" si="18"/>
        <v>33</v>
      </c>
      <c r="BB60" s="27">
        <f t="shared" si="19"/>
        <v>48.529411764705884</v>
      </c>
    </row>
    <row r="61" spans="1:54" s="11" customFormat="1">
      <c r="A61" s="12">
        <v>55</v>
      </c>
      <c r="B61" s="13">
        <v>1230321053</v>
      </c>
      <c r="C61" s="14" t="s">
        <v>77</v>
      </c>
      <c r="D61" s="39">
        <v>4</v>
      </c>
      <c r="E61" s="39">
        <v>3</v>
      </c>
      <c r="F61" s="39">
        <f t="shared" si="0"/>
        <v>75</v>
      </c>
      <c r="G61" s="39">
        <v>2</v>
      </c>
      <c r="H61" s="39">
        <v>1</v>
      </c>
      <c r="I61" s="39">
        <f t="shared" si="1"/>
        <v>50</v>
      </c>
      <c r="J61" s="40">
        <v>7</v>
      </c>
      <c r="K61" s="42">
        <v>6</v>
      </c>
      <c r="L61" s="41">
        <f t="shared" si="2"/>
        <v>85.714285714285708</v>
      </c>
      <c r="M61" s="42">
        <v>7</v>
      </c>
      <c r="N61" s="42">
        <v>6</v>
      </c>
      <c r="O61" s="41">
        <f t="shared" si="3"/>
        <v>85.714285714285708</v>
      </c>
      <c r="P61" s="40">
        <v>7</v>
      </c>
      <c r="Q61" s="42">
        <v>4</v>
      </c>
      <c r="R61" s="41">
        <f t="shared" si="4"/>
        <v>57.142857142857139</v>
      </c>
      <c r="S61" s="42">
        <v>3</v>
      </c>
      <c r="T61" s="42">
        <v>2</v>
      </c>
      <c r="U61" s="41">
        <f t="shared" si="5"/>
        <v>66.666666666666657</v>
      </c>
      <c r="V61" s="39">
        <v>4</v>
      </c>
      <c r="W61" s="39">
        <v>3</v>
      </c>
      <c r="X61" s="41">
        <f t="shared" si="6"/>
        <v>75</v>
      </c>
      <c r="Y61" s="42">
        <v>2</v>
      </c>
      <c r="Z61" s="42">
        <v>2</v>
      </c>
      <c r="AA61" s="41">
        <f t="shared" si="7"/>
        <v>100</v>
      </c>
      <c r="AB61" s="40">
        <v>4</v>
      </c>
      <c r="AC61" s="42">
        <v>3</v>
      </c>
      <c r="AD61" s="41">
        <f t="shared" si="8"/>
        <v>75</v>
      </c>
      <c r="AE61" s="42">
        <v>4</v>
      </c>
      <c r="AF61" s="42">
        <v>4</v>
      </c>
      <c r="AG61" s="41">
        <f t="shared" si="9"/>
        <v>100</v>
      </c>
      <c r="AH61" s="40">
        <v>8</v>
      </c>
      <c r="AI61" s="42">
        <v>4</v>
      </c>
      <c r="AJ61" s="41">
        <f t="shared" si="10"/>
        <v>50</v>
      </c>
      <c r="AK61" s="42">
        <v>5</v>
      </c>
      <c r="AL61" s="42">
        <v>4</v>
      </c>
      <c r="AM61" s="41">
        <f t="shared" si="11"/>
        <v>80</v>
      </c>
      <c r="AN61" s="42">
        <v>7</v>
      </c>
      <c r="AO61" s="42">
        <v>7</v>
      </c>
      <c r="AP61" s="41">
        <f t="shared" si="12"/>
        <v>100</v>
      </c>
      <c r="AQ61" s="40">
        <v>4</v>
      </c>
      <c r="AR61" s="42">
        <v>4</v>
      </c>
      <c r="AS61" s="41">
        <f t="shared" si="13"/>
        <v>100</v>
      </c>
      <c r="AT61" s="10">
        <f t="shared" si="14"/>
        <v>41</v>
      </c>
      <c r="AU61" s="10">
        <f t="shared" si="14"/>
        <v>30</v>
      </c>
      <c r="AV61" s="26">
        <f t="shared" si="15"/>
        <v>73.170731707317074</v>
      </c>
      <c r="AW61" s="10">
        <f t="shared" si="16"/>
        <v>27</v>
      </c>
      <c r="AX61" s="10">
        <f t="shared" si="16"/>
        <v>23</v>
      </c>
      <c r="AY61" s="26">
        <f t="shared" si="17"/>
        <v>85.18518518518519</v>
      </c>
      <c r="AZ61" s="10">
        <f t="shared" si="18"/>
        <v>68</v>
      </c>
      <c r="BA61" s="10">
        <f t="shared" si="18"/>
        <v>53</v>
      </c>
      <c r="BB61" s="27">
        <f t="shared" si="19"/>
        <v>77.941176470588232</v>
      </c>
    </row>
    <row r="62" spans="1:54" s="11" customFormat="1">
      <c r="A62" s="12">
        <v>56</v>
      </c>
      <c r="B62" s="13">
        <v>1230321054</v>
      </c>
      <c r="C62" s="14" t="s">
        <v>100</v>
      </c>
      <c r="D62" s="39">
        <v>4</v>
      </c>
      <c r="E62" s="39">
        <v>0</v>
      </c>
      <c r="F62" s="39">
        <f t="shared" si="0"/>
        <v>0</v>
      </c>
      <c r="G62" s="39">
        <v>2</v>
      </c>
      <c r="H62" s="39">
        <v>0</v>
      </c>
      <c r="I62" s="39">
        <f t="shared" si="1"/>
        <v>0</v>
      </c>
      <c r="J62" s="40">
        <v>7</v>
      </c>
      <c r="K62" s="42">
        <v>2</v>
      </c>
      <c r="L62" s="41">
        <f t="shared" si="2"/>
        <v>28.571428571428569</v>
      </c>
      <c r="M62" s="42">
        <v>7</v>
      </c>
      <c r="N62" s="42">
        <v>1</v>
      </c>
      <c r="O62" s="41">
        <f t="shared" si="3"/>
        <v>14.285714285714285</v>
      </c>
      <c r="P62" s="40">
        <v>7</v>
      </c>
      <c r="Q62" s="42">
        <v>0</v>
      </c>
      <c r="R62" s="41">
        <f t="shared" si="4"/>
        <v>0</v>
      </c>
      <c r="S62" s="42">
        <v>3</v>
      </c>
      <c r="T62" s="42">
        <v>0</v>
      </c>
      <c r="U62" s="41">
        <f t="shared" si="5"/>
        <v>0</v>
      </c>
      <c r="V62" s="39">
        <v>4</v>
      </c>
      <c r="W62" s="39">
        <v>1</v>
      </c>
      <c r="X62" s="41">
        <f t="shared" si="6"/>
        <v>25</v>
      </c>
      <c r="Y62" s="42">
        <v>2</v>
      </c>
      <c r="Z62" s="42">
        <v>2</v>
      </c>
      <c r="AA62" s="41">
        <f t="shared" si="7"/>
        <v>100</v>
      </c>
      <c r="AB62" s="40">
        <v>4</v>
      </c>
      <c r="AC62" s="42">
        <v>2</v>
      </c>
      <c r="AD62" s="41">
        <f t="shared" si="8"/>
        <v>50</v>
      </c>
      <c r="AE62" s="42">
        <v>4</v>
      </c>
      <c r="AF62" s="42">
        <v>0</v>
      </c>
      <c r="AG62" s="41">
        <f t="shared" si="9"/>
        <v>0</v>
      </c>
      <c r="AH62" s="40">
        <v>8</v>
      </c>
      <c r="AI62" s="42">
        <v>5</v>
      </c>
      <c r="AJ62" s="41">
        <f t="shared" si="10"/>
        <v>62.5</v>
      </c>
      <c r="AK62" s="42">
        <v>5</v>
      </c>
      <c r="AL62" s="42">
        <v>5</v>
      </c>
      <c r="AM62" s="41">
        <f t="shared" si="11"/>
        <v>100</v>
      </c>
      <c r="AN62" s="42">
        <v>7</v>
      </c>
      <c r="AO62" s="42">
        <v>3</v>
      </c>
      <c r="AP62" s="41">
        <f t="shared" si="12"/>
        <v>42.857142857142854</v>
      </c>
      <c r="AQ62" s="40">
        <v>4</v>
      </c>
      <c r="AR62" s="42">
        <v>0</v>
      </c>
      <c r="AS62" s="41">
        <f t="shared" si="13"/>
        <v>0</v>
      </c>
      <c r="AT62" s="10">
        <f t="shared" si="14"/>
        <v>41</v>
      </c>
      <c r="AU62" s="10">
        <f t="shared" si="14"/>
        <v>13</v>
      </c>
      <c r="AV62" s="26">
        <f t="shared" si="15"/>
        <v>31.707317073170731</v>
      </c>
      <c r="AW62" s="10">
        <f t="shared" si="16"/>
        <v>27</v>
      </c>
      <c r="AX62" s="10">
        <f t="shared" si="16"/>
        <v>8</v>
      </c>
      <c r="AY62" s="26">
        <f t="shared" si="17"/>
        <v>29.629629629629626</v>
      </c>
      <c r="AZ62" s="10">
        <f t="shared" si="18"/>
        <v>68</v>
      </c>
      <c r="BA62" s="10">
        <f t="shared" si="18"/>
        <v>21</v>
      </c>
      <c r="BB62" s="27">
        <f t="shared" si="19"/>
        <v>30.882352941176471</v>
      </c>
    </row>
    <row r="63" spans="1:54">
      <c r="A63" s="12">
        <v>57</v>
      </c>
      <c r="B63" s="13">
        <v>1230321055</v>
      </c>
      <c r="C63" s="14" t="s">
        <v>78</v>
      </c>
      <c r="D63" s="39">
        <v>4</v>
      </c>
      <c r="E63" s="39">
        <v>2</v>
      </c>
      <c r="F63" s="39">
        <f t="shared" si="0"/>
        <v>50</v>
      </c>
      <c r="G63" s="39">
        <v>2</v>
      </c>
      <c r="H63" s="39">
        <v>1</v>
      </c>
      <c r="I63" s="39">
        <f t="shared" si="1"/>
        <v>50</v>
      </c>
      <c r="J63" s="40">
        <v>7</v>
      </c>
      <c r="K63" s="40">
        <v>6</v>
      </c>
      <c r="L63" s="41">
        <f t="shared" si="2"/>
        <v>85.714285714285708</v>
      </c>
      <c r="M63" s="42">
        <v>7</v>
      </c>
      <c r="N63" s="40">
        <v>3</v>
      </c>
      <c r="O63" s="41">
        <f t="shared" si="3"/>
        <v>42.857142857142854</v>
      </c>
      <c r="P63" s="40">
        <v>7</v>
      </c>
      <c r="Q63" s="40">
        <v>4</v>
      </c>
      <c r="R63" s="41">
        <f t="shared" si="4"/>
        <v>57.142857142857139</v>
      </c>
      <c r="S63" s="42">
        <v>3</v>
      </c>
      <c r="T63" s="40">
        <v>2</v>
      </c>
      <c r="U63" s="41">
        <f t="shared" si="5"/>
        <v>66.666666666666657</v>
      </c>
      <c r="V63" s="39">
        <v>4</v>
      </c>
      <c r="W63" s="39">
        <v>3</v>
      </c>
      <c r="X63" s="41">
        <f t="shared" si="6"/>
        <v>75</v>
      </c>
      <c r="Y63" s="42">
        <v>2</v>
      </c>
      <c r="Z63" s="40">
        <v>1</v>
      </c>
      <c r="AA63" s="41">
        <f t="shared" si="7"/>
        <v>50</v>
      </c>
      <c r="AB63" s="40">
        <v>4</v>
      </c>
      <c r="AC63" s="40">
        <v>2</v>
      </c>
      <c r="AD63" s="41">
        <f t="shared" si="8"/>
        <v>50</v>
      </c>
      <c r="AE63" s="42">
        <v>4</v>
      </c>
      <c r="AF63" s="40">
        <v>3</v>
      </c>
      <c r="AG63" s="41">
        <f t="shared" si="9"/>
        <v>75</v>
      </c>
      <c r="AH63" s="40">
        <v>8</v>
      </c>
      <c r="AI63" s="40">
        <v>4</v>
      </c>
      <c r="AJ63" s="41">
        <f t="shared" si="10"/>
        <v>50</v>
      </c>
      <c r="AK63" s="42">
        <v>5</v>
      </c>
      <c r="AL63" s="40">
        <v>5</v>
      </c>
      <c r="AM63" s="41">
        <f t="shared" si="11"/>
        <v>100</v>
      </c>
      <c r="AN63" s="42">
        <v>7</v>
      </c>
      <c r="AO63" s="40">
        <v>7</v>
      </c>
      <c r="AP63" s="41">
        <f t="shared" si="12"/>
        <v>100</v>
      </c>
      <c r="AQ63" s="40">
        <v>4</v>
      </c>
      <c r="AR63" s="40">
        <v>4</v>
      </c>
      <c r="AS63" s="41">
        <f t="shared" si="13"/>
        <v>100</v>
      </c>
      <c r="AT63" s="10">
        <f t="shared" si="14"/>
        <v>41</v>
      </c>
      <c r="AU63" s="10">
        <f t="shared" si="14"/>
        <v>28</v>
      </c>
      <c r="AV63" s="26">
        <f t="shared" si="15"/>
        <v>68.292682926829272</v>
      </c>
      <c r="AW63" s="10">
        <f t="shared" si="16"/>
        <v>27</v>
      </c>
      <c r="AX63" s="10">
        <f t="shared" si="16"/>
        <v>19</v>
      </c>
      <c r="AY63" s="26">
        <f t="shared" si="17"/>
        <v>70.370370370370367</v>
      </c>
      <c r="AZ63" s="10">
        <f t="shared" si="18"/>
        <v>68</v>
      </c>
      <c r="BA63" s="10">
        <f t="shared" si="18"/>
        <v>47</v>
      </c>
      <c r="BB63" s="27">
        <f t="shared" si="19"/>
        <v>69.117647058823522</v>
      </c>
    </row>
    <row r="64" spans="1:54">
      <c r="A64" s="12">
        <v>58</v>
      </c>
      <c r="B64" s="13">
        <v>1230321056</v>
      </c>
      <c r="C64" s="14" t="s">
        <v>79</v>
      </c>
      <c r="D64" s="39">
        <v>4</v>
      </c>
      <c r="E64" s="39">
        <v>1</v>
      </c>
      <c r="F64" s="39">
        <f t="shared" si="0"/>
        <v>25</v>
      </c>
      <c r="G64" s="39">
        <v>2</v>
      </c>
      <c r="H64" s="39">
        <v>0</v>
      </c>
      <c r="I64" s="39">
        <f t="shared" si="1"/>
        <v>0</v>
      </c>
      <c r="J64" s="40">
        <v>7</v>
      </c>
      <c r="K64" s="40">
        <v>5</v>
      </c>
      <c r="L64" s="41">
        <f t="shared" si="2"/>
        <v>71.428571428571431</v>
      </c>
      <c r="M64" s="42">
        <v>7</v>
      </c>
      <c r="N64" s="40">
        <v>5</v>
      </c>
      <c r="O64" s="41">
        <f t="shared" si="3"/>
        <v>71.428571428571431</v>
      </c>
      <c r="P64" s="40">
        <v>7</v>
      </c>
      <c r="Q64" s="40">
        <v>6</v>
      </c>
      <c r="R64" s="41">
        <f t="shared" si="4"/>
        <v>85.714285714285708</v>
      </c>
      <c r="S64" s="42">
        <v>3</v>
      </c>
      <c r="T64" s="40">
        <v>3</v>
      </c>
      <c r="U64" s="41">
        <f t="shared" si="5"/>
        <v>100</v>
      </c>
      <c r="V64" s="39">
        <v>4</v>
      </c>
      <c r="W64" s="39">
        <v>1</v>
      </c>
      <c r="X64" s="41">
        <f t="shared" si="6"/>
        <v>25</v>
      </c>
      <c r="Y64" s="42">
        <v>2</v>
      </c>
      <c r="Z64" s="40">
        <v>2</v>
      </c>
      <c r="AA64" s="41">
        <f t="shared" si="7"/>
        <v>100</v>
      </c>
      <c r="AB64" s="40">
        <v>4</v>
      </c>
      <c r="AC64" s="40">
        <v>4</v>
      </c>
      <c r="AD64" s="41">
        <f t="shared" si="8"/>
        <v>100</v>
      </c>
      <c r="AE64" s="42">
        <v>4</v>
      </c>
      <c r="AF64" s="40">
        <v>4</v>
      </c>
      <c r="AG64" s="41">
        <f t="shared" si="9"/>
        <v>100</v>
      </c>
      <c r="AH64" s="40">
        <v>8</v>
      </c>
      <c r="AI64" s="40">
        <v>7</v>
      </c>
      <c r="AJ64" s="41">
        <f t="shared" si="10"/>
        <v>87.5</v>
      </c>
      <c r="AK64" s="42">
        <v>5</v>
      </c>
      <c r="AL64" s="40">
        <v>4</v>
      </c>
      <c r="AM64" s="41">
        <f t="shared" si="11"/>
        <v>80</v>
      </c>
      <c r="AN64" s="42">
        <v>7</v>
      </c>
      <c r="AO64" s="40">
        <v>6</v>
      </c>
      <c r="AP64" s="41">
        <f t="shared" si="12"/>
        <v>85.714285714285708</v>
      </c>
      <c r="AQ64" s="40">
        <v>4</v>
      </c>
      <c r="AR64" s="40">
        <v>2</v>
      </c>
      <c r="AS64" s="41">
        <f t="shared" si="13"/>
        <v>50</v>
      </c>
      <c r="AT64" s="10">
        <f t="shared" si="14"/>
        <v>41</v>
      </c>
      <c r="AU64" s="10">
        <f t="shared" si="14"/>
        <v>30</v>
      </c>
      <c r="AV64" s="26">
        <f t="shared" si="15"/>
        <v>73.170731707317074</v>
      </c>
      <c r="AW64" s="10">
        <f t="shared" si="16"/>
        <v>27</v>
      </c>
      <c r="AX64" s="10">
        <f t="shared" si="16"/>
        <v>20</v>
      </c>
      <c r="AY64" s="26">
        <f t="shared" si="17"/>
        <v>74.074074074074076</v>
      </c>
      <c r="AZ64" s="10">
        <f t="shared" si="18"/>
        <v>68</v>
      </c>
      <c r="BA64" s="10">
        <f t="shared" si="18"/>
        <v>50</v>
      </c>
      <c r="BB64" s="27">
        <f t="shared" si="19"/>
        <v>73.529411764705884</v>
      </c>
    </row>
    <row r="65" spans="1:54">
      <c r="A65" s="12">
        <v>59</v>
      </c>
      <c r="B65" s="13">
        <v>1230321057</v>
      </c>
      <c r="C65" s="14" t="s">
        <v>80</v>
      </c>
      <c r="D65" s="39">
        <v>4</v>
      </c>
      <c r="E65" s="39">
        <v>0</v>
      </c>
      <c r="F65" s="39">
        <f t="shared" si="0"/>
        <v>0</v>
      </c>
      <c r="G65" s="39">
        <v>2</v>
      </c>
      <c r="H65" s="39">
        <v>0</v>
      </c>
      <c r="I65" s="39">
        <f t="shared" si="1"/>
        <v>0</v>
      </c>
      <c r="J65" s="40">
        <v>7</v>
      </c>
      <c r="K65" s="40">
        <v>5</v>
      </c>
      <c r="L65" s="41">
        <f t="shared" si="2"/>
        <v>71.428571428571431</v>
      </c>
      <c r="M65" s="42">
        <v>7</v>
      </c>
      <c r="N65" s="40">
        <v>2</v>
      </c>
      <c r="O65" s="41">
        <f t="shared" si="3"/>
        <v>28.571428571428569</v>
      </c>
      <c r="P65" s="40">
        <v>7</v>
      </c>
      <c r="Q65" s="40">
        <v>2</v>
      </c>
      <c r="R65" s="41">
        <f t="shared" si="4"/>
        <v>28.571428571428569</v>
      </c>
      <c r="S65" s="42">
        <v>3</v>
      </c>
      <c r="T65" s="40">
        <v>1</v>
      </c>
      <c r="U65" s="41">
        <f t="shared" si="5"/>
        <v>33.333333333333329</v>
      </c>
      <c r="V65" s="39">
        <v>4</v>
      </c>
      <c r="W65" s="39">
        <v>2</v>
      </c>
      <c r="X65" s="41">
        <f t="shared" si="6"/>
        <v>50</v>
      </c>
      <c r="Y65" s="42">
        <v>2</v>
      </c>
      <c r="Z65" s="40">
        <v>0</v>
      </c>
      <c r="AA65" s="41">
        <f t="shared" si="7"/>
        <v>0</v>
      </c>
      <c r="AB65" s="40">
        <v>4</v>
      </c>
      <c r="AC65" s="40">
        <v>4</v>
      </c>
      <c r="AD65" s="41">
        <f t="shared" si="8"/>
        <v>100</v>
      </c>
      <c r="AE65" s="42">
        <v>4</v>
      </c>
      <c r="AF65" s="40">
        <v>1</v>
      </c>
      <c r="AG65" s="41">
        <f t="shared" si="9"/>
        <v>25</v>
      </c>
      <c r="AH65" s="40">
        <v>8</v>
      </c>
      <c r="AI65" s="40">
        <v>6</v>
      </c>
      <c r="AJ65" s="41">
        <f t="shared" si="10"/>
        <v>75</v>
      </c>
      <c r="AK65" s="42">
        <v>5</v>
      </c>
      <c r="AL65" s="40">
        <v>3</v>
      </c>
      <c r="AM65" s="41">
        <f t="shared" si="11"/>
        <v>60</v>
      </c>
      <c r="AN65" s="42">
        <v>7</v>
      </c>
      <c r="AO65" s="40">
        <v>5</v>
      </c>
      <c r="AP65" s="41">
        <f t="shared" si="12"/>
        <v>71.428571428571431</v>
      </c>
      <c r="AQ65" s="40">
        <v>4</v>
      </c>
      <c r="AR65" s="40">
        <v>2</v>
      </c>
      <c r="AS65" s="41">
        <f t="shared" si="13"/>
        <v>50</v>
      </c>
      <c r="AT65" s="10">
        <f t="shared" si="14"/>
        <v>41</v>
      </c>
      <c r="AU65" s="10">
        <f t="shared" si="14"/>
        <v>24</v>
      </c>
      <c r="AV65" s="26">
        <f t="shared" si="15"/>
        <v>58.536585365853654</v>
      </c>
      <c r="AW65" s="10">
        <f t="shared" si="16"/>
        <v>27</v>
      </c>
      <c r="AX65" s="10">
        <f t="shared" si="16"/>
        <v>9</v>
      </c>
      <c r="AY65" s="26">
        <f t="shared" si="17"/>
        <v>33.333333333333329</v>
      </c>
      <c r="AZ65" s="10">
        <f t="shared" si="18"/>
        <v>68</v>
      </c>
      <c r="BA65" s="10">
        <f t="shared" si="18"/>
        <v>33</v>
      </c>
      <c r="BB65" s="27">
        <f t="shared" si="19"/>
        <v>48.529411764705884</v>
      </c>
    </row>
    <row r="66" spans="1:54">
      <c r="A66" s="12">
        <v>60</v>
      </c>
      <c r="B66" s="13">
        <v>1230321058</v>
      </c>
      <c r="C66" s="14" t="s">
        <v>81</v>
      </c>
      <c r="D66" s="39">
        <v>4</v>
      </c>
      <c r="E66" s="39">
        <v>1</v>
      </c>
      <c r="F66" s="39">
        <f t="shared" si="0"/>
        <v>25</v>
      </c>
      <c r="G66" s="39">
        <v>2</v>
      </c>
      <c r="H66" s="39">
        <v>0</v>
      </c>
      <c r="I66" s="39">
        <f t="shared" si="1"/>
        <v>0</v>
      </c>
      <c r="J66" s="40">
        <v>7</v>
      </c>
      <c r="K66" s="40">
        <v>6</v>
      </c>
      <c r="L66" s="41">
        <f t="shared" si="2"/>
        <v>85.714285714285708</v>
      </c>
      <c r="M66" s="42">
        <v>7</v>
      </c>
      <c r="N66" s="40">
        <v>5</v>
      </c>
      <c r="O66" s="41">
        <f t="shared" si="3"/>
        <v>71.428571428571431</v>
      </c>
      <c r="P66" s="40">
        <v>7</v>
      </c>
      <c r="Q66" s="40">
        <v>6</v>
      </c>
      <c r="R66" s="41">
        <f t="shared" si="4"/>
        <v>85.714285714285708</v>
      </c>
      <c r="S66" s="42">
        <v>3</v>
      </c>
      <c r="T66" s="40">
        <v>2</v>
      </c>
      <c r="U66" s="41">
        <f t="shared" si="5"/>
        <v>66.666666666666657</v>
      </c>
      <c r="V66" s="39">
        <v>4</v>
      </c>
      <c r="W66" s="39">
        <v>0</v>
      </c>
      <c r="X66" s="41">
        <f t="shared" si="6"/>
        <v>0</v>
      </c>
      <c r="Y66" s="42">
        <v>2</v>
      </c>
      <c r="Z66" s="40">
        <v>2</v>
      </c>
      <c r="AA66" s="41">
        <f t="shared" si="7"/>
        <v>100</v>
      </c>
      <c r="AB66" s="40">
        <v>4</v>
      </c>
      <c r="AC66" s="40">
        <v>3</v>
      </c>
      <c r="AD66" s="41">
        <f t="shared" si="8"/>
        <v>75</v>
      </c>
      <c r="AE66" s="42">
        <v>4</v>
      </c>
      <c r="AF66" s="40">
        <v>2</v>
      </c>
      <c r="AG66" s="41">
        <f t="shared" si="9"/>
        <v>50</v>
      </c>
      <c r="AH66" s="40">
        <v>8</v>
      </c>
      <c r="AI66" s="40">
        <v>7</v>
      </c>
      <c r="AJ66" s="41">
        <f t="shared" si="10"/>
        <v>87.5</v>
      </c>
      <c r="AK66" s="42">
        <v>5</v>
      </c>
      <c r="AL66" s="40">
        <v>5</v>
      </c>
      <c r="AM66" s="41">
        <f t="shared" si="11"/>
        <v>100</v>
      </c>
      <c r="AN66" s="42">
        <v>7</v>
      </c>
      <c r="AO66" s="40">
        <v>5</v>
      </c>
      <c r="AP66" s="41">
        <f t="shared" si="12"/>
        <v>71.428571428571431</v>
      </c>
      <c r="AQ66" s="40">
        <v>4</v>
      </c>
      <c r="AR66" s="40">
        <v>3</v>
      </c>
      <c r="AS66" s="41">
        <f t="shared" si="13"/>
        <v>75</v>
      </c>
      <c r="AT66" s="10">
        <f t="shared" si="14"/>
        <v>41</v>
      </c>
      <c r="AU66" s="10">
        <f t="shared" si="14"/>
        <v>28</v>
      </c>
      <c r="AV66" s="26">
        <f t="shared" si="15"/>
        <v>68.292682926829272</v>
      </c>
      <c r="AW66" s="10">
        <f t="shared" si="16"/>
        <v>27</v>
      </c>
      <c r="AX66" s="10">
        <f t="shared" si="16"/>
        <v>19</v>
      </c>
      <c r="AY66" s="26">
        <f t="shared" si="17"/>
        <v>70.370370370370367</v>
      </c>
      <c r="AZ66" s="10">
        <f t="shared" si="18"/>
        <v>68</v>
      </c>
      <c r="BA66" s="10">
        <f t="shared" si="18"/>
        <v>47</v>
      </c>
      <c r="BB66" s="27">
        <f t="shared" si="19"/>
        <v>69.117647058823522</v>
      </c>
    </row>
    <row r="67" spans="1:54">
      <c r="A67" s="12">
        <v>61</v>
      </c>
      <c r="B67" s="13">
        <v>1230321060</v>
      </c>
      <c r="C67" s="14" t="s">
        <v>82</v>
      </c>
      <c r="D67" s="39">
        <v>4</v>
      </c>
      <c r="E67" s="39">
        <v>0</v>
      </c>
      <c r="F67" s="39">
        <f t="shared" si="0"/>
        <v>0</v>
      </c>
      <c r="G67" s="39">
        <v>2</v>
      </c>
      <c r="H67" s="39">
        <v>1</v>
      </c>
      <c r="I67" s="39">
        <f t="shared" si="1"/>
        <v>50</v>
      </c>
      <c r="J67" s="40">
        <v>7</v>
      </c>
      <c r="K67" s="40">
        <v>0</v>
      </c>
      <c r="L67" s="41">
        <f t="shared" si="2"/>
        <v>0</v>
      </c>
      <c r="M67" s="42">
        <v>7</v>
      </c>
      <c r="N67" s="40">
        <v>2</v>
      </c>
      <c r="O67" s="41">
        <f t="shared" si="3"/>
        <v>28.571428571428569</v>
      </c>
      <c r="P67" s="40">
        <v>7</v>
      </c>
      <c r="Q67" s="40">
        <v>5</v>
      </c>
      <c r="R67" s="41">
        <f t="shared" si="4"/>
        <v>71.428571428571431</v>
      </c>
      <c r="S67" s="42">
        <v>3</v>
      </c>
      <c r="T67" s="40">
        <v>0</v>
      </c>
      <c r="U67" s="41">
        <f t="shared" si="5"/>
        <v>0</v>
      </c>
      <c r="V67" s="39">
        <v>4</v>
      </c>
      <c r="W67" s="39">
        <v>1</v>
      </c>
      <c r="X67" s="41">
        <f t="shared" si="6"/>
        <v>25</v>
      </c>
      <c r="Y67" s="42">
        <v>2</v>
      </c>
      <c r="Z67" s="40">
        <v>2</v>
      </c>
      <c r="AA67" s="41">
        <f t="shared" si="7"/>
        <v>100</v>
      </c>
      <c r="AB67" s="40">
        <v>4</v>
      </c>
      <c r="AC67" s="40">
        <v>1</v>
      </c>
      <c r="AD67" s="41">
        <f t="shared" si="8"/>
        <v>25</v>
      </c>
      <c r="AE67" s="42">
        <v>4</v>
      </c>
      <c r="AF67" s="40">
        <v>1</v>
      </c>
      <c r="AG67" s="41">
        <f t="shared" si="9"/>
        <v>25</v>
      </c>
      <c r="AH67" s="40">
        <v>8</v>
      </c>
      <c r="AI67" s="40">
        <v>2</v>
      </c>
      <c r="AJ67" s="41">
        <f t="shared" si="10"/>
        <v>25</v>
      </c>
      <c r="AK67" s="42">
        <v>5</v>
      </c>
      <c r="AL67" s="40">
        <v>0</v>
      </c>
      <c r="AM67" s="41">
        <f t="shared" si="11"/>
        <v>0</v>
      </c>
      <c r="AN67" s="42">
        <v>7</v>
      </c>
      <c r="AO67" s="40">
        <v>3</v>
      </c>
      <c r="AP67" s="41">
        <f t="shared" si="12"/>
        <v>42.857142857142854</v>
      </c>
      <c r="AQ67" s="40">
        <v>4</v>
      </c>
      <c r="AR67" s="40">
        <v>3</v>
      </c>
      <c r="AS67" s="41">
        <f t="shared" si="13"/>
        <v>75</v>
      </c>
      <c r="AT67" s="10">
        <f t="shared" si="14"/>
        <v>41</v>
      </c>
      <c r="AU67" s="10">
        <f t="shared" si="14"/>
        <v>12</v>
      </c>
      <c r="AV67" s="26">
        <f t="shared" si="15"/>
        <v>29.268292682926827</v>
      </c>
      <c r="AW67" s="10">
        <f t="shared" si="16"/>
        <v>27</v>
      </c>
      <c r="AX67" s="10">
        <f t="shared" si="16"/>
        <v>9</v>
      </c>
      <c r="AY67" s="26">
        <f t="shared" si="17"/>
        <v>33.333333333333329</v>
      </c>
      <c r="AZ67" s="10">
        <f t="shared" si="18"/>
        <v>68</v>
      </c>
      <c r="BA67" s="10">
        <f t="shared" si="18"/>
        <v>21</v>
      </c>
      <c r="BB67" s="27">
        <f t="shared" si="19"/>
        <v>30.882352941176471</v>
      </c>
    </row>
    <row r="68" spans="1:54">
      <c r="A68" s="12">
        <v>62</v>
      </c>
      <c r="B68" s="13">
        <v>1230321061</v>
      </c>
      <c r="C68" s="14" t="s">
        <v>101</v>
      </c>
      <c r="D68" s="39">
        <v>4</v>
      </c>
      <c r="E68" s="39">
        <v>0</v>
      </c>
      <c r="F68" s="39">
        <f t="shared" si="0"/>
        <v>0</v>
      </c>
      <c r="G68" s="39">
        <v>2</v>
      </c>
      <c r="H68" s="39">
        <v>1</v>
      </c>
      <c r="I68" s="39">
        <f t="shared" si="1"/>
        <v>50</v>
      </c>
      <c r="J68" s="40">
        <v>7</v>
      </c>
      <c r="K68" s="40">
        <v>0</v>
      </c>
      <c r="L68" s="41">
        <f t="shared" si="2"/>
        <v>0</v>
      </c>
      <c r="M68" s="42">
        <v>7</v>
      </c>
      <c r="N68" s="40">
        <v>1</v>
      </c>
      <c r="O68" s="41">
        <f t="shared" si="3"/>
        <v>14.285714285714285</v>
      </c>
      <c r="P68" s="40">
        <v>7</v>
      </c>
      <c r="Q68" s="40">
        <v>0</v>
      </c>
      <c r="R68" s="41">
        <f t="shared" si="4"/>
        <v>0</v>
      </c>
      <c r="S68" s="42">
        <v>3</v>
      </c>
      <c r="T68" s="40">
        <v>0</v>
      </c>
      <c r="U68" s="41">
        <f t="shared" si="5"/>
        <v>0</v>
      </c>
      <c r="V68" s="39">
        <v>4</v>
      </c>
      <c r="W68" s="39">
        <v>1</v>
      </c>
      <c r="X68" s="41">
        <f t="shared" si="6"/>
        <v>25</v>
      </c>
      <c r="Y68" s="42">
        <v>2</v>
      </c>
      <c r="Z68" s="40">
        <v>0</v>
      </c>
      <c r="AA68" s="41">
        <f t="shared" si="7"/>
        <v>0</v>
      </c>
      <c r="AB68" s="40">
        <v>4</v>
      </c>
      <c r="AC68" s="40">
        <v>0</v>
      </c>
      <c r="AD68" s="41">
        <f t="shared" si="8"/>
        <v>0</v>
      </c>
      <c r="AE68" s="42">
        <v>4</v>
      </c>
      <c r="AF68" s="40">
        <v>0</v>
      </c>
      <c r="AG68" s="41">
        <f t="shared" si="9"/>
        <v>0</v>
      </c>
      <c r="AH68" s="40">
        <v>8</v>
      </c>
      <c r="AI68" s="40">
        <v>0</v>
      </c>
      <c r="AJ68" s="41">
        <f t="shared" si="10"/>
        <v>0</v>
      </c>
      <c r="AK68" s="42">
        <v>5</v>
      </c>
      <c r="AL68" s="40">
        <v>0</v>
      </c>
      <c r="AM68" s="41">
        <f t="shared" si="11"/>
        <v>0</v>
      </c>
      <c r="AN68" s="42">
        <v>7</v>
      </c>
      <c r="AO68" s="40">
        <v>0</v>
      </c>
      <c r="AP68" s="41">
        <f t="shared" si="12"/>
        <v>0</v>
      </c>
      <c r="AQ68" s="40">
        <v>4</v>
      </c>
      <c r="AR68" s="40">
        <v>0</v>
      </c>
      <c r="AS68" s="41">
        <f t="shared" si="13"/>
        <v>0</v>
      </c>
      <c r="AT68" s="10">
        <f t="shared" si="14"/>
        <v>41</v>
      </c>
      <c r="AU68" s="10">
        <f t="shared" si="14"/>
        <v>1</v>
      </c>
      <c r="AV68" s="26">
        <f t="shared" si="15"/>
        <v>2.4390243902439024</v>
      </c>
      <c r="AW68" s="10">
        <f t="shared" si="16"/>
        <v>27</v>
      </c>
      <c r="AX68" s="10">
        <f t="shared" si="16"/>
        <v>2</v>
      </c>
      <c r="AY68" s="26">
        <f t="shared" si="17"/>
        <v>7.4074074074074066</v>
      </c>
      <c r="AZ68" s="10">
        <f t="shared" si="18"/>
        <v>68</v>
      </c>
      <c r="BA68" s="10">
        <f t="shared" si="18"/>
        <v>3</v>
      </c>
      <c r="BB68" s="27">
        <f t="shared" si="19"/>
        <v>4.4117647058823533</v>
      </c>
    </row>
    <row r="69" spans="1:54">
      <c r="A69" s="12">
        <v>63</v>
      </c>
      <c r="B69" s="13">
        <v>1230321062</v>
      </c>
      <c r="C69" s="14" t="s">
        <v>83</v>
      </c>
      <c r="D69" s="39">
        <v>4</v>
      </c>
      <c r="E69" s="39">
        <v>1</v>
      </c>
      <c r="F69" s="39">
        <f t="shared" si="0"/>
        <v>25</v>
      </c>
      <c r="G69" s="39">
        <v>2</v>
      </c>
      <c r="H69" s="39">
        <v>0</v>
      </c>
      <c r="I69" s="39">
        <f t="shared" si="1"/>
        <v>0</v>
      </c>
      <c r="J69" s="40">
        <v>7</v>
      </c>
      <c r="K69" s="40">
        <v>2</v>
      </c>
      <c r="L69" s="41">
        <f t="shared" si="2"/>
        <v>28.571428571428569</v>
      </c>
      <c r="M69" s="42">
        <v>7</v>
      </c>
      <c r="N69" s="40">
        <v>2</v>
      </c>
      <c r="O69" s="41">
        <f t="shared" si="3"/>
        <v>28.571428571428569</v>
      </c>
      <c r="P69" s="40">
        <v>7</v>
      </c>
      <c r="Q69" s="40">
        <v>4</v>
      </c>
      <c r="R69" s="41">
        <f t="shared" si="4"/>
        <v>57.142857142857139</v>
      </c>
      <c r="S69" s="42">
        <v>3</v>
      </c>
      <c r="T69" s="40">
        <v>2</v>
      </c>
      <c r="U69" s="41">
        <f t="shared" si="5"/>
        <v>66.666666666666657</v>
      </c>
      <c r="V69" s="39">
        <v>4</v>
      </c>
      <c r="W69" s="39">
        <v>3</v>
      </c>
      <c r="X69" s="41">
        <f t="shared" si="6"/>
        <v>75</v>
      </c>
      <c r="Y69" s="42">
        <v>2</v>
      </c>
      <c r="Z69" s="40">
        <v>2</v>
      </c>
      <c r="AA69" s="41">
        <f t="shared" si="7"/>
        <v>100</v>
      </c>
      <c r="AB69" s="40">
        <v>4</v>
      </c>
      <c r="AC69" s="40">
        <v>3</v>
      </c>
      <c r="AD69" s="41">
        <f t="shared" si="8"/>
        <v>75</v>
      </c>
      <c r="AE69" s="42">
        <v>4</v>
      </c>
      <c r="AF69" s="40">
        <v>1</v>
      </c>
      <c r="AG69" s="41">
        <f t="shared" si="9"/>
        <v>25</v>
      </c>
      <c r="AH69" s="40">
        <v>8</v>
      </c>
      <c r="AI69" s="40">
        <v>4</v>
      </c>
      <c r="AJ69" s="41">
        <f t="shared" si="10"/>
        <v>50</v>
      </c>
      <c r="AK69" s="42">
        <v>5</v>
      </c>
      <c r="AL69" s="40">
        <v>3</v>
      </c>
      <c r="AM69" s="41">
        <f t="shared" si="11"/>
        <v>60</v>
      </c>
      <c r="AN69" s="42">
        <v>7</v>
      </c>
      <c r="AO69" s="40">
        <v>7</v>
      </c>
      <c r="AP69" s="41">
        <f t="shared" si="12"/>
        <v>100</v>
      </c>
      <c r="AQ69" s="40">
        <v>4</v>
      </c>
      <c r="AR69" s="40">
        <v>3</v>
      </c>
      <c r="AS69" s="41">
        <f t="shared" si="13"/>
        <v>75</v>
      </c>
      <c r="AT69" s="10">
        <f t="shared" si="14"/>
        <v>41</v>
      </c>
      <c r="AU69" s="10">
        <f t="shared" si="14"/>
        <v>24</v>
      </c>
      <c r="AV69" s="26">
        <f t="shared" si="15"/>
        <v>58.536585365853654</v>
      </c>
      <c r="AW69" s="10">
        <f t="shared" si="16"/>
        <v>27</v>
      </c>
      <c r="AX69" s="10">
        <f t="shared" si="16"/>
        <v>13</v>
      </c>
      <c r="AY69" s="26">
        <f t="shared" si="17"/>
        <v>48.148148148148145</v>
      </c>
      <c r="AZ69" s="10">
        <f t="shared" si="18"/>
        <v>68</v>
      </c>
      <c r="BA69" s="10">
        <f t="shared" si="18"/>
        <v>37</v>
      </c>
      <c r="BB69" s="27">
        <f t="shared" si="19"/>
        <v>54.411764705882348</v>
      </c>
    </row>
    <row r="70" spans="1:54">
      <c r="A70" s="12">
        <v>64</v>
      </c>
      <c r="B70" s="13">
        <v>1230321063</v>
      </c>
      <c r="C70" s="14" t="s">
        <v>84</v>
      </c>
      <c r="D70" s="39">
        <v>4</v>
      </c>
      <c r="E70" s="39">
        <v>1</v>
      </c>
      <c r="F70" s="39">
        <f t="shared" si="0"/>
        <v>25</v>
      </c>
      <c r="G70" s="39">
        <v>2</v>
      </c>
      <c r="H70" s="39">
        <v>1</v>
      </c>
      <c r="I70" s="39">
        <f t="shared" si="1"/>
        <v>50</v>
      </c>
      <c r="J70" s="40">
        <v>7</v>
      </c>
      <c r="K70" s="40">
        <v>3</v>
      </c>
      <c r="L70" s="41">
        <f t="shared" si="2"/>
        <v>42.857142857142854</v>
      </c>
      <c r="M70" s="42">
        <v>7</v>
      </c>
      <c r="N70" s="40">
        <v>2</v>
      </c>
      <c r="O70" s="41">
        <f t="shared" si="3"/>
        <v>28.571428571428569</v>
      </c>
      <c r="P70" s="40">
        <v>7</v>
      </c>
      <c r="Q70" s="40">
        <v>6</v>
      </c>
      <c r="R70" s="41">
        <f t="shared" si="4"/>
        <v>85.714285714285708</v>
      </c>
      <c r="S70" s="42">
        <v>3</v>
      </c>
      <c r="T70" s="40">
        <v>2</v>
      </c>
      <c r="U70" s="41">
        <f t="shared" si="5"/>
        <v>66.666666666666657</v>
      </c>
      <c r="V70" s="39">
        <v>4</v>
      </c>
      <c r="W70" s="39">
        <v>2</v>
      </c>
      <c r="X70" s="41">
        <f t="shared" si="6"/>
        <v>50</v>
      </c>
      <c r="Y70" s="42">
        <v>2</v>
      </c>
      <c r="Z70" s="40">
        <v>0</v>
      </c>
      <c r="AA70" s="41">
        <f t="shared" si="7"/>
        <v>0</v>
      </c>
      <c r="AB70" s="40">
        <v>4</v>
      </c>
      <c r="AC70" s="40">
        <v>4</v>
      </c>
      <c r="AD70" s="41">
        <f t="shared" si="8"/>
        <v>100</v>
      </c>
      <c r="AE70" s="42">
        <v>4</v>
      </c>
      <c r="AF70" s="40">
        <v>4</v>
      </c>
      <c r="AG70" s="41">
        <f t="shared" si="9"/>
        <v>100</v>
      </c>
      <c r="AH70" s="40">
        <v>8</v>
      </c>
      <c r="AI70" s="40">
        <v>6</v>
      </c>
      <c r="AJ70" s="41">
        <f t="shared" si="10"/>
        <v>75</v>
      </c>
      <c r="AK70" s="42">
        <v>5</v>
      </c>
      <c r="AL70" s="40">
        <v>5</v>
      </c>
      <c r="AM70" s="41">
        <f t="shared" si="11"/>
        <v>100</v>
      </c>
      <c r="AN70" s="42">
        <v>7</v>
      </c>
      <c r="AO70" s="40">
        <v>6</v>
      </c>
      <c r="AP70" s="41">
        <f t="shared" si="12"/>
        <v>85.714285714285708</v>
      </c>
      <c r="AQ70" s="40">
        <v>4</v>
      </c>
      <c r="AR70" s="40">
        <v>2</v>
      </c>
      <c r="AS70" s="41">
        <f t="shared" si="13"/>
        <v>50</v>
      </c>
      <c r="AT70" s="10">
        <f t="shared" si="14"/>
        <v>41</v>
      </c>
      <c r="AU70" s="10">
        <f t="shared" si="14"/>
        <v>28</v>
      </c>
      <c r="AV70" s="26">
        <f t="shared" si="15"/>
        <v>68.292682926829272</v>
      </c>
      <c r="AW70" s="10">
        <f t="shared" si="16"/>
        <v>27</v>
      </c>
      <c r="AX70" s="10">
        <f t="shared" si="16"/>
        <v>16</v>
      </c>
      <c r="AY70" s="26">
        <f t="shared" si="17"/>
        <v>59.259259259259252</v>
      </c>
      <c r="AZ70" s="10">
        <f t="shared" si="18"/>
        <v>68</v>
      </c>
      <c r="BA70" s="10">
        <f t="shared" si="18"/>
        <v>44</v>
      </c>
      <c r="BB70" s="27">
        <f t="shared" si="19"/>
        <v>64.705882352941174</v>
      </c>
    </row>
    <row r="71" spans="1:54">
      <c r="A71" s="12">
        <v>65</v>
      </c>
      <c r="B71" s="13">
        <v>1230321064</v>
      </c>
      <c r="C71" s="14" t="s">
        <v>102</v>
      </c>
      <c r="D71" s="39">
        <v>4</v>
      </c>
      <c r="E71" s="39">
        <v>1</v>
      </c>
      <c r="F71" s="39">
        <f t="shared" ref="F71:F83" si="20">E71/D71*100</f>
        <v>25</v>
      </c>
      <c r="G71" s="39">
        <v>2</v>
      </c>
      <c r="H71" s="39">
        <v>1</v>
      </c>
      <c r="I71" s="39">
        <f t="shared" ref="I71:I83" si="21">H71/G71*100</f>
        <v>50</v>
      </c>
      <c r="J71" s="40">
        <v>7</v>
      </c>
      <c r="K71" s="40">
        <v>3</v>
      </c>
      <c r="L71" s="41">
        <f t="shared" ref="L71:L83" si="22">K71/J71*100</f>
        <v>42.857142857142854</v>
      </c>
      <c r="M71" s="42">
        <v>7</v>
      </c>
      <c r="N71" s="40">
        <v>3</v>
      </c>
      <c r="O71" s="41">
        <f t="shared" ref="O71:O83" si="23">N71/M71*100</f>
        <v>42.857142857142854</v>
      </c>
      <c r="P71" s="40">
        <v>7</v>
      </c>
      <c r="Q71" s="40">
        <v>5</v>
      </c>
      <c r="R71" s="41">
        <f t="shared" ref="R71:R83" si="24">Q71/P71*100</f>
        <v>71.428571428571431</v>
      </c>
      <c r="S71" s="42">
        <v>3</v>
      </c>
      <c r="T71" s="40">
        <v>2</v>
      </c>
      <c r="U71" s="41">
        <f t="shared" ref="U71:U83" si="25">T71/S71*100</f>
        <v>66.666666666666657</v>
      </c>
      <c r="V71" s="39">
        <v>4</v>
      </c>
      <c r="W71" s="39">
        <v>2</v>
      </c>
      <c r="X71" s="41">
        <f t="shared" ref="X71:X83" si="26">W71/V71*100</f>
        <v>50</v>
      </c>
      <c r="Y71" s="42">
        <v>2</v>
      </c>
      <c r="Z71" s="40">
        <v>1</v>
      </c>
      <c r="AA71" s="41">
        <f t="shared" ref="AA71:AA83" si="27">Z71/Y71*100</f>
        <v>50</v>
      </c>
      <c r="AB71" s="40">
        <v>4</v>
      </c>
      <c r="AC71" s="40">
        <v>4</v>
      </c>
      <c r="AD71" s="41">
        <f t="shared" ref="AD71:AD83" si="28">AC71/AB71*100</f>
        <v>100</v>
      </c>
      <c r="AE71" s="42">
        <v>4</v>
      </c>
      <c r="AF71" s="40">
        <v>2</v>
      </c>
      <c r="AG71" s="41">
        <f t="shared" ref="AG71:AG83" si="29">AF71/AE71*100</f>
        <v>50</v>
      </c>
      <c r="AH71" s="40">
        <v>8</v>
      </c>
      <c r="AI71" s="40">
        <v>4</v>
      </c>
      <c r="AJ71" s="41">
        <f t="shared" ref="AJ71:AJ83" si="30">AI71/AH71*100</f>
        <v>50</v>
      </c>
      <c r="AK71" s="42">
        <v>5</v>
      </c>
      <c r="AL71" s="40">
        <v>4</v>
      </c>
      <c r="AM71" s="41">
        <f t="shared" ref="AM71:AM83" si="31">AL71/AK71*100</f>
        <v>80</v>
      </c>
      <c r="AN71" s="42">
        <v>7</v>
      </c>
      <c r="AO71" s="40">
        <v>4</v>
      </c>
      <c r="AP71" s="41">
        <f t="shared" ref="AP71:AP83" si="32">AO71/AN71*100</f>
        <v>57.142857142857139</v>
      </c>
      <c r="AQ71" s="40">
        <v>4</v>
      </c>
      <c r="AR71" s="40">
        <v>2</v>
      </c>
      <c r="AS71" s="41">
        <f t="shared" ref="AS71:AS83" si="33">AR71/AQ71*100</f>
        <v>50</v>
      </c>
      <c r="AT71" s="10">
        <f t="shared" si="14"/>
        <v>41</v>
      </c>
      <c r="AU71" s="10">
        <f t="shared" si="14"/>
        <v>23</v>
      </c>
      <c r="AV71" s="26">
        <f t="shared" si="15"/>
        <v>56.09756097560976</v>
      </c>
      <c r="AW71" s="10">
        <f t="shared" si="16"/>
        <v>27</v>
      </c>
      <c r="AX71" s="10">
        <f t="shared" si="16"/>
        <v>15</v>
      </c>
      <c r="AY71" s="26">
        <f t="shared" si="17"/>
        <v>55.555555555555557</v>
      </c>
      <c r="AZ71" s="10">
        <f t="shared" si="18"/>
        <v>68</v>
      </c>
      <c r="BA71" s="10">
        <f t="shared" si="18"/>
        <v>38</v>
      </c>
      <c r="BB71" s="27">
        <f t="shared" si="19"/>
        <v>55.882352941176471</v>
      </c>
    </row>
    <row r="72" spans="1:54">
      <c r="A72" s="12">
        <v>66</v>
      </c>
      <c r="B72" s="13">
        <v>1230321065</v>
      </c>
      <c r="C72" s="14" t="s">
        <v>85</v>
      </c>
      <c r="D72" s="39">
        <v>4</v>
      </c>
      <c r="E72" s="39">
        <v>2</v>
      </c>
      <c r="F72" s="39">
        <f t="shared" si="20"/>
        <v>50</v>
      </c>
      <c r="G72" s="39">
        <v>2</v>
      </c>
      <c r="H72" s="39">
        <v>1</v>
      </c>
      <c r="I72" s="39">
        <f t="shared" si="21"/>
        <v>50</v>
      </c>
      <c r="J72" s="40">
        <v>7</v>
      </c>
      <c r="K72" s="40">
        <v>2</v>
      </c>
      <c r="L72" s="41">
        <f t="shared" si="22"/>
        <v>28.571428571428569</v>
      </c>
      <c r="M72" s="42">
        <v>7</v>
      </c>
      <c r="N72" s="40">
        <v>3</v>
      </c>
      <c r="O72" s="41">
        <f t="shared" si="23"/>
        <v>42.857142857142854</v>
      </c>
      <c r="P72" s="40">
        <v>7</v>
      </c>
      <c r="Q72" s="40">
        <v>6</v>
      </c>
      <c r="R72" s="41">
        <f t="shared" si="24"/>
        <v>85.714285714285708</v>
      </c>
      <c r="S72" s="42">
        <v>3</v>
      </c>
      <c r="T72" s="40">
        <v>2</v>
      </c>
      <c r="U72" s="41">
        <f t="shared" si="25"/>
        <v>66.666666666666657</v>
      </c>
      <c r="V72" s="39">
        <v>4</v>
      </c>
      <c r="W72" s="39">
        <v>3</v>
      </c>
      <c r="X72" s="41">
        <f t="shared" si="26"/>
        <v>75</v>
      </c>
      <c r="Y72" s="42">
        <v>2</v>
      </c>
      <c r="Z72" s="40">
        <v>1</v>
      </c>
      <c r="AA72" s="41">
        <f t="shared" si="27"/>
        <v>50</v>
      </c>
      <c r="AB72" s="40">
        <v>4</v>
      </c>
      <c r="AC72" s="40">
        <v>0</v>
      </c>
      <c r="AD72" s="41">
        <f t="shared" si="28"/>
        <v>0</v>
      </c>
      <c r="AE72" s="42">
        <v>4</v>
      </c>
      <c r="AF72" s="40">
        <v>0</v>
      </c>
      <c r="AG72" s="41">
        <f t="shared" si="29"/>
        <v>0</v>
      </c>
      <c r="AH72" s="40">
        <v>8</v>
      </c>
      <c r="AI72" s="40">
        <v>1</v>
      </c>
      <c r="AJ72" s="41">
        <f t="shared" si="30"/>
        <v>12.5</v>
      </c>
      <c r="AK72" s="42">
        <v>5</v>
      </c>
      <c r="AL72" s="40">
        <v>3</v>
      </c>
      <c r="AM72" s="41">
        <f t="shared" si="31"/>
        <v>60</v>
      </c>
      <c r="AN72" s="42">
        <v>7</v>
      </c>
      <c r="AO72" s="40">
        <v>5</v>
      </c>
      <c r="AP72" s="41">
        <f t="shared" si="32"/>
        <v>71.428571428571431</v>
      </c>
      <c r="AQ72" s="40">
        <v>4</v>
      </c>
      <c r="AR72" s="40">
        <v>2</v>
      </c>
      <c r="AS72" s="41">
        <f t="shared" si="33"/>
        <v>50</v>
      </c>
      <c r="AT72" s="10">
        <f t="shared" ref="AT72:AU83" si="34">SUM(D72,J72,P72,V72,AB72,AH72,AN72)</f>
        <v>41</v>
      </c>
      <c r="AU72" s="10">
        <f t="shared" si="34"/>
        <v>19</v>
      </c>
      <c r="AV72" s="26">
        <f t="shared" ref="AV72:AV83" si="35">AU72/AT72*100</f>
        <v>46.341463414634148</v>
      </c>
      <c r="AW72" s="10">
        <f t="shared" ref="AW72:AX83" si="36">SUM(G72,M72,S72,Y72,AE72,AK72,AQ72)</f>
        <v>27</v>
      </c>
      <c r="AX72" s="10">
        <f t="shared" si="36"/>
        <v>12</v>
      </c>
      <c r="AY72" s="26">
        <f t="shared" ref="AY72:AY83" si="37">AX72/AW72*100</f>
        <v>44.444444444444443</v>
      </c>
      <c r="AZ72" s="10">
        <f t="shared" ref="AZ72:BA83" si="38">SUM(AT72,AW72)</f>
        <v>68</v>
      </c>
      <c r="BA72" s="10">
        <f t="shared" si="38"/>
        <v>31</v>
      </c>
      <c r="BB72" s="27">
        <f t="shared" ref="BB72:BB83" si="39">BA72/AZ72*100</f>
        <v>45.588235294117645</v>
      </c>
    </row>
    <row r="73" spans="1:54">
      <c r="A73" s="12">
        <v>67</v>
      </c>
      <c r="B73" s="13">
        <v>1230321066</v>
      </c>
      <c r="C73" s="14" t="s">
        <v>86</v>
      </c>
      <c r="D73" s="39">
        <v>4</v>
      </c>
      <c r="E73" s="39">
        <v>2</v>
      </c>
      <c r="F73" s="39">
        <f t="shared" si="20"/>
        <v>50</v>
      </c>
      <c r="G73" s="39">
        <v>2</v>
      </c>
      <c r="H73" s="39">
        <v>0</v>
      </c>
      <c r="I73" s="39">
        <f t="shared" si="21"/>
        <v>0</v>
      </c>
      <c r="J73" s="40">
        <v>7</v>
      </c>
      <c r="K73" s="40">
        <v>4</v>
      </c>
      <c r="L73" s="41">
        <f t="shared" si="22"/>
        <v>57.142857142857139</v>
      </c>
      <c r="M73" s="42">
        <v>7</v>
      </c>
      <c r="N73" s="40">
        <v>2</v>
      </c>
      <c r="O73" s="41">
        <f t="shared" si="23"/>
        <v>28.571428571428569</v>
      </c>
      <c r="P73" s="40">
        <v>7</v>
      </c>
      <c r="Q73" s="40">
        <v>5</v>
      </c>
      <c r="R73" s="41">
        <f t="shared" si="24"/>
        <v>71.428571428571431</v>
      </c>
      <c r="S73" s="42">
        <v>3</v>
      </c>
      <c r="T73" s="40">
        <v>2</v>
      </c>
      <c r="U73" s="41">
        <f t="shared" si="25"/>
        <v>66.666666666666657</v>
      </c>
      <c r="V73" s="39">
        <v>4</v>
      </c>
      <c r="W73" s="39">
        <v>3</v>
      </c>
      <c r="X73" s="41">
        <f t="shared" si="26"/>
        <v>75</v>
      </c>
      <c r="Y73" s="42">
        <v>2</v>
      </c>
      <c r="Z73" s="40">
        <v>0</v>
      </c>
      <c r="AA73" s="41">
        <f t="shared" si="27"/>
        <v>0</v>
      </c>
      <c r="AB73" s="40">
        <v>4</v>
      </c>
      <c r="AC73" s="40">
        <v>1</v>
      </c>
      <c r="AD73" s="41">
        <f t="shared" si="28"/>
        <v>25</v>
      </c>
      <c r="AE73" s="42">
        <v>4</v>
      </c>
      <c r="AF73" s="40">
        <v>1</v>
      </c>
      <c r="AG73" s="41">
        <f t="shared" si="29"/>
        <v>25</v>
      </c>
      <c r="AH73" s="40">
        <v>8</v>
      </c>
      <c r="AI73" s="40">
        <v>4</v>
      </c>
      <c r="AJ73" s="41">
        <f t="shared" si="30"/>
        <v>50</v>
      </c>
      <c r="AK73" s="42">
        <v>4</v>
      </c>
      <c r="AL73" s="40">
        <v>4</v>
      </c>
      <c r="AM73" s="41">
        <f t="shared" si="31"/>
        <v>100</v>
      </c>
      <c r="AN73" s="42">
        <v>7</v>
      </c>
      <c r="AO73" s="40">
        <v>7</v>
      </c>
      <c r="AP73" s="41">
        <f t="shared" si="32"/>
        <v>100</v>
      </c>
      <c r="AQ73" s="40">
        <v>4</v>
      </c>
      <c r="AR73" s="40">
        <v>3</v>
      </c>
      <c r="AS73" s="41">
        <f t="shared" si="33"/>
        <v>75</v>
      </c>
      <c r="AT73" s="10">
        <f t="shared" si="34"/>
        <v>41</v>
      </c>
      <c r="AU73" s="10">
        <f t="shared" si="34"/>
        <v>26</v>
      </c>
      <c r="AV73" s="26">
        <f t="shared" si="35"/>
        <v>63.414634146341463</v>
      </c>
      <c r="AW73" s="10">
        <f t="shared" si="36"/>
        <v>26</v>
      </c>
      <c r="AX73" s="10">
        <f t="shared" si="36"/>
        <v>12</v>
      </c>
      <c r="AY73" s="26">
        <f t="shared" si="37"/>
        <v>46.153846153846153</v>
      </c>
      <c r="AZ73" s="10">
        <f t="shared" si="38"/>
        <v>67</v>
      </c>
      <c r="BA73" s="10">
        <f t="shared" si="38"/>
        <v>38</v>
      </c>
      <c r="BB73" s="27">
        <f t="shared" si="39"/>
        <v>56.71641791044776</v>
      </c>
    </row>
    <row r="74" spans="1:54">
      <c r="A74" s="12">
        <v>68</v>
      </c>
      <c r="B74" s="13">
        <v>1230321067</v>
      </c>
      <c r="C74" s="14" t="s">
        <v>87</v>
      </c>
      <c r="D74" s="39">
        <v>4</v>
      </c>
      <c r="E74" s="39">
        <v>3</v>
      </c>
      <c r="F74" s="39">
        <f t="shared" si="20"/>
        <v>75</v>
      </c>
      <c r="G74" s="39">
        <v>2</v>
      </c>
      <c r="H74" s="39">
        <v>0</v>
      </c>
      <c r="I74" s="39">
        <f t="shared" si="21"/>
        <v>0</v>
      </c>
      <c r="J74" s="40">
        <v>7</v>
      </c>
      <c r="K74" s="40">
        <v>5</v>
      </c>
      <c r="L74" s="41">
        <f t="shared" si="22"/>
        <v>71.428571428571431</v>
      </c>
      <c r="M74" s="42">
        <v>7</v>
      </c>
      <c r="N74" s="40">
        <v>4</v>
      </c>
      <c r="O74" s="41">
        <f t="shared" si="23"/>
        <v>57.142857142857139</v>
      </c>
      <c r="P74" s="40">
        <v>7</v>
      </c>
      <c r="Q74" s="40">
        <v>5</v>
      </c>
      <c r="R74" s="41">
        <f t="shared" si="24"/>
        <v>71.428571428571431</v>
      </c>
      <c r="S74" s="42">
        <v>3</v>
      </c>
      <c r="T74" s="40">
        <v>2</v>
      </c>
      <c r="U74" s="41">
        <f t="shared" si="25"/>
        <v>66.666666666666657</v>
      </c>
      <c r="V74" s="39">
        <v>4</v>
      </c>
      <c r="W74" s="39">
        <v>3</v>
      </c>
      <c r="X74" s="41">
        <f t="shared" si="26"/>
        <v>75</v>
      </c>
      <c r="Y74" s="42">
        <v>2</v>
      </c>
      <c r="Z74" s="40">
        <v>2</v>
      </c>
      <c r="AA74" s="41">
        <f t="shared" si="27"/>
        <v>100</v>
      </c>
      <c r="AB74" s="40">
        <v>4</v>
      </c>
      <c r="AC74" s="40">
        <v>3</v>
      </c>
      <c r="AD74" s="41">
        <f t="shared" si="28"/>
        <v>75</v>
      </c>
      <c r="AE74" s="42">
        <v>4</v>
      </c>
      <c r="AF74" s="40">
        <v>4</v>
      </c>
      <c r="AG74" s="41">
        <f t="shared" si="29"/>
        <v>100</v>
      </c>
      <c r="AH74" s="40">
        <v>8</v>
      </c>
      <c r="AI74" s="40">
        <v>6</v>
      </c>
      <c r="AJ74" s="41">
        <f t="shared" si="30"/>
        <v>75</v>
      </c>
      <c r="AK74" s="42">
        <v>5</v>
      </c>
      <c r="AL74" s="40">
        <v>4</v>
      </c>
      <c r="AM74" s="41">
        <f t="shared" si="31"/>
        <v>80</v>
      </c>
      <c r="AN74" s="42">
        <v>7</v>
      </c>
      <c r="AO74" s="40">
        <v>7</v>
      </c>
      <c r="AP74" s="41">
        <f t="shared" si="32"/>
        <v>100</v>
      </c>
      <c r="AQ74" s="40">
        <v>4</v>
      </c>
      <c r="AR74" s="40">
        <v>4</v>
      </c>
      <c r="AS74" s="41">
        <f t="shared" si="33"/>
        <v>100</v>
      </c>
      <c r="AT74" s="10">
        <f t="shared" si="34"/>
        <v>41</v>
      </c>
      <c r="AU74" s="10">
        <f t="shared" si="34"/>
        <v>32</v>
      </c>
      <c r="AV74" s="26">
        <f t="shared" si="35"/>
        <v>78.048780487804876</v>
      </c>
      <c r="AW74" s="10">
        <f t="shared" si="36"/>
        <v>27</v>
      </c>
      <c r="AX74" s="10">
        <f t="shared" si="36"/>
        <v>20</v>
      </c>
      <c r="AY74" s="26">
        <f t="shared" si="37"/>
        <v>74.074074074074076</v>
      </c>
      <c r="AZ74" s="10">
        <f t="shared" si="38"/>
        <v>68</v>
      </c>
      <c r="BA74" s="10">
        <f t="shared" si="38"/>
        <v>52</v>
      </c>
      <c r="BB74" s="27">
        <f t="shared" si="39"/>
        <v>76.470588235294116</v>
      </c>
    </row>
    <row r="75" spans="1:54">
      <c r="A75" s="12">
        <v>69</v>
      </c>
      <c r="B75" s="13">
        <v>1230321068</v>
      </c>
      <c r="C75" s="14" t="s">
        <v>88</v>
      </c>
      <c r="D75" s="39">
        <v>4</v>
      </c>
      <c r="E75" s="39">
        <v>2</v>
      </c>
      <c r="F75" s="39">
        <f t="shared" si="20"/>
        <v>50</v>
      </c>
      <c r="G75" s="39">
        <v>2</v>
      </c>
      <c r="H75" s="39">
        <v>1</v>
      </c>
      <c r="I75" s="39">
        <f t="shared" si="21"/>
        <v>50</v>
      </c>
      <c r="J75" s="40">
        <v>7</v>
      </c>
      <c r="K75" s="40">
        <v>4</v>
      </c>
      <c r="L75" s="41">
        <f t="shared" si="22"/>
        <v>57.142857142857139</v>
      </c>
      <c r="M75" s="42">
        <v>7</v>
      </c>
      <c r="N75" s="40">
        <v>3</v>
      </c>
      <c r="O75" s="41">
        <f t="shared" si="23"/>
        <v>42.857142857142854</v>
      </c>
      <c r="P75" s="40">
        <v>7</v>
      </c>
      <c r="Q75" s="40">
        <v>4</v>
      </c>
      <c r="R75" s="41">
        <f t="shared" si="24"/>
        <v>57.142857142857139</v>
      </c>
      <c r="S75" s="42">
        <v>3</v>
      </c>
      <c r="T75" s="40">
        <v>2</v>
      </c>
      <c r="U75" s="41">
        <f t="shared" si="25"/>
        <v>66.666666666666657</v>
      </c>
      <c r="V75" s="39">
        <v>4</v>
      </c>
      <c r="W75" s="39">
        <v>3</v>
      </c>
      <c r="X75" s="41">
        <f t="shared" si="26"/>
        <v>75</v>
      </c>
      <c r="Y75" s="42">
        <v>2</v>
      </c>
      <c r="Z75" s="40">
        <v>1</v>
      </c>
      <c r="AA75" s="41">
        <f t="shared" si="27"/>
        <v>50</v>
      </c>
      <c r="AB75" s="40">
        <v>4</v>
      </c>
      <c r="AC75" s="40">
        <v>4</v>
      </c>
      <c r="AD75" s="41">
        <f t="shared" si="28"/>
        <v>100</v>
      </c>
      <c r="AE75" s="42">
        <v>4</v>
      </c>
      <c r="AF75" s="40">
        <v>3</v>
      </c>
      <c r="AG75" s="41">
        <f t="shared" si="29"/>
        <v>75</v>
      </c>
      <c r="AH75" s="40">
        <v>8</v>
      </c>
      <c r="AI75" s="40">
        <v>4</v>
      </c>
      <c r="AJ75" s="41">
        <f t="shared" si="30"/>
        <v>50</v>
      </c>
      <c r="AK75" s="42">
        <v>5</v>
      </c>
      <c r="AL75" s="40">
        <v>4</v>
      </c>
      <c r="AM75" s="41">
        <f t="shared" si="31"/>
        <v>80</v>
      </c>
      <c r="AN75" s="42">
        <v>7</v>
      </c>
      <c r="AO75" s="40">
        <v>5</v>
      </c>
      <c r="AP75" s="41">
        <f t="shared" si="32"/>
        <v>71.428571428571431</v>
      </c>
      <c r="AQ75" s="40">
        <v>4</v>
      </c>
      <c r="AR75" s="40">
        <v>3</v>
      </c>
      <c r="AS75" s="41">
        <f t="shared" si="33"/>
        <v>75</v>
      </c>
      <c r="AT75" s="10">
        <f t="shared" si="34"/>
        <v>41</v>
      </c>
      <c r="AU75" s="10">
        <f t="shared" si="34"/>
        <v>26</v>
      </c>
      <c r="AV75" s="26">
        <f t="shared" si="35"/>
        <v>63.414634146341463</v>
      </c>
      <c r="AW75" s="10">
        <f t="shared" si="36"/>
        <v>27</v>
      </c>
      <c r="AX75" s="10">
        <f t="shared" si="36"/>
        <v>17</v>
      </c>
      <c r="AY75" s="26">
        <f t="shared" si="37"/>
        <v>62.962962962962962</v>
      </c>
      <c r="AZ75" s="10">
        <f t="shared" si="38"/>
        <v>68</v>
      </c>
      <c r="BA75" s="10">
        <f t="shared" si="38"/>
        <v>43</v>
      </c>
      <c r="BB75" s="27">
        <f t="shared" si="39"/>
        <v>63.235294117647058</v>
      </c>
    </row>
    <row r="76" spans="1:54">
      <c r="A76" s="12">
        <v>70</v>
      </c>
      <c r="B76" s="13">
        <v>1230321069</v>
      </c>
      <c r="C76" s="14" t="s">
        <v>89</v>
      </c>
      <c r="D76" s="39">
        <v>4</v>
      </c>
      <c r="E76" s="39">
        <v>2</v>
      </c>
      <c r="F76" s="39">
        <f t="shared" si="20"/>
        <v>50</v>
      </c>
      <c r="G76" s="39">
        <v>2</v>
      </c>
      <c r="H76" s="39">
        <v>0</v>
      </c>
      <c r="I76" s="39">
        <f t="shared" si="21"/>
        <v>0</v>
      </c>
      <c r="J76" s="40">
        <v>7</v>
      </c>
      <c r="K76" s="40">
        <v>4</v>
      </c>
      <c r="L76" s="41">
        <f t="shared" si="22"/>
        <v>57.142857142857139</v>
      </c>
      <c r="M76" s="42">
        <v>7</v>
      </c>
      <c r="N76" s="40">
        <v>5</v>
      </c>
      <c r="O76" s="41">
        <f t="shared" si="23"/>
        <v>71.428571428571431</v>
      </c>
      <c r="P76" s="40">
        <v>7</v>
      </c>
      <c r="Q76" s="40">
        <v>4</v>
      </c>
      <c r="R76" s="41">
        <f t="shared" si="24"/>
        <v>57.142857142857139</v>
      </c>
      <c r="S76" s="42">
        <v>3</v>
      </c>
      <c r="T76" s="40">
        <v>2</v>
      </c>
      <c r="U76" s="41">
        <f t="shared" si="25"/>
        <v>66.666666666666657</v>
      </c>
      <c r="V76" s="39">
        <v>4</v>
      </c>
      <c r="W76" s="39">
        <v>2</v>
      </c>
      <c r="X76" s="41">
        <f t="shared" si="26"/>
        <v>50</v>
      </c>
      <c r="Y76" s="42">
        <v>2</v>
      </c>
      <c r="Z76" s="40">
        <v>0</v>
      </c>
      <c r="AA76" s="41">
        <f t="shared" si="27"/>
        <v>0</v>
      </c>
      <c r="AB76" s="40">
        <v>4</v>
      </c>
      <c r="AC76" s="40">
        <v>3</v>
      </c>
      <c r="AD76" s="41">
        <f t="shared" si="28"/>
        <v>75</v>
      </c>
      <c r="AE76" s="42">
        <v>4</v>
      </c>
      <c r="AF76" s="40">
        <v>2</v>
      </c>
      <c r="AG76" s="41">
        <f t="shared" si="29"/>
        <v>50</v>
      </c>
      <c r="AH76" s="40">
        <v>8</v>
      </c>
      <c r="AI76" s="40">
        <v>5</v>
      </c>
      <c r="AJ76" s="41">
        <f t="shared" si="30"/>
        <v>62.5</v>
      </c>
      <c r="AK76" s="42">
        <v>5</v>
      </c>
      <c r="AL76" s="40">
        <v>4</v>
      </c>
      <c r="AM76" s="41">
        <f t="shared" si="31"/>
        <v>80</v>
      </c>
      <c r="AN76" s="42">
        <v>7</v>
      </c>
      <c r="AO76" s="40">
        <v>5</v>
      </c>
      <c r="AP76" s="41">
        <f t="shared" si="32"/>
        <v>71.428571428571431</v>
      </c>
      <c r="AQ76" s="40">
        <v>4</v>
      </c>
      <c r="AR76" s="40">
        <v>2</v>
      </c>
      <c r="AS76" s="41">
        <f t="shared" si="33"/>
        <v>50</v>
      </c>
      <c r="AT76" s="10">
        <f t="shared" si="34"/>
        <v>41</v>
      </c>
      <c r="AU76" s="10">
        <f t="shared" si="34"/>
        <v>25</v>
      </c>
      <c r="AV76" s="26">
        <f t="shared" si="35"/>
        <v>60.975609756097562</v>
      </c>
      <c r="AW76" s="10">
        <f t="shared" si="36"/>
        <v>27</v>
      </c>
      <c r="AX76" s="10">
        <f t="shared" si="36"/>
        <v>15</v>
      </c>
      <c r="AY76" s="26">
        <f t="shared" si="37"/>
        <v>55.555555555555557</v>
      </c>
      <c r="AZ76" s="10">
        <f t="shared" si="38"/>
        <v>68</v>
      </c>
      <c r="BA76" s="10">
        <f t="shared" si="38"/>
        <v>40</v>
      </c>
      <c r="BB76" s="27">
        <f t="shared" si="39"/>
        <v>58.82352941176471</v>
      </c>
    </row>
    <row r="77" spans="1:54">
      <c r="A77" s="12">
        <v>71</v>
      </c>
      <c r="B77" s="13">
        <v>1230321070</v>
      </c>
      <c r="C77" s="14" t="s">
        <v>90</v>
      </c>
      <c r="D77" s="39">
        <v>4</v>
      </c>
      <c r="E77" s="39">
        <v>1</v>
      </c>
      <c r="F77" s="39">
        <f t="shared" si="20"/>
        <v>25</v>
      </c>
      <c r="G77" s="39">
        <v>2</v>
      </c>
      <c r="H77" s="39">
        <v>0</v>
      </c>
      <c r="I77" s="39">
        <f t="shared" si="21"/>
        <v>0</v>
      </c>
      <c r="J77" s="40">
        <v>7</v>
      </c>
      <c r="K77" s="40">
        <v>3</v>
      </c>
      <c r="L77" s="41">
        <f t="shared" si="22"/>
        <v>42.857142857142854</v>
      </c>
      <c r="M77" s="42">
        <v>7</v>
      </c>
      <c r="N77" s="40">
        <v>0</v>
      </c>
      <c r="O77" s="41">
        <f t="shared" si="23"/>
        <v>0</v>
      </c>
      <c r="P77" s="40">
        <v>7</v>
      </c>
      <c r="Q77" s="40">
        <v>5</v>
      </c>
      <c r="R77" s="41">
        <f t="shared" si="24"/>
        <v>71.428571428571431</v>
      </c>
      <c r="S77" s="42">
        <v>3</v>
      </c>
      <c r="T77" s="40">
        <v>0</v>
      </c>
      <c r="U77" s="41">
        <f t="shared" si="25"/>
        <v>0</v>
      </c>
      <c r="V77" s="39">
        <v>4</v>
      </c>
      <c r="W77" s="39">
        <v>2</v>
      </c>
      <c r="X77" s="41">
        <f t="shared" si="26"/>
        <v>50</v>
      </c>
      <c r="Y77" s="42">
        <v>2</v>
      </c>
      <c r="Z77" s="40">
        <v>0</v>
      </c>
      <c r="AA77" s="41">
        <f t="shared" si="27"/>
        <v>0</v>
      </c>
      <c r="AB77" s="40">
        <v>4</v>
      </c>
      <c r="AC77" s="40">
        <v>3</v>
      </c>
      <c r="AD77" s="41">
        <f t="shared" si="28"/>
        <v>75</v>
      </c>
      <c r="AE77" s="42">
        <v>4</v>
      </c>
      <c r="AF77" s="40">
        <v>0</v>
      </c>
      <c r="AG77" s="41">
        <f t="shared" si="29"/>
        <v>0</v>
      </c>
      <c r="AH77" s="40">
        <v>8</v>
      </c>
      <c r="AI77" s="40">
        <v>4</v>
      </c>
      <c r="AJ77" s="41">
        <f t="shared" si="30"/>
        <v>50</v>
      </c>
      <c r="AK77" s="42">
        <v>5</v>
      </c>
      <c r="AL77" s="40">
        <v>2</v>
      </c>
      <c r="AM77" s="41">
        <f t="shared" si="31"/>
        <v>40</v>
      </c>
      <c r="AN77" s="42">
        <v>7</v>
      </c>
      <c r="AO77" s="40">
        <v>5</v>
      </c>
      <c r="AP77" s="41">
        <f t="shared" si="32"/>
        <v>71.428571428571431</v>
      </c>
      <c r="AQ77" s="40">
        <v>4</v>
      </c>
      <c r="AR77" s="40">
        <v>3</v>
      </c>
      <c r="AS77" s="41">
        <f t="shared" si="33"/>
        <v>75</v>
      </c>
      <c r="AT77" s="10">
        <f t="shared" si="34"/>
        <v>41</v>
      </c>
      <c r="AU77" s="10">
        <f t="shared" si="34"/>
        <v>23</v>
      </c>
      <c r="AV77" s="26">
        <f t="shared" si="35"/>
        <v>56.09756097560976</v>
      </c>
      <c r="AW77" s="10">
        <f t="shared" si="36"/>
        <v>27</v>
      </c>
      <c r="AX77" s="10">
        <f t="shared" si="36"/>
        <v>5</v>
      </c>
      <c r="AY77" s="26">
        <f t="shared" si="37"/>
        <v>18.518518518518519</v>
      </c>
      <c r="AZ77" s="10">
        <f t="shared" si="38"/>
        <v>68</v>
      </c>
      <c r="BA77" s="10">
        <f t="shared" si="38"/>
        <v>28</v>
      </c>
      <c r="BB77" s="27">
        <f t="shared" si="39"/>
        <v>41.17647058823529</v>
      </c>
    </row>
    <row r="78" spans="1:54">
      <c r="A78" s="12">
        <v>72</v>
      </c>
      <c r="B78" s="13">
        <v>1230321071</v>
      </c>
      <c r="C78" s="14" t="s">
        <v>91</v>
      </c>
      <c r="D78" s="39">
        <v>4</v>
      </c>
      <c r="E78" s="39">
        <v>0</v>
      </c>
      <c r="F78" s="39">
        <f t="shared" si="20"/>
        <v>0</v>
      </c>
      <c r="G78" s="39">
        <v>2</v>
      </c>
      <c r="H78" s="39">
        <v>1</v>
      </c>
      <c r="I78" s="39">
        <f t="shared" si="21"/>
        <v>50</v>
      </c>
      <c r="J78" s="40">
        <v>7</v>
      </c>
      <c r="K78" s="40">
        <v>3</v>
      </c>
      <c r="L78" s="41">
        <f t="shared" si="22"/>
        <v>42.857142857142854</v>
      </c>
      <c r="M78" s="42">
        <v>7</v>
      </c>
      <c r="N78" s="40">
        <v>3</v>
      </c>
      <c r="O78" s="41">
        <f t="shared" si="23"/>
        <v>42.857142857142854</v>
      </c>
      <c r="P78" s="40">
        <v>7</v>
      </c>
      <c r="Q78" s="40">
        <v>4</v>
      </c>
      <c r="R78" s="41">
        <f t="shared" si="24"/>
        <v>57.142857142857139</v>
      </c>
      <c r="S78" s="42">
        <v>3</v>
      </c>
      <c r="T78" s="40">
        <v>2</v>
      </c>
      <c r="U78" s="41">
        <f t="shared" si="25"/>
        <v>66.666666666666657</v>
      </c>
      <c r="V78" s="39">
        <v>4</v>
      </c>
      <c r="W78" s="39">
        <v>1</v>
      </c>
      <c r="X78" s="41">
        <f t="shared" si="26"/>
        <v>25</v>
      </c>
      <c r="Y78" s="42">
        <v>2</v>
      </c>
      <c r="Z78" s="40">
        <v>0</v>
      </c>
      <c r="AA78" s="41">
        <f t="shared" si="27"/>
        <v>0</v>
      </c>
      <c r="AB78" s="40">
        <v>4</v>
      </c>
      <c r="AC78" s="40">
        <v>3</v>
      </c>
      <c r="AD78" s="41">
        <f t="shared" si="28"/>
        <v>75</v>
      </c>
      <c r="AE78" s="42">
        <v>4</v>
      </c>
      <c r="AF78" s="40">
        <v>2</v>
      </c>
      <c r="AG78" s="41">
        <f t="shared" si="29"/>
        <v>50</v>
      </c>
      <c r="AH78" s="40">
        <v>8</v>
      </c>
      <c r="AI78" s="40">
        <v>5</v>
      </c>
      <c r="AJ78" s="41">
        <f t="shared" si="30"/>
        <v>62.5</v>
      </c>
      <c r="AK78" s="42">
        <v>5</v>
      </c>
      <c r="AL78" s="40">
        <v>4</v>
      </c>
      <c r="AM78" s="41">
        <f t="shared" si="31"/>
        <v>80</v>
      </c>
      <c r="AN78" s="42">
        <v>7</v>
      </c>
      <c r="AO78" s="40">
        <v>3</v>
      </c>
      <c r="AP78" s="41">
        <f t="shared" si="32"/>
        <v>42.857142857142854</v>
      </c>
      <c r="AQ78" s="40">
        <v>4</v>
      </c>
      <c r="AR78" s="40">
        <v>2</v>
      </c>
      <c r="AS78" s="41">
        <f t="shared" si="33"/>
        <v>50</v>
      </c>
      <c r="AT78" s="10">
        <f t="shared" si="34"/>
        <v>41</v>
      </c>
      <c r="AU78" s="10">
        <f t="shared" si="34"/>
        <v>19</v>
      </c>
      <c r="AV78" s="26">
        <f t="shared" si="35"/>
        <v>46.341463414634148</v>
      </c>
      <c r="AW78" s="10">
        <f t="shared" si="36"/>
        <v>27</v>
      </c>
      <c r="AX78" s="10">
        <f t="shared" si="36"/>
        <v>14</v>
      </c>
      <c r="AY78" s="26">
        <f t="shared" si="37"/>
        <v>51.851851851851848</v>
      </c>
      <c r="AZ78" s="10">
        <f t="shared" si="38"/>
        <v>68</v>
      </c>
      <c r="BA78" s="10">
        <f t="shared" si="38"/>
        <v>33</v>
      </c>
      <c r="BB78" s="27">
        <f t="shared" si="39"/>
        <v>48.529411764705884</v>
      </c>
    </row>
    <row r="79" spans="1:54">
      <c r="A79" s="12">
        <v>73</v>
      </c>
      <c r="B79" s="13">
        <v>1230321072</v>
      </c>
      <c r="C79" s="14" t="s">
        <v>92</v>
      </c>
      <c r="D79" s="39">
        <v>4</v>
      </c>
      <c r="E79" s="39">
        <v>1</v>
      </c>
      <c r="F79" s="39">
        <f t="shared" si="20"/>
        <v>25</v>
      </c>
      <c r="G79" s="39">
        <v>2</v>
      </c>
      <c r="H79" s="39">
        <v>0</v>
      </c>
      <c r="I79" s="39">
        <f t="shared" si="21"/>
        <v>0</v>
      </c>
      <c r="J79" s="40">
        <v>7</v>
      </c>
      <c r="K79" s="40">
        <v>1</v>
      </c>
      <c r="L79" s="41">
        <f t="shared" si="22"/>
        <v>14.285714285714285</v>
      </c>
      <c r="M79" s="42">
        <v>7</v>
      </c>
      <c r="N79" s="40">
        <v>1</v>
      </c>
      <c r="O79" s="41">
        <f t="shared" si="23"/>
        <v>14.285714285714285</v>
      </c>
      <c r="P79" s="40">
        <v>7</v>
      </c>
      <c r="Q79" s="40">
        <v>4</v>
      </c>
      <c r="R79" s="41">
        <f t="shared" si="24"/>
        <v>57.142857142857139</v>
      </c>
      <c r="S79" s="42">
        <v>3</v>
      </c>
      <c r="T79" s="40">
        <v>0</v>
      </c>
      <c r="U79" s="41">
        <f t="shared" si="25"/>
        <v>0</v>
      </c>
      <c r="V79" s="39">
        <v>4</v>
      </c>
      <c r="W79" s="39">
        <v>0</v>
      </c>
      <c r="X79" s="41">
        <f t="shared" si="26"/>
        <v>0</v>
      </c>
      <c r="Y79" s="42">
        <v>2</v>
      </c>
      <c r="Z79" s="40">
        <v>2</v>
      </c>
      <c r="AA79" s="41">
        <f t="shared" si="27"/>
        <v>100</v>
      </c>
      <c r="AB79" s="40">
        <v>4</v>
      </c>
      <c r="AC79" s="40">
        <v>0</v>
      </c>
      <c r="AD79" s="41">
        <f t="shared" si="28"/>
        <v>0</v>
      </c>
      <c r="AE79" s="42">
        <v>4</v>
      </c>
      <c r="AF79" s="40">
        <v>1</v>
      </c>
      <c r="AG79" s="41">
        <f t="shared" si="29"/>
        <v>25</v>
      </c>
      <c r="AH79" s="40">
        <v>8</v>
      </c>
      <c r="AI79" s="40">
        <v>4</v>
      </c>
      <c r="AJ79" s="41">
        <f t="shared" si="30"/>
        <v>50</v>
      </c>
      <c r="AK79" s="42">
        <v>5</v>
      </c>
      <c r="AL79" s="40">
        <v>4</v>
      </c>
      <c r="AM79" s="41">
        <f t="shared" si="31"/>
        <v>80</v>
      </c>
      <c r="AN79" s="42">
        <v>7</v>
      </c>
      <c r="AO79" s="40">
        <v>6</v>
      </c>
      <c r="AP79" s="41">
        <f t="shared" si="32"/>
        <v>85.714285714285708</v>
      </c>
      <c r="AQ79" s="40">
        <v>4</v>
      </c>
      <c r="AR79" s="40">
        <v>3</v>
      </c>
      <c r="AS79" s="41">
        <f t="shared" si="33"/>
        <v>75</v>
      </c>
      <c r="AT79" s="10">
        <f t="shared" si="34"/>
        <v>41</v>
      </c>
      <c r="AU79" s="10">
        <f t="shared" si="34"/>
        <v>16</v>
      </c>
      <c r="AV79" s="26">
        <f t="shared" si="35"/>
        <v>39.024390243902438</v>
      </c>
      <c r="AW79" s="10">
        <f t="shared" si="36"/>
        <v>27</v>
      </c>
      <c r="AX79" s="10">
        <f t="shared" si="36"/>
        <v>11</v>
      </c>
      <c r="AY79" s="26">
        <f t="shared" si="37"/>
        <v>40.74074074074074</v>
      </c>
      <c r="AZ79" s="10">
        <f t="shared" si="38"/>
        <v>68</v>
      </c>
      <c r="BA79" s="10">
        <f t="shared" si="38"/>
        <v>27</v>
      </c>
      <c r="BB79" s="27">
        <f t="shared" si="39"/>
        <v>39.705882352941174</v>
      </c>
    </row>
    <row r="80" spans="1:54">
      <c r="A80" s="12">
        <v>74</v>
      </c>
      <c r="B80" s="13">
        <v>1230321073</v>
      </c>
      <c r="C80" s="14" t="s">
        <v>93</v>
      </c>
      <c r="D80" s="39">
        <v>4</v>
      </c>
      <c r="E80" s="39">
        <v>1</v>
      </c>
      <c r="F80" s="39">
        <f t="shared" si="20"/>
        <v>25</v>
      </c>
      <c r="G80" s="39">
        <v>2</v>
      </c>
      <c r="H80" s="39">
        <v>1</v>
      </c>
      <c r="I80" s="39">
        <f t="shared" si="21"/>
        <v>50</v>
      </c>
      <c r="J80" s="40">
        <v>7</v>
      </c>
      <c r="K80" s="40">
        <v>4</v>
      </c>
      <c r="L80" s="41">
        <f t="shared" si="22"/>
        <v>57.142857142857139</v>
      </c>
      <c r="M80" s="42">
        <v>7</v>
      </c>
      <c r="N80" s="40">
        <v>3</v>
      </c>
      <c r="O80" s="41">
        <f t="shared" si="23"/>
        <v>42.857142857142854</v>
      </c>
      <c r="P80" s="40">
        <v>7</v>
      </c>
      <c r="Q80" s="40">
        <v>4</v>
      </c>
      <c r="R80" s="41">
        <f t="shared" si="24"/>
        <v>57.142857142857139</v>
      </c>
      <c r="S80" s="42">
        <v>3</v>
      </c>
      <c r="T80" s="40">
        <v>2</v>
      </c>
      <c r="U80" s="41">
        <f t="shared" si="25"/>
        <v>66.666666666666657</v>
      </c>
      <c r="V80" s="39">
        <v>4</v>
      </c>
      <c r="W80" s="39">
        <v>2</v>
      </c>
      <c r="X80" s="41">
        <f t="shared" si="26"/>
        <v>50</v>
      </c>
      <c r="Y80" s="42">
        <v>2</v>
      </c>
      <c r="Z80" s="40">
        <v>1</v>
      </c>
      <c r="AA80" s="41">
        <f t="shared" si="27"/>
        <v>50</v>
      </c>
      <c r="AB80" s="40">
        <v>4</v>
      </c>
      <c r="AC80" s="40">
        <v>4</v>
      </c>
      <c r="AD80" s="41">
        <f t="shared" si="28"/>
        <v>100</v>
      </c>
      <c r="AE80" s="42">
        <v>4</v>
      </c>
      <c r="AF80" s="40">
        <v>4</v>
      </c>
      <c r="AG80" s="41">
        <f t="shared" si="29"/>
        <v>100</v>
      </c>
      <c r="AH80" s="40">
        <v>8</v>
      </c>
      <c r="AI80" s="40">
        <v>5</v>
      </c>
      <c r="AJ80" s="41">
        <f t="shared" si="30"/>
        <v>62.5</v>
      </c>
      <c r="AK80" s="42">
        <v>5</v>
      </c>
      <c r="AL80" s="40">
        <v>5</v>
      </c>
      <c r="AM80" s="41">
        <f t="shared" si="31"/>
        <v>100</v>
      </c>
      <c r="AN80" s="42">
        <v>7</v>
      </c>
      <c r="AO80" s="40">
        <v>5</v>
      </c>
      <c r="AP80" s="41">
        <f t="shared" si="32"/>
        <v>71.428571428571431</v>
      </c>
      <c r="AQ80" s="40">
        <v>4</v>
      </c>
      <c r="AR80" s="40">
        <v>3</v>
      </c>
      <c r="AS80" s="41">
        <f t="shared" si="33"/>
        <v>75</v>
      </c>
      <c r="AT80" s="10">
        <f t="shared" si="34"/>
        <v>41</v>
      </c>
      <c r="AU80" s="10">
        <f t="shared" si="34"/>
        <v>25</v>
      </c>
      <c r="AV80" s="26">
        <f t="shared" si="35"/>
        <v>60.975609756097562</v>
      </c>
      <c r="AW80" s="10">
        <f t="shared" si="36"/>
        <v>27</v>
      </c>
      <c r="AX80" s="10">
        <f t="shared" si="36"/>
        <v>19</v>
      </c>
      <c r="AY80" s="26">
        <f t="shared" si="37"/>
        <v>70.370370370370367</v>
      </c>
      <c r="AZ80" s="10">
        <f t="shared" si="38"/>
        <v>68</v>
      </c>
      <c r="BA80" s="10">
        <f t="shared" si="38"/>
        <v>44</v>
      </c>
      <c r="BB80" s="27">
        <f t="shared" si="39"/>
        <v>64.705882352941174</v>
      </c>
    </row>
    <row r="81" spans="1:54">
      <c r="A81" s="12">
        <v>75</v>
      </c>
      <c r="B81" s="13">
        <v>1230321074</v>
      </c>
      <c r="C81" s="14" t="s">
        <v>94</v>
      </c>
      <c r="D81" s="39">
        <v>4</v>
      </c>
      <c r="E81" s="39">
        <v>0</v>
      </c>
      <c r="F81" s="39">
        <f t="shared" si="20"/>
        <v>0</v>
      </c>
      <c r="G81" s="39">
        <v>2</v>
      </c>
      <c r="H81" s="39">
        <v>1</v>
      </c>
      <c r="I81" s="39">
        <f t="shared" si="21"/>
        <v>50</v>
      </c>
      <c r="J81" s="40">
        <v>7</v>
      </c>
      <c r="K81" s="40">
        <v>2</v>
      </c>
      <c r="L81" s="41">
        <f t="shared" si="22"/>
        <v>28.571428571428569</v>
      </c>
      <c r="M81" s="42">
        <v>7</v>
      </c>
      <c r="N81" s="40">
        <v>3</v>
      </c>
      <c r="O81" s="41">
        <f t="shared" si="23"/>
        <v>42.857142857142854</v>
      </c>
      <c r="P81" s="40">
        <v>7</v>
      </c>
      <c r="Q81" s="40">
        <v>4</v>
      </c>
      <c r="R81" s="41">
        <f t="shared" si="24"/>
        <v>57.142857142857139</v>
      </c>
      <c r="S81" s="42">
        <v>3</v>
      </c>
      <c r="T81" s="40">
        <v>1</v>
      </c>
      <c r="U81" s="41">
        <f t="shared" si="25"/>
        <v>33.333333333333329</v>
      </c>
      <c r="V81" s="39">
        <v>4</v>
      </c>
      <c r="W81" s="39">
        <v>2</v>
      </c>
      <c r="X81" s="41">
        <f t="shared" si="26"/>
        <v>50</v>
      </c>
      <c r="Y81" s="42">
        <v>2</v>
      </c>
      <c r="Z81" s="40">
        <v>0</v>
      </c>
      <c r="AA81" s="41">
        <f t="shared" si="27"/>
        <v>0</v>
      </c>
      <c r="AB81" s="40">
        <v>4</v>
      </c>
      <c r="AC81" s="40">
        <v>0</v>
      </c>
      <c r="AD81" s="41">
        <f t="shared" si="28"/>
        <v>0</v>
      </c>
      <c r="AE81" s="42">
        <v>4</v>
      </c>
      <c r="AF81" s="40">
        <v>1</v>
      </c>
      <c r="AG81" s="41">
        <f t="shared" si="29"/>
        <v>25</v>
      </c>
      <c r="AH81" s="40">
        <v>8</v>
      </c>
      <c r="AI81" s="40">
        <v>2</v>
      </c>
      <c r="AJ81" s="41">
        <f t="shared" si="30"/>
        <v>25</v>
      </c>
      <c r="AK81" s="42">
        <v>5</v>
      </c>
      <c r="AL81" s="40">
        <v>2</v>
      </c>
      <c r="AM81" s="41">
        <f t="shared" si="31"/>
        <v>40</v>
      </c>
      <c r="AN81" s="42">
        <v>7</v>
      </c>
      <c r="AO81" s="40">
        <v>6</v>
      </c>
      <c r="AP81" s="41">
        <f t="shared" si="32"/>
        <v>85.714285714285708</v>
      </c>
      <c r="AQ81" s="40">
        <v>4</v>
      </c>
      <c r="AR81" s="40">
        <v>3</v>
      </c>
      <c r="AS81" s="41">
        <f t="shared" si="33"/>
        <v>75</v>
      </c>
      <c r="AT81" s="10">
        <f t="shared" si="34"/>
        <v>41</v>
      </c>
      <c r="AU81" s="10">
        <f t="shared" si="34"/>
        <v>16</v>
      </c>
      <c r="AV81" s="26">
        <f t="shared" si="35"/>
        <v>39.024390243902438</v>
      </c>
      <c r="AW81" s="10">
        <f t="shared" si="36"/>
        <v>27</v>
      </c>
      <c r="AX81" s="10">
        <f t="shared" si="36"/>
        <v>11</v>
      </c>
      <c r="AY81" s="26">
        <f t="shared" si="37"/>
        <v>40.74074074074074</v>
      </c>
      <c r="AZ81" s="10">
        <f t="shared" si="38"/>
        <v>68</v>
      </c>
      <c r="BA81" s="10">
        <f t="shared" si="38"/>
        <v>27</v>
      </c>
      <c r="BB81" s="27">
        <f t="shared" si="39"/>
        <v>39.705882352941174</v>
      </c>
    </row>
    <row r="82" spans="1:54">
      <c r="A82" s="12">
        <v>76</v>
      </c>
      <c r="B82" s="13">
        <v>1230321075</v>
      </c>
      <c r="C82" s="14" t="s">
        <v>95</v>
      </c>
      <c r="D82" s="39">
        <v>4</v>
      </c>
      <c r="E82" s="39">
        <v>1</v>
      </c>
      <c r="F82" s="39">
        <f t="shared" si="20"/>
        <v>25</v>
      </c>
      <c r="G82" s="39">
        <v>2</v>
      </c>
      <c r="H82" s="39">
        <v>0</v>
      </c>
      <c r="I82" s="39">
        <f t="shared" si="21"/>
        <v>0</v>
      </c>
      <c r="J82" s="40">
        <v>7</v>
      </c>
      <c r="K82" s="40">
        <v>3</v>
      </c>
      <c r="L82" s="41">
        <f t="shared" si="22"/>
        <v>42.857142857142854</v>
      </c>
      <c r="M82" s="42">
        <v>7</v>
      </c>
      <c r="N82" s="40">
        <v>4</v>
      </c>
      <c r="O82" s="41">
        <f t="shared" si="23"/>
        <v>57.142857142857139</v>
      </c>
      <c r="P82" s="40">
        <v>7</v>
      </c>
      <c r="Q82" s="40">
        <v>3</v>
      </c>
      <c r="R82" s="41">
        <f t="shared" si="24"/>
        <v>42.857142857142854</v>
      </c>
      <c r="S82" s="42">
        <v>3</v>
      </c>
      <c r="T82" s="40">
        <v>1</v>
      </c>
      <c r="U82" s="41">
        <f t="shared" si="25"/>
        <v>33.333333333333329</v>
      </c>
      <c r="V82" s="39">
        <v>4</v>
      </c>
      <c r="W82" s="39">
        <v>2</v>
      </c>
      <c r="X82" s="41">
        <f t="shared" si="26"/>
        <v>50</v>
      </c>
      <c r="Y82" s="42">
        <v>2</v>
      </c>
      <c r="Z82" s="40">
        <v>2</v>
      </c>
      <c r="AA82" s="41">
        <f t="shared" si="27"/>
        <v>100</v>
      </c>
      <c r="AB82" s="40">
        <v>4</v>
      </c>
      <c r="AC82" s="40">
        <v>3</v>
      </c>
      <c r="AD82" s="41">
        <f t="shared" si="28"/>
        <v>75</v>
      </c>
      <c r="AE82" s="42">
        <v>4</v>
      </c>
      <c r="AF82" s="40">
        <v>1</v>
      </c>
      <c r="AG82" s="41">
        <f t="shared" si="29"/>
        <v>25</v>
      </c>
      <c r="AH82" s="40">
        <v>8</v>
      </c>
      <c r="AI82" s="40">
        <v>4</v>
      </c>
      <c r="AJ82" s="41">
        <f t="shared" si="30"/>
        <v>50</v>
      </c>
      <c r="AK82" s="42">
        <v>5</v>
      </c>
      <c r="AL82" s="40">
        <v>5</v>
      </c>
      <c r="AM82" s="41">
        <f t="shared" si="31"/>
        <v>100</v>
      </c>
      <c r="AN82" s="42">
        <v>7</v>
      </c>
      <c r="AO82" s="40">
        <v>5</v>
      </c>
      <c r="AP82" s="41">
        <f t="shared" si="32"/>
        <v>71.428571428571431</v>
      </c>
      <c r="AQ82" s="40">
        <v>4</v>
      </c>
      <c r="AR82" s="40">
        <v>2</v>
      </c>
      <c r="AS82" s="41">
        <f t="shared" si="33"/>
        <v>50</v>
      </c>
      <c r="AT82" s="10">
        <f t="shared" si="34"/>
        <v>41</v>
      </c>
      <c r="AU82" s="10">
        <f t="shared" si="34"/>
        <v>21</v>
      </c>
      <c r="AV82" s="26">
        <f t="shared" si="35"/>
        <v>51.219512195121951</v>
      </c>
      <c r="AW82" s="10">
        <f t="shared" si="36"/>
        <v>27</v>
      </c>
      <c r="AX82" s="10">
        <f t="shared" si="36"/>
        <v>15</v>
      </c>
      <c r="AY82" s="26">
        <f t="shared" si="37"/>
        <v>55.555555555555557</v>
      </c>
      <c r="AZ82" s="10">
        <f t="shared" si="38"/>
        <v>68</v>
      </c>
      <c r="BA82" s="10">
        <f t="shared" si="38"/>
        <v>36</v>
      </c>
      <c r="BB82" s="27">
        <f t="shared" si="39"/>
        <v>52.941176470588239</v>
      </c>
    </row>
    <row r="83" spans="1:54">
      <c r="A83" s="12">
        <v>77</v>
      </c>
      <c r="B83" s="13">
        <v>1230321076</v>
      </c>
      <c r="C83" s="14" t="s">
        <v>96</v>
      </c>
      <c r="D83" s="39">
        <v>4</v>
      </c>
      <c r="E83" s="39">
        <v>2</v>
      </c>
      <c r="F83" s="39">
        <f t="shared" si="20"/>
        <v>50</v>
      </c>
      <c r="G83" s="39">
        <v>2</v>
      </c>
      <c r="H83" s="39">
        <v>1</v>
      </c>
      <c r="I83" s="39">
        <f t="shared" si="21"/>
        <v>50</v>
      </c>
      <c r="J83" s="40">
        <v>7</v>
      </c>
      <c r="K83" s="40">
        <v>5</v>
      </c>
      <c r="L83" s="41">
        <f t="shared" si="22"/>
        <v>71.428571428571431</v>
      </c>
      <c r="M83" s="42">
        <v>7</v>
      </c>
      <c r="N83" s="40">
        <v>7</v>
      </c>
      <c r="O83" s="41">
        <f t="shared" si="23"/>
        <v>100</v>
      </c>
      <c r="P83" s="40">
        <v>7</v>
      </c>
      <c r="Q83" s="40">
        <v>7</v>
      </c>
      <c r="R83" s="41">
        <f t="shared" si="24"/>
        <v>100</v>
      </c>
      <c r="S83" s="42">
        <v>3</v>
      </c>
      <c r="T83" s="40">
        <v>1</v>
      </c>
      <c r="U83" s="41">
        <f t="shared" si="25"/>
        <v>33.333333333333329</v>
      </c>
      <c r="V83" s="39">
        <v>4</v>
      </c>
      <c r="W83" s="39">
        <v>2</v>
      </c>
      <c r="X83" s="41">
        <f t="shared" si="26"/>
        <v>50</v>
      </c>
      <c r="Y83" s="42">
        <v>2</v>
      </c>
      <c r="Z83" s="40">
        <v>1</v>
      </c>
      <c r="AA83" s="41">
        <f t="shared" si="27"/>
        <v>50</v>
      </c>
      <c r="AB83" s="40">
        <v>4</v>
      </c>
      <c r="AC83" s="40">
        <v>4</v>
      </c>
      <c r="AD83" s="41">
        <f t="shared" si="28"/>
        <v>100</v>
      </c>
      <c r="AE83" s="42">
        <v>4</v>
      </c>
      <c r="AF83" s="40">
        <v>3</v>
      </c>
      <c r="AG83" s="41">
        <f t="shared" si="29"/>
        <v>75</v>
      </c>
      <c r="AH83" s="40">
        <v>8</v>
      </c>
      <c r="AI83" s="40">
        <v>6</v>
      </c>
      <c r="AJ83" s="41">
        <f t="shared" si="30"/>
        <v>75</v>
      </c>
      <c r="AK83" s="42">
        <v>5</v>
      </c>
      <c r="AL83" s="40">
        <v>4</v>
      </c>
      <c r="AM83" s="41">
        <f t="shared" si="31"/>
        <v>80</v>
      </c>
      <c r="AN83" s="42">
        <v>7</v>
      </c>
      <c r="AO83" s="40">
        <v>5</v>
      </c>
      <c r="AP83" s="41">
        <f t="shared" si="32"/>
        <v>71.428571428571431</v>
      </c>
      <c r="AQ83" s="40">
        <v>4</v>
      </c>
      <c r="AR83" s="40">
        <v>4</v>
      </c>
      <c r="AS83" s="41">
        <f t="shared" si="33"/>
        <v>100</v>
      </c>
      <c r="AT83" s="10">
        <f t="shared" si="34"/>
        <v>41</v>
      </c>
      <c r="AU83" s="10">
        <f t="shared" si="34"/>
        <v>31</v>
      </c>
      <c r="AV83" s="26">
        <f t="shared" si="35"/>
        <v>75.609756097560975</v>
      </c>
      <c r="AW83" s="10">
        <f t="shared" si="36"/>
        <v>27</v>
      </c>
      <c r="AX83" s="10">
        <f t="shared" si="36"/>
        <v>21</v>
      </c>
      <c r="AY83" s="26">
        <f t="shared" si="37"/>
        <v>77.777777777777786</v>
      </c>
      <c r="AZ83" s="10">
        <f t="shared" si="38"/>
        <v>68</v>
      </c>
      <c r="BA83" s="10">
        <f t="shared" si="38"/>
        <v>52</v>
      </c>
      <c r="BB83" s="27">
        <f t="shared" si="39"/>
        <v>76.470588235294116</v>
      </c>
    </row>
    <row r="84" spans="1:54" ht="16.5" customHeight="1">
      <c r="A84" s="72" t="s">
        <v>97</v>
      </c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73"/>
      <c r="AW84" s="73"/>
      <c r="AX84" s="73"/>
      <c r="AY84" s="73"/>
      <c r="AZ84" s="73"/>
      <c r="BA84" s="73"/>
      <c r="BB84" s="74"/>
    </row>
    <row r="85" spans="1:54">
      <c r="A85" s="12">
        <v>78</v>
      </c>
      <c r="B85" s="13" t="s">
        <v>0</v>
      </c>
      <c r="C85" s="14" t="s">
        <v>103</v>
      </c>
      <c r="D85" s="40">
        <v>4</v>
      </c>
      <c r="E85" s="40">
        <v>0</v>
      </c>
      <c r="F85" s="39">
        <f t="shared" ref="F85" si="40">E85/D85*100</f>
        <v>0</v>
      </c>
      <c r="G85" s="40">
        <v>2</v>
      </c>
      <c r="H85" s="40">
        <v>0</v>
      </c>
      <c r="I85" s="40">
        <v>0</v>
      </c>
      <c r="J85" s="40">
        <v>7</v>
      </c>
      <c r="K85" s="40">
        <v>0</v>
      </c>
      <c r="L85" s="41">
        <f t="shared" ref="L85" si="41">K85/J85*100</f>
        <v>0</v>
      </c>
      <c r="M85" s="40">
        <v>7</v>
      </c>
      <c r="N85" s="40">
        <v>0</v>
      </c>
      <c r="O85" s="41">
        <f t="shared" ref="O85" si="42">N85/M85*100</f>
        <v>0</v>
      </c>
      <c r="P85" s="40">
        <v>7</v>
      </c>
      <c r="Q85" s="40">
        <v>0</v>
      </c>
      <c r="R85" s="41">
        <f t="shared" ref="R85" si="43">Q85/P85*100</f>
        <v>0</v>
      </c>
      <c r="S85" s="40">
        <v>3</v>
      </c>
      <c r="T85" s="40">
        <v>0</v>
      </c>
      <c r="U85" s="41">
        <f t="shared" ref="U85" si="44">T85/S85*100</f>
        <v>0</v>
      </c>
      <c r="V85" s="39">
        <v>4</v>
      </c>
      <c r="W85" s="40">
        <v>0</v>
      </c>
      <c r="X85" s="41">
        <f t="shared" ref="X85" si="45">W85/V85*100</f>
        <v>0</v>
      </c>
      <c r="Y85" s="42">
        <v>2</v>
      </c>
      <c r="Z85" s="40">
        <v>0</v>
      </c>
      <c r="AA85" s="41">
        <f t="shared" ref="AA85" si="46">Z85/Y85*100</f>
        <v>0</v>
      </c>
      <c r="AB85" s="40">
        <v>4</v>
      </c>
      <c r="AC85" s="40">
        <v>0</v>
      </c>
      <c r="AD85" s="41">
        <f t="shared" ref="AD85" si="47">AC85/AB85*100</f>
        <v>0</v>
      </c>
      <c r="AE85" s="40">
        <v>4</v>
      </c>
      <c r="AF85" s="40">
        <v>0</v>
      </c>
      <c r="AG85" s="41">
        <f t="shared" ref="AG85" si="48">AF85/AE85*100</f>
        <v>0</v>
      </c>
      <c r="AH85" s="40">
        <v>8</v>
      </c>
      <c r="AI85" s="40">
        <v>0</v>
      </c>
      <c r="AJ85" s="41">
        <f t="shared" ref="AJ85" si="49">AI85/AH85*100</f>
        <v>0</v>
      </c>
      <c r="AK85" s="40">
        <v>5</v>
      </c>
      <c r="AL85" s="40">
        <v>0</v>
      </c>
      <c r="AM85" s="41">
        <f t="shared" ref="AM85" si="50">AL85/AK85*100</f>
        <v>0</v>
      </c>
      <c r="AN85" s="40">
        <v>7</v>
      </c>
      <c r="AO85" s="40">
        <v>0</v>
      </c>
      <c r="AP85" s="41">
        <f t="shared" ref="AP85" si="51">AO85/AN85*100</f>
        <v>0</v>
      </c>
      <c r="AQ85" s="40">
        <v>4</v>
      </c>
      <c r="AR85" s="40">
        <v>0</v>
      </c>
      <c r="AS85" s="41">
        <f t="shared" ref="AS85" si="52">AR85/AQ85*100</f>
        <v>0</v>
      </c>
      <c r="AT85" s="10">
        <f t="shared" ref="AT85:AU85" si="53">SUM(D85,J85,P85,V85,AB85,AH85,AN85)</f>
        <v>41</v>
      </c>
      <c r="AU85" s="10">
        <f t="shared" si="53"/>
        <v>0</v>
      </c>
      <c r="AV85" s="26">
        <f t="shared" ref="AV85" si="54">AU85/AT85*100</f>
        <v>0</v>
      </c>
      <c r="AW85" s="10">
        <f t="shared" ref="AW85:AX85" si="55">SUM(G85,M85,S85,Y85,AE85,AK85,AQ85)</f>
        <v>27</v>
      </c>
      <c r="AX85" s="10">
        <f t="shared" si="55"/>
        <v>0</v>
      </c>
      <c r="AY85" s="26">
        <f t="shared" ref="AY85" si="56">AX85/AW85*100</f>
        <v>0</v>
      </c>
      <c r="AZ85" s="10">
        <f t="shared" ref="AZ85:BA85" si="57">SUM(AT85,AW85)</f>
        <v>68</v>
      </c>
      <c r="BA85" s="10">
        <f t="shared" si="57"/>
        <v>0</v>
      </c>
      <c r="BB85" s="27">
        <f t="shared" ref="BB85" si="58">BA85/AZ85*100</f>
        <v>0</v>
      </c>
    </row>
    <row r="86" spans="1:54">
      <c r="A86" s="72" t="s">
        <v>98</v>
      </c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4"/>
    </row>
    <row r="87" spans="1:54">
      <c r="A87" s="12">
        <v>1</v>
      </c>
      <c r="B87" s="15">
        <v>1220321025</v>
      </c>
      <c r="C87" s="15" t="s">
        <v>99</v>
      </c>
      <c r="D87" s="40">
        <v>4</v>
      </c>
      <c r="E87" s="40">
        <v>0</v>
      </c>
      <c r="F87" s="39">
        <f t="shared" ref="F87:F88" si="59">E87/D87*100</f>
        <v>0</v>
      </c>
      <c r="G87" s="40">
        <v>2</v>
      </c>
      <c r="H87" s="40">
        <v>0</v>
      </c>
      <c r="I87" s="40">
        <v>0</v>
      </c>
      <c r="J87" s="40">
        <v>7</v>
      </c>
      <c r="K87" s="40">
        <v>0</v>
      </c>
      <c r="L87" s="41">
        <f t="shared" ref="L87:L88" si="60">K87/J87*100</f>
        <v>0</v>
      </c>
      <c r="M87" s="40">
        <v>7</v>
      </c>
      <c r="N87" s="40">
        <v>1</v>
      </c>
      <c r="O87" s="41">
        <f t="shared" ref="O87:O88" si="61">N87/M87*100</f>
        <v>14.285714285714285</v>
      </c>
      <c r="P87" s="40">
        <v>7</v>
      </c>
      <c r="Q87" s="40">
        <v>0</v>
      </c>
      <c r="R87" s="41">
        <f t="shared" ref="R87:R88" si="62">Q87/P87*100</f>
        <v>0</v>
      </c>
      <c r="S87" s="40">
        <v>3</v>
      </c>
      <c r="T87" s="40">
        <v>0</v>
      </c>
      <c r="U87" s="41">
        <f t="shared" ref="U87:U88" si="63">T87/S87*100</f>
        <v>0</v>
      </c>
      <c r="V87" s="39">
        <v>4</v>
      </c>
      <c r="W87" s="40">
        <v>0</v>
      </c>
      <c r="X87" s="41">
        <f t="shared" ref="X87:X88" si="64">W87/V87*100</f>
        <v>0</v>
      </c>
      <c r="Y87" s="42">
        <v>2</v>
      </c>
      <c r="Z87" s="40">
        <v>0</v>
      </c>
      <c r="AA87" s="41">
        <f t="shared" ref="AA87:AA88" si="65">Z87/Y87*100</f>
        <v>0</v>
      </c>
      <c r="AB87" s="40">
        <v>4</v>
      </c>
      <c r="AC87" s="40">
        <v>0</v>
      </c>
      <c r="AD87" s="41">
        <f t="shared" ref="AD87:AD88" si="66">AC87/AB87*100</f>
        <v>0</v>
      </c>
      <c r="AE87" s="40">
        <v>4</v>
      </c>
      <c r="AF87" s="40">
        <v>0</v>
      </c>
      <c r="AG87" s="41">
        <f t="shared" ref="AG87:AG88" si="67">AF87/AE87*100</f>
        <v>0</v>
      </c>
      <c r="AH87" s="40">
        <v>8</v>
      </c>
      <c r="AI87" s="40">
        <v>0</v>
      </c>
      <c r="AJ87" s="41">
        <f t="shared" ref="AJ87:AJ88" si="68">AI87/AH87*100</f>
        <v>0</v>
      </c>
      <c r="AK87" s="40">
        <v>5</v>
      </c>
      <c r="AL87" s="40">
        <v>0</v>
      </c>
      <c r="AM87" s="41">
        <f t="shared" ref="AM87:AM88" si="69">AL87/AK87*100</f>
        <v>0</v>
      </c>
      <c r="AN87" s="40">
        <v>7</v>
      </c>
      <c r="AO87" s="40">
        <v>4</v>
      </c>
      <c r="AP87" s="41">
        <f t="shared" ref="AP87:AP88" si="70">AO87/AN87*100</f>
        <v>57.142857142857139</v>
      </c>
      <c r="AQ87" s="40">
        <v>4</v>
      </c>
      <c r="AR87" s="40">
        <v>0</v>
      </c>
      <c r="AS87" s="41">
        <f t="shared" ref="AS87:AS88" si="71">AR87/AQ87*100</f>
        <v>0</v>
      </c>
      <c r="AT87" s="10">
        <f t="shared" ref="AT87:AU88" si="72">SUM(D87,J87,P87,V87,AB87,AH87,AN87)</f>
        <v>41</v>
      </c>
      <c r="AU87" s="10">
        <f t="shared" si="72"/>
        <v>4</v>
      </c>
      <c r="AV87" s="26">
        <f t="shared" ref="AV87:AV88" si="73">AU87/AT87*100</f>
        <v>9.7560975609756095</v>
      </c>
      <c r="AW87" s="10">
        <f t="shared" ref="AW87:AX88" si="74">SUM(G87,M87,S87,Y87,AE87,AK87,AQ87)</f>
        <v>27</v>
      </c>
      <c r="AX87" s="10">
        <f t="shared" si="74"/>
        <v>1</v>
      </c>
      <c r="AY87" s="26">
        <f t="shared" ref="AY87:AY88" si="75">AX87/AW87*100</f>
        <v>3.7037037037037033</v>
      </c>
      <c r="AZ87" s="10">
        <f t="shared" ref="AZ87:BA88" si="76">SUM(AT87,AW87)</f>
        <v>68</v>
      </c>
      <c r="BA87" s="10">
        <f t="shared" si="76"/>
        <v>5</v>
      </c>
      <c r="BB87" s="27">
        <f t="shared" ref="BB87:BB88" si="77">BA87/AZ87*100</f>
        <v>7.3529411764705888</v>
      </c>
    </row>
    <row r="88" spans="1:54" s="22" customFormat="1">
      <c r="A88" s="21">
        <v>2</v>
      </c>
      <c r="B88" s="15">
        <v>1230321051</v>
      </c>
      <c r="C88" s="15" t="s">
        <v>104</v>
      </c>
      <c r="D88" s="40">
        <v>4</v>
      </c>
      <c r="E88" s="40">
        <v>0</v>
      </c>
      <c r="F88" s="39">
        <f t="shared" si="59"/>
        <v>0</v>
      </c>
      <c r="G88" s="40">
        <v>2</v>
      </c>
      <c r="H88" s="40">
        <v>0</v>
      </c>
      <c r="I88" s="40">
        <v>0</v>
      </c>
      <c r="J88" s="40">
        <v>7</v>
      </c>
      <c r="K88" s="40">
        <v>4</v>
      </c>
      <c r="L88" s="41">
        <f t="shared" si="60"/>
        <v>57.142857142857139</v>
      </c>
      <c r="M88" s="40">
        <v>7</v>
      </c>
      <c r="N88" s="40">
        <v>4</v>
      </c>
      <c r="O88" s="41">
        <f t="shared" si="61"/>
        <v>57.142857142857139</v>
      </c>
      <c r="P88" s="40">
        <v>7</v>
      </c>
      <c r="Q88" s="40">
        <v>4</v>
      </c>
      <c r="R88" s="41">
        <f t="shared" si="62"/>
        <v>57.142857142857139</v>
      </c>
      <c r="S88" s="40">
        <v>3</v>
      </c>
      <c r="T88" s="40">
        <v>2</v>
      </c>
      <c r="U88" s="41">
        <f t="shared" si="63"/>
        <v>66.666666666666657</v>
      </c>
      <c r="V88" s="39">
        <v>4</v>
      </c>
      <c r="W88" s="40">
        <v>0</v>
      </c>
      <c r="X88" s="41">
        <f t="shared" si="64"/>
        <v>0</v>
      </c>
      <c r="Y88" s="42">
        <v>2</v>
      </c>
      <c r="Z88" s="40">
        <v>0</v>
      </c>
      <c r="AA88" s="41">
        <f t="shared" si="65"/>
        <v>0</v>
      </c>
      <c r="AB88" s="40">
        <v>4</v>
      </c>
      <c r="AC88" s="40">
        <v>0</v>
      </c>
      <c r="AD88" s="41">
        <f t="shared" si="66"/>
        <v>0</v>
      </c>
      <c r="AE88" s="40">
        <v>4</v>
      </c>
      <c r="AF88" s="40">
        <v>0</v>
      </c>
      <c r="AG88" s="41">
        <f t="shared" si="67"/>
        <v>0</v>
      </c>
      <c r="AH88" s="40">
        <v>8</v>
      </c>
      <c r="AI88" s="40">
        <v>0</v>
      </c>
      <c r="AJ88" s="41">
        <f t="shared" si="68"/>
        <v>0</v>
      </c>
      <c r="AK88" s="40">
        <v>5</v>
      </c>
      <c r="AL88" s="40">
        <v>4</v>
      </c>
      <c r="AM88" s="41">
        <f t="shared" si="69"/>
        <v>80</v>
      </c>
      <c r="AN88" s="40">
        <v>7</v>
      </c>
      <c r="AO88" s="40">
        <v>5</v>
      </c>
      <c r="AP88" s="41">
        <f t="shared" si="70"/>
        <v>71.428571428571431</v>
      </c>
      <c r="AQ88" s="40">
        <v>4</v>
      </c>
      <c r="AR88" s="40">
        <v>4</v>
      </c>
      <c r="AS88" s="41">
        <f t="shared" si="71"/>
        <v>100</v>
      </c>
      <c r="AT88" s="10">
        <f t="shared" si="72"/>
        <v>41</v>
      </c>
      <c r="AU88" s="10">
        <f t="shared" si="72"/>
        <v>13</v>
      </c>
      <c r="AV88" s="26">
        <f t="shared" si="73"/>
        <v>31.707317073170731</v>
      </c>
      <c r="AW88" s="10">
        <f t="shared" si="74"/>
        <v>27</v>
      </c>
      <c r="AX88" s="10">
        <f t="shared" si="74"/>
        <v>14</v>
      </c>
      <c r="AY88" s="26">
        <f t="shared" si="75"/>
        <v>51.851851851851848</v>
      </c>
      <c r="AZ88" s="10">
        <f t="shared" si="76"/>
        <v>68</v>
      </c>
      <c r="BA88" s="10">
        <f t="shared" si="76"/>
        <v>27</v>
      </c>
      <c r="BB88" s="27">
        <f t="shared" si="77"/>
        <v>39.705882352941174</v>
      </c>
    </row>
  </sheetData>
  <mergeCells count="17">
    <mergeCell ref="D5:I5"/>
    <mergeCell ref="A84:BB84"/>
    <mergeCell ref="A86:BB86"/>
    <mergeCell ref="AT5:BB5"/>
    <mergeCell ref="A1:BB1"/>
    <mergeCell ref="A2:BB2"/>
    <mergeCell ref="A3:BB3"/>
    <mergeCell ref="A4:BB4"/>
    <mergeCell ref="J5:O5"/>
    <mergeCell ref="P5:U5"/>
    <mergeCell ref="V5:AA5"/>
    <mergeCell ref="AB5:AG5"/>
    <mergeCell ref="AH5:AM5"/>
    <mergeCell ref="AN5:AS5"/>
    <mergeCell ref="A5:A6"/>
    <mergeCell ref="B5:B6"/>
    <mergeCell ref="C5:C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B050"/>
  </sheetPr>
  <dimension ref="A1:BB88"/>
  <sheetViews>
    <sheetView topLeftCell="AG22" workbookViewId="0">
      <selection activeCell="BB32" sqref="BB32"/>
    </sheetView>
  </sheetViews>
  <sheetFormatPr defaultRowHeight="16.5"/>
  <cols>
    <col min="1" max="1" width="6.42578125" style="6" bestFit="1" customWidth="1"/>
    <col min="2" max="2" width="12.42578125" style="6" bestFit="1" customWidth="1"/>
    <col min="3" max="3" width="51.140625" style="6" bestFit="1" customWidth="1"/>
    <col min="4" max="4" width="8.42578125" style="6" customWidth="1"/>
    <col min="5" max="5" width="10.28515625" style="6" customWidth="1"/>
    <col min="6" max="6" width="4.42578125" style="6" customWidth="1"/>
    <col min="7" max="7" width="8.85546875" style="6" customWidth="1"/>
    <col min="8" max="8" width="10.28515625" style="6" customWidth="1"/>
    <col min="9" max="9" width="4.42578125" style="6" customWidth="1"/>
    <col min="10" max="10" width="8.42578125" style="6" customWidth="1"/>
    <col min="11" max="11" width="10.28515625" style="6" customWidth="1"/>
    <col min="12" max="12" width="6.140625" style="6" customWidth="1"/>
    <col min="13" max="13" width="8.85546875" style="6" customWidth="1"/>
    <col min="14" max="14" width="10.28515625" style="6" customWidth="1"/>
    <col min="15" max="15" width="6.140625" style="6" customWidth="1"/>
    <col min="16" max="16" width="8.42578125" style="6" customWidth="1"/>
    <col min="17" max="17" width="10.28515625" style="6" customWidth="1"/>
    <col min="18" max="18" width="6.140625" style="6" customWidth="1"/>
    <col min="19" max="19" width="8.85546875" style="6" customWidth="1"/>
    <col min="20" max="20" width="10.28515625" style="6" customWidth="1"/>
    <col min="21" max="21" width="6.140625" style="6" customWidth="1"/>
    <col min="22" max="22" width="8.42578125" style="6" customWidth="1"/>
    <col min="23" max="23" width="10.28515625" style="6" customWidth="1"/>
    <col min="24" max="24" width="6.140625" style="6" customWidth="1"/>
    <col min="25" max="25" width="8.85546875" style="6" customWidth="1"/>
    <col min="26" max="26" width="10.28515625" style="6" customWidth="1"/>
    <col min="27" max="27" width="6.140625" style="6" customWidth="1"/>
    <col min="28" max="28" width="8.42578125" style="6" customWidth="1"/>
    <col min="29" max="29" width="10.28515625" style="6" customWidth="1"/>
    <col min="30" max="30" width="6.140625" style="6" customWidth="1"/>
    <col min="31" max="31" width="8.85546875" style="6" customWidth="1"/>
    <col min="32" max="32" width="10.28515625" style="6" customWidth="1"/>
    <col min="33" max="33" width="6.140625" style="6" customWidth="1"/>
    <col min="34" max="34" width="8.42578125" style="6" customWidth="1"/>
    <col min="35" max="35" width="10.28515625" style="6" customWidth="1"/>
    <col min="36" max="36" width="6.140625" style="6" customWidth="1"/>
    <col min="37" max="37" width="8.85546875" style="6" customWidth="1"/>
    <col min="38" max="38" width="10.28515625" style="6" customWidth="1"/>
    <col min="39" max="39" width="6.140625" style="6" customWidth="1"/>
    <col min="40" max="40" width="8.42578125" style="6" bestFit="1" customWidth="1"/>
    <col min="41" max="41" width="10.28515625" style="6" bestFit="1" customWidth="1"/>
    <col min="42" max="42" width="6.140625" style="6" bestFit="1" customWidth="1"/>
    <col min="43" max="43" width="8.85546875" style="6" bestFit="1" customWidth="1"/>
    <col min="44" max="44" width="10.28515625" style="6" bestFit="1" customWidth="1"/>
    <col min="45" max="45" width="6.140625" style="6" bestFit="1" customWidth="1"/>
    <col min="46" max="16384" width="9.140625" style="6"/>
  </cols>
  <sheetData>
    <row r="1" spans="1:54" ht="18.75">
      <c r="A1" s="68" t="s">
        <v>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</row>
    <row r="2" spans="1:54" ht="18.75">
      <c r="A2" s="68" t="s">
        <v>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</row>
    <row r="3" spans="1:54" ht="18.75">
      <c r="A3" s="68" t="s">
        <v>22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</row>
    <row r="4" spans="1:54">
      <c r="A4" s="69" t="s">
        <v>109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</row>
    <row r="5" spans="1:54" ht="47.25" customHeight="1">
      <c r="A5" s="71" t="s">
        <v>3</v>
      </c>
      <c r="B5" s="71" t="s">
        <v>4</v>
      </c>
      <c r="C5" s="71" t="s">
        <v>5</v>
      </c>
      <c r="D5" s="70" t="s">
        <v>112</v>
      </c>
      <c r="E5" s="70"/>
      <c r="F5" s="70"/>
      <c r="G5" s="70"/>
      <c r="H5" s="70"/>
      <c r="I5" s="70"/>
      <c r="J5" s="70" t="s">
        <v>113</v>
      </c>
      <c r="K5" s="70"/>
      <c r="L5" s="70"/>
      <c r="M5" s="70"/>
      <c r="N5" s="70"/>
      <c r="O5" s="70"/>
      <c r="P5" s="70" t="s">
        <v>114</v>
      </c>
      <c r="Q5" s="70"/>
      <c r="R5" s="70"/>
      <c r="S5" s="70"/>
      <c r="T5" s="70"/>
      <c r="U5" s="70"/>
      <c r="V5" s="70" t="s">
        <v>115</v>
      </c>
      <c r="W5" s="70"/>
      <c r="X5" s="70"/>
      <c r="Y5" s="70"/>
      <c r="Z5" s="70"/>
      <c r="AA5" s="70"/>
      <c r="AB5" s="70" t="s">
        <v>116</v>
      </c>
      <c r="AC5" s="70"/>
      <c r="AD5" s="70"/>
      <c r="AE5" s="70"/>
      <c r="AF5" s="70"/>
      <c r="AG5" s="70"/>
      <c r="AH5" s="70" t="s">
        <v>117</v>
      </c>
      <c r="AI5" s="70"/>
      <c r="AJ5" s="70"/>
      <c r="AK5" s="70"/>
      <c r="AL5" s="70"/>
      <c r="AM5" s="70"/>
      <c r="AN5" s="70" t="s">
        <v>118</v>
      </c>
      <c r="AO5" s="70"/>
      <c r="AP5" s="70"/>
      <c r="AQ5" s="70"/>
      <c r="AR5" s="70"/>
      <c r="AS5" s="70"/>
      <c r="AT5" s="64" t="s">
        <v>127</v>
      </c>
      <c r="AU5" s="64"/>
      <c r="AV5" s="64"/>
      <c r="AW5" s="64"/>
      <c r="AX5" s="64"/>
      <c r="AY5" s="64"/>
      <c r="AZ5" s="64"/>
      <c r="BA5" s="64"/>
      <c r="BB5" s="64"/>
    </row>
    <row r="6" spans="1:54" ht="30">
      <c r="A6" s="71"/>
      <c r="B6" s="71"/>
      <c r="C6" s="71"/>
      <c r="D6" s="17" t="s">
        <v>6</v>
      </c>
      <c r="E6" s="17" t="s">
        <v>7</v>
      </c>
      <c r="F6" s="17" t="s">
        <v>8</v>
      </c>
      <c r="G6" s="17" t="s">
        <v>9</v>
      </c>
      <c r="H6" s="17" t="s">
        <v>10</v>
      </c>
      <c r="I6" s="17" t="s">
        <v>8</v>
      </c>
      <c r="J6" s="17" t="s">
        <v>6</v>
      </c>
      <c r="K6" s="17" t="s">
        <v>7</v>
      </c>
      <c r="L6" s="17" t="s">
        <v>8</v>
      </c>
      <c r="M6" s="17" t="s">
        <v>9</v>
      </c>
      <c r="N6" s="17" t="s">
        <v>10</v>
      </c>
      <c r="O6" s="17" t="s">
        <v>8</v>
      </c>
      <c r="P6" s="17" t="s">
        <v>6</v>
      </c>
      <c r="Q6" s="17" t="s">
        <v>7</v>
      </c>
      <c r="R6" s="17" t="s">
        <v>8</v>
      </c>
      <c r="S6" s="17" t="s">
        <v>9</v>
      </c>
      <c r="T6" s="17" t="s">
        <v>10</v>
      </c>
      <c r="U6" s="17" t="s">
        <v>8</v>
      </c>
      <c r="V6" s="17" t="s">
        <v>6</v>
      </c>
      <c r="W6" s="17" t="s">
        <v>7</v>
      </c>
      <c r="X6" s="17" t="s">
        <v>8</v>
      </c>
      <c r="Y6" s="17" t="s">
        <v>9</v>
      </c>
      <c r="Z6" s="17" t="s">
        <v>10</v>
      </c>
      <c r="AA6" s="17" t="s">
        <v>8</v>
      </c>
      <c r="AB6" s="17" t="s">
        <v>6</v>
      </c>
      <c r="AC6" s="17" t="s">
        <v>7</v>
      </c>
      <c r="AD6" s="17" t="s">
        <v>8</v>
      </c>
      <c r="AE6" s="17" t="s">
        <v>9</v>
      </c>
      <c r="AF6" s="17" t="s">
        <v>10</v>
      </c>
      <c r="AG6" s="17" t="s">
        <v>8</v>
      </c>
      <c r="AH6" s="17" t="s">
        <v>6</v>
      </c>
      <c r="AI6" s="17" t="s">
        <v>7</v>
      </c>
      <c r="AJ6" s="17" t="s">
        <v>8</v>
      </c>
      <c r="AK6" s="17" t="s">
        <v>9</v>
      </c>
      <c r="AL6" s="17" t="s">
        <v>10</v>
      </c>
      <c r="AM6" s="17" t="s">
        <v>8</v>
      </c>
      <c r="AN6" s="17" t="s">
        <v>6</v>
      </c>
      <c r="AO6" s="17" t="s">
        <v>7</v>
      </c>
      <c r="AP6" s="17" t="s">
        <v>8</v>
      </c>
      <c r="AQ6" s="17" t="s">
        <v>9</v>
      </c>
      <c r="AR6" s="17" t="s">
        <v>10</v>
      </c>
      <c r="AS6" s="17" t="s">
        <v>8</v>
      </c>
      <c r="AT6" s="24" t="s">
        <v>119</v>
      </c>
      <c r="AU6" s="24" t="s">
        <v>120</v>
      </c>
      <c r="AV6" s="24" t="s">
        <v>121</v>
      </c>
      <c r="AW6" s="24" t="s">
        <v>122</v>
      </c>
      <c r="AX6" s="24" t="s">
        <v>123</v>
      </c>
      <c r="AY6" s="25" t="s">
        <v>121</v>
      </c>
      <c r="AZ6" s="17" t="s">
        <v>124</v>
      </c>
      <c r="BA6" s="17" t="s">
        <v>125</v>
      </c>
      <c r="BB6" s="17" t="s">
        <v>126</v>
      </c>
    </row>
    <row r="7" spans="1:54">
      <c r="A7" s="12">
        <v>1</v>
      </c>
      <c r="B7" s="13">
        <v>1220321013</v>
      </c>
      <c r="C7" s="14" t="s">
        <v>23</v>
      </c>
      <c r="D7" s="10">
        <v>2</v>
      </c>
      <c r="E7" s="10">
        <v>0</v>
      </c>
      <c r="F7" s="10">
        <f>E7/D7*100</f>
        <v>0</v>
      </c>
      <c r="G7" s="10">
        <v>2</v>
      </c>
      <c r="H7" s="10">
        <v>0</v>
      </c>
      <c r="I7" s="10">
        <f>H7/G7*100</f>
        <v>0</v>
      </c>
      <c r="J7" s="10">
        <v>3</v>
      </c>
      <c r="K7" s="10">
        <v>0</v>
      </c>
      <c r="L7" s="26">
        <f>K7/J7*100</f>
        <v>0</v>
      </c>
      <c r="M7" s="10">
        <v>3</v>
      </c>
      <c r="N7" s="10">
        <v>0</v>
      </c>
      <c r="O7" s="26">
        <f>N7/M7*100</f>
        <v>0</v>
      </c>
      <c r="P7" s="7">
        <v>4</v>
      </c>
      <c r="Q7" s="7">
        <v>0</v>
      </c>
      <c r="R7" s="26">
        <f>Q7/P7*100</f>
        <v>0</v>
      </c>
      <c r="S7" s="18">
        <v>4</v>
      </c>
      <c r="T7" s="9">
        <v>0</v>
      </c>
      <c r="U7" s="26">
        <f>T7/S7*100</f>
        <v>0</v>
      </c>
      <c r="V7" s="7">
        <v>3</v>
      </c>
      <c r="W7" s="7">
        <v>1</v>
      </c>
      <c r="X7" s="26">
        <f>W7/V7*100</f>
        <v>33.333333333333329</v>
      </c>
      <c r="Y7" s="9">
        <v>3</v>
      </c>
      <c r="Z7" s="9">
        <v>1</v>
      </c>
      <c r="AA7" s="26">
        <f>Z7/Y7*100</f>
        <v>33.333333333333329</v>
      </c>
      <c r="AB7" s="7">
        <v>4</v>
      </c>
      <c r="AC7" s="7">
        <v>1</v>
      </c>
      <c r="AD7" s="26">
        <f>AC7/AB7*100</f>
        <v>25</v>
      </c>
      <c r="AE7" s="9">
        <v>4</v>
      </c>
      <c r="AF7" s="9">
        <v>1</v>
      </c>
      <c r="AG7" s="26">
        <f>AF7/AE7*100</f>
        <v>25</v>
      </c>
      <c r="AH7" s="7">
        <v>2</v>
      </c>
      <c r="AI7" s="7">
        <v>0</v>
      </c>
      <c r="AJ7" s="26">
        <f>AI7/AH7*100</f>
        <v>0</v>
      </c>
      <c r="AK7" s="9">
        <v>2</v>
      </c>
      <c r="AL7" s="9">
        <v>0</v>
      </c>
      <c r="AM7" s="26">
        <f>AL7/AK7*100</f>
        <v>0</v>
      </c>
      <c r="AN7" s="7">
        <v>3</v>
      </c>
      <c r="AO7" s="7">
        <v>1</v>
      </c>
      <c r="AP7" s="26">
        <f>AO7/AN7*100</f>
        <v>33.333333333333329</v>
      </c>
      <c r="AQ7" s="18">
        <v>3</v>
      </c>
      <c r="AR7" s="9">
        <v>1</v>
      </c>
      <c r="AS7" s="26">
        <f>AR7/AQ7*100</f>
        <v>33.333333333333329</v>
      </c>
      <c r="AT7" s="10">
        <f>SUM(D7,J7,P7,V7,AB7,AH7,AN7)</f>
        <v>21</v>
      </c>
      <c r="AU7" s="10">
        <f>SUM(E7,K7,Q7,W7,AC7,AI7,AO7)</f>
        <v>3</v>
      </c>
      <c r="AV7" s="26">
        <f>AU7/AT7*100</f>
        <v>14.285714285714285</v>
      </c>
      <c r="AW7" s="10">
        <f>SUM(G7,M7,S7,Y7,AE7,AK7,AQ7)</f>
        <v>21</v>
      </c>
      <c r="AX7" s="10">
        <f>SUM(H7,N7,T7,Z7,AF7,AL7,AR7)</f>
        <v>3</v>
      </c>
      <c r="AY7" s="26">
        <f>AX7/AW7*100</f>
        <v>14.285714285714285</v>
      </c>
      <c r="AZ7" s="10">
        <f>SUM(AT7,AW7)</f>
        <v>42</v>
      </c>
      <c r="BA7" s="10">
        <f>SUM(AU7,AX7)</f>
        <v>6</v>
      </c>
      <c r="BB7" s="27">
        <f>BA7/AZ7*100</f>
        <v>14.285714285714285</v>
      </c>
    </row>
    <row r="8" spans="1:54">
      <c r="A8" s="12">
        <v>2</v>
      </c>
      <c r="B8" s="13">
        <v>1220321039</v>
      </c>
      <c r="C8" s="14" t="s">
        <v>24</v>
      </c>
      <c r="D8" s="10">
        <v>2</v>
      </c>
      <c r="E8" s="52">
        <v>0</v>
      </c>
      <c r="F8" s="10">
        <f t="shared" ref="F8:F71" si="0">E8/D8*100</f>
        <v>0</v>
      </c>
      <c r="G8" s="10">
        <v>2</v>
      </c>
      <c r="H8" s="53">
        <v>0</v>
      </c>
      <c r="I8" s="10">
        <f t="shared" ref="I8:I71" si="1">H8/G8*100</f>
        <v>0</v>
      </c>
      <c r="J8" s="10">
        <v>3</v>
      </c>
      <c r="K8" s="52">
        <v>0</v>
      </c>
      <c r="L8" s="26">
        <f t="shared" ref="L8:L71" si="2">K8/J8*100</f>
        <v>0</v>
      </c>
      <c r="M8" s="10">
        <v>3</v>
      </c>
      <c r="N8" s="53">
        <v>0</v>
      </c>
      <c r="O8" s="26">
        <f t="shared" ref="O8:O71" si="3">N8/M8*100</f>
        <v>0</v>
      </c>
      <c r="P8" s="7">
        <v>4</v>
      </c>
      <c r="Q8" s="7">
        <v>1</v>
      </c>
      <c r="R8" s="26">
        <f t="shared" ref="R8:R71" si="4">Q8/P8*100</f>
        <v>25</v>
      </c>
      <c r="S8" s="18">
        <v>4</v>
      </c>
      <c r="T8" s="9">
        <v>1</v>
      </c>
      <c r="U8" s="26">
        <f t="shared" ref="U8:U71" si="5">T8/S8*100</f>
        <v>25</v>
      </c>
      <c r="V8" s="7">
        <v>3</v>
      </c>
      <c r="W8" s="7">
        <v>2</v>
      </c>
      <c r="X8" s="26">
        <f t="shared" ref="X8:X71" si="6">W8/V8*100</f>
        <v>66.666666666666657</v>
      </c>
      <c r="Y8" s="9">
        <v>3</v>
      </c>
      <c r="Z8" s="9">
        <v>2</v>
      </c>
      <c r="AA8" s="26">
        <f t="shared" ref="AA8:AA71" si="7">Z8/Y8*100</f>
        <v>66.666666666666657</v>
      </c>
      <c r="AB8" s="7">
        <v>4</v>
      </c>
      <c r="AC8" s="7">
        <v>2</v>
      </c>
      <c r="AD8" s="26">
        <f t="shared" ref="AD8:AD71" si="8">AC8/AB8*100</f>
        <v>50</v>
      </c>
      <c r="AE8" s="9">
        <v>4</v>
      </c>
      <c r="AF8" s="9">
        <v>2</v>
      </c>
      <c r="AG8" s="26">
        <f t="shared" ref="AG8:AG71" si="9">AF8/AE8*100</f>
        <v>50</v>
      </c>
      <c r="AH8" s="7">
        <v>2</v>
      </c>
      <c r="AI8" s="7">
        <v>1</v>
      </c>
      <c r="AJ8" s="26">
        <f t="shared" ref="AJ8:AJ71" si="10">AI8/AH8*100</f>
        <v>50</v>
      </c>
      <c r="AK8" s="9">
        <v>2</v>
      </c>
      <c r="AL8" s="9">
        <v>1</v>
      </c>
      <c r="AM8" s="26">
        <f t="shared" ref="AM8:AM71" si="11">AL8/AK8*100</f>
        <v>50</v>
      </c>
      <c r="AN8" s="7">
        <v>3</v>
      </c>
      <c r="AO8" s="7">
        <v>1</v>
      </c>
      <c r="AP8" s="26">
        <f t="shared" ref="AP8:AP71" si="12">AO8/AN8*100</f>
        <v>33.333333333333329</v>
      </c>
      <c r="AQ8" s="18">
        <v>3</v>
      </c>
      <c r="AR8" s="9">
        <v>1</v>
      </c>
      <c r="AS8" s="26">
        <f t="shared" ref="AS8:AS71" si="13">AR8/AQ8*100</f>
        <v>33.333333333333329</v>
      </c>
      <c r="AT8" s="10">
        <f t="shared" ref="AT8:AU71" si="14">SUM(D8,J8,P8,V8,AB8,AH8,AN8)</f>
        <v>21</v>
      </c>
      <c r="AU8" s="10">
        <f t="shared" si="14"/>
        <v>7</v>
      </c>
      <c r="AV8" s="26">
        <f t="shared" ref="AV8:AV71" si="15">AU8/AT8*100</f>
        <v>33.333333333333329</v>
      </c>
      <c r="AW8" s="10">
        <f t="shared" ref="AW8:AX71" si="16">SUM(G8,M8,S8,Y8,AE8,AK8,AQ8)</f>
        <v>21</v>
      </c>
      <c r="AX8" s="10">
        <f t="shared" si="16"/>
        <v>7</v>
      </c>
      <c r="AY8" s="26">
        <f t="shared" ref="AY8:AY71" si="17">AX8/AW8*100</f>
        <v>33.333333333333329</v>
      </c>
      <c r="AZ8" s="10">
        <f t="shared" ref="AZ8:BA71" si="18">SUM(AT8,AW8)</f>
        <v>42</v>
      </c>
      <c r="BA8" s="10">
        <f t="shared" si="18"/>
        <v>14</v>
      </c>
      <c r="BB8" s="27">
        <f t="shared" ref="BB8:BB71" si="19">BA8/AZ8*100</f>
        <v>33.333333333333329</v>
      </c>
    </row>
    <row r="9" spans="1:54">
      <c r="A9" s="12">
        <v>3</v>
      </c>
      <c r="B9" s="13">
        <v>1220321040</v>
      </c>
      <c r="C9" s="14" t="s">
        <v>25</v>
      </c>
      <c r="D9" s="10">
        <v>2</v>
      </c>
      <c r="E9" s="52">
        <v>0</v>
      </c>
      <c r="F9" s="10">
        <f t="shared" si="0"/>
        <v>0</v>
      </c>
      <c r="G9" s="10">
        <v>2</v>
      </c>
      <c r="H9" s="53">
        <v>0</v>
      </c>
      <c r="I9" s="10">
        <f t="shared" si="1"/>
        <v>0</v>
      </c>
      <c r="J9" s="10">
        <v>3</v>
      </c>
      <c r="K9" s="52">
        <v>0</v>
      </c>
      <c r="L9" s="26">
        <f t="shared" si="2"/>
        <v>0</v>
      </c>
      <c r="M9" s="10">
        <v>3</v>
      </c>
      <c r="N9" s="53">
        <v>0</v>
      </c>
      <c r="O9" s="26">
        <f t="shared" si="3"/>
        <v>0</v>
      </c>
      <c r="P9" s="7">
        <v>4</v>
      </c>
      <c r="Q9" s="7">
        <v>2</v>
      </c>
      <c r="R9" s="26">
        <f t="shared" si="4"/>
        <v>50</v>
      </c>
      <c r="S9" s="18">
        <v>4</v>
      </c>
      <c r="T9" s="9">
        <v>2</v>
      </c>
      <c r="U9" s="26">
        <f t="shared" si="5"/>
        <v>50</v>
      </c>
      <c r="V9" s="7">
        <v>3</v>
      </c>
      <c r="W9" s="7">
        <v>2</v>
      </c>
      <c r="X9" s="26">
        <f t="shared" si="6"/>
        <v>66.666666666666657</v>
      </c>
      <c r="Y9" s="9">
        <v>3</v>
      </c>
      <c r="Z9" s="9">
        <v>2</v>
      </c>
      <c r="AA9" s="26">
        <f t="shared" si="7"/>
        <v>66.666666666666657</v>
      </c>
      <c r="AB9" s="7">
        <v>4</v>
      </c>
      <c r="AC9" s="7">
        <v>1</v>
      </c>
      <c r="AD9" s="26">
        <f t="shared" si="8"/>
        <v>25</v>
      </c>
      <c r="AE9" s="9">
        <v>4</v>
      </c>
      <c r="AF9" s="9">
        <v>1</v>
      </c>
      <c r="AG9" s="26">
        <f t="shared" si="9"/>
        <v>25</v>
      </c>
      <c r="AH9" s="7">
        <v>2</v>
      </c>
      <c r="AI9" s="7">
        <v>2</v>
      </c>
      <c r="AJ9" s="26">
        <f t="shared" si="10"/>
        <v>100</v>
      </c>
      <c r="AK9" s="9">
        <v>2</v>
      </c>
      <c r="AL9" s="9">
        <v>2</v>
      </c>
      <c r="AM9" s="26">
        <f t="shared" si="11"/>
        <v>100</v>
      </c>
      <c r="AN9" s="7">
        <v>3</v>
      </c>
      <c r="AO9" s="7">
        <v>1</v>
      </c>
      <c r="AP9" s="26">
        <f t="shared" si="12"/>
        <v>33.333333333333329</v>
      </c>
      <c r="AQ9" s="18">
        <v>3</v>
      </c>
      <c r="AR9" s="9">
        <v>1</v>
      </c>
      <c r="AS9" s="26">
        <f t="shared" si="13"/>
        <v>33.333333333333329</v>
      </c>
      <c r="AT9" s="10">
        <f t="shared" si="14"/>
        <v>21</v>
      </c>
      <c r="AU9" s="10">
        <f t="shared" si="14"/>
        <v>8</v>
      </c>
      <c r="AV9" s="26">
        <f t="shared" si="15"/>
        <v>38.095238095238095</v>
      </c>
      <c r="AW9" s="10">
        <f t="shared" si="16"/>
        <v>21</v>
      </c>
      <c r="AX9" s="10">
        <f t="shared" si="16"/>
        <v>8</v>
      </c>
      <c r="AY9" s="26">
        <f t="shared" si="17"/>
        <v>38.095238095238095</v>
      </c>
      <c r="AZ9" s="10">
        <f t="shared" si="18"/>
        <v>42</v>
      </c>
      <c r="BA9" s="10">
        <f t="shared" si="18"/>
        <v>16</v>
      </c>
      <c r="BB9" s="27">
        <f t="shared" si="19"/>
        <v>38.095238095238095</v>
      </c>
    </row>
    <row r="10" spans="1:54">
      <c r="A10" s="12">
        <v>4</v>
      </c>
      <c r="B10" s="13">
        <v>1220321049</v>
      </c>
      <c r="C10" s="14" t="s">
        <v>26</v>
      </c>
      <c r="D10" s="10">
        <v>2</v>
      </c>
      <c r="E10" s="52">
        <v>0</v>
      </c>
      <c r="F10" s="10">
        <f t="shared" si="0"/>
        <v>0</v>
      </c>
      <c r="G10" s="10">
        <v>2</v>
      </c>
      <c r="H10" s="53">
        <v>0</v>
      </c>
      <c r="I10" s="10">
        <f t="shared" si="1"/>
        <v>0</v>
      </c>
      <c r="J10" s="10">
        <v>3</v>
      </c>
      <c r="K10" s="52">
        <v>0</v>
      </c>
      <c r="L10" s="26">
        <f t="shared" si="2"/>
        <v>0</v>
      </c>
      <c r="M10" s="10">
        <v>3</v>
      </c>
      <c r="N10" s="53">
        <v>0</v>
      </c>
      <c r="O10" s="26">
        <f t="shared" si="3"/>
        <v>0</v>
      </c>
      <c r="P10" s="7">
        <v>4</v>
      </c>
      <c r="Q10" s="7">
        <v>3</v>
      </c>
      <c r="R10" s="26">
        <f t="shared" si="4"/>
        <v>75</v>
      </c>
      <c r="S10" s="18">
        <v>4</v>
      </c>
      <c r="T10" s="9">
        <v>3</v>
      </c>
      <c r="U10" s="26">
        <f t="shared" si="5"/>
        <v>75</v>
      </c>
      <c r="V10" s="7">
        <v>3</v>
      </c>
      <c r="W10" s="7">
        <v>1</v>
      </c>
      <c r="X10" s="26">
        <f t="shared" si="6"/>
        <v>33.333333333333329</v>
      </c>
      <c r="Y10" s="9">
        <v>3</v>
      </c>
      <c r="Z10" s="9">
        <v>1</v>
      </c>
      <c r="AA10" s="26">
        <f t="shared" si="7"/>
        <v>33.333333333333329</v>
      </c>
      <c r="AB10" s="7">
        <v>4</v>
      </c>
      <c r="AC10" s="7">
        <v>1</v>
      </c>
      <c r="AD10" s="26">
        <f t="shared" si="8"/>
        <v>25</v>
      </c>
      <c r="AE10" s="9">
        <v>4</v>
      </c>
      <c r="AF10" s="9">
        <v>1</v>
      </c>
      <c r="AG10" s="26">
        <f t="shared" si="9"/>
        <v>25</v>
      </c>
      <c r="AH10" s="7">
        <v>2</v>
      </c>
      <c r="AI10" s="7">
        <v>2</v>
      </c>
      <c r="AJ10" s="26">
        <f t="shared" si="10"/>
        <v>100</v>
      </c>
      <c r="AK10" s="9">
        <v>2</v>
      </c>
      <c r="AL10" s="9">
        <v>2</v>
      </c>
      <c r="AM10" s="26">
        <f t="shared" si="11"/>
        <v>100</v>
      </c>
      <c r="AN10" s="7">
        <v>3</v>
      </c>
      <c r="AO10" s="7">
        <v>2</v>
      </c>
      <c r="AP10" s="26">
        <f t="shared" si="12"/>
        <v>66.666666666666657</v>
      </c>
      <c r="AQ10" s="18">
        <v>3</v>
      </c>
      <c r="AR10" s="9">
        <v>2</v>
      </c>
      <c r="AS10" s="26">
        <f t="shared" si="13"/>
        <v>66.666666666666657</v>
      </c>
      <c r="AT10" s="10">
        <f t="shared" si="14"/>
        <v>21</v>
      </c>
      <c r="AU10" s="10">
        <f t="shared" si="14"/>
        <v>9</v>
      </c>
      <c r="AV10" s="26">
        <f t="shared" si="15"/>
        <v>42.857142857142854</v>
      </c>
      <c r="AW10" s="10">
        <f t="shared" si="16"/>
        <v>21</v>
      </c>
      <c r="AX10" s="10">
        <f t="shared" si="16"/>
        <v>9</v>
      </c>
      <c r="AY10" s="26">
        <f t="shared" si="17"/>
        <v>42.857142857142854</v>
      </c>
      <c r="AZ10" s="10">
        <f t="shared" si="18"/>
        <v>42</v>
      </c>
      <c r="BA10" s="10">
        <f t="shared" si="18"/>
        <v>18</v>
      </c>
      <c r="BB10" s="27">
        <f t="shared" si="19"/>
        <v>42.857142857142854</v>
      </c>
    </row>
    <row r="11" spans="1:54">
      <c r="A11" s="12">
        <v>5</v>
      </c>
      <c r="B11" s="13">
        <v>1230321002</v>
      </c>
      <c r="C11" s="14" t="s">
        <v>27</v>
      </c>
      <c r="D11" s="10">
        <v>2</v>
      </c>
      <c r="E11" s="52">
        <v>2</v>
      </c>
      <c r="F11" s="10">
        <f t="shared" si="0"/>
        <v>100</v>
      </c>
      <c r="G11" s="10">
        <v>2</v>
      </c>
      <c r="H11" s="53">
        <v>2</v>
      </c>
      <c r="I11" s="10">
        <f t="shared" si="1"/>
        <v>100</v>
      </c>
      <c r="J11" s="10">
        <v>3</v>
      </c>
      <c r="K11" s="52">
        <v>2</v>
      </c>
      <c r="L11" s="26">
        <f t="shared" si="2"/>
        <v>66.666666666666657</v>
      </c>
      <c r="M11" s="10">
        <v>3</v>
      </c>
      <c r="N11" s="53">
        <v>3</v>
      </c>
      <c r="O11" s="26">
        <f t="shared" si="3"/>
        <v>100</v>
      </c>
      <c r="P11" s="7">
        <v>4</v>
      </c>
      <c r="Q11" s="7">
        <v>3</v>
      </c>
      <c r="R11" s="26">
        <f t="shared" si="4"/>
        <v>75</v>
      </c>
      <c r="S11" s="18">
        <v>4</v>
      </c>
      <c r="T11" s="9">
        <v>3</v>
      </c>
      <c r="U11" s="26">
        <f t="shared" si="5"/>
        <v>75</v>
      </c>
      <c r="V11" s="7">
        <v>3</v>
      </c>
      <c r="W11" s="7">
        <v>2</v>
      </c>
      <c r="X11" s="26">
        <f t="shared" si="6"/>
        <v>66.666666666666657</v>
      </c>
      <c r="Y11" s="9">
        <v>3</v>
      </c>
      <c r="Z11" s="9">
        <v>2</v>
      </c>
      <c r="AA11" s="26">
        <f t="shared" si="7"/>
        <v>66.666666666666657</v>
      </c>
      <c r="AB11" s="7">
        <v>4</v>
      </c>
      <c r="AC11" s="7">
        <v>3</v>
      </c>
      <c r="AD11" s="26">
        <f t="shared" si="8"/>
        <v>75</v>
      </c>
      <c r="AE11" s="9">
        <v>4</v>
      </c>
      <c r="AF11" s="9">
        <v>2</v>
      </c>
      <c r="AG11" s="26">
        <f t="shared" si="9"/>
        <v>50</v>
      </c>
      <c r="AH11" s="7">
        <v>2</v>
      </c>
      <c r="AI11" s="7">
        <v>1</v>
      </c>
      <c r="AJ11" s="26">
        <f t="shared" si="10"/>
        <v>50</v>
      </c>
      <c r="AK11" s="9">
        <v>2</v>
      </c>
      <c r="AL11" s="9">
        <v>1</v>
      </c>
      <c r="AM11" s="26">
        <f t="shared" si="11"/>
        <v>50</v>
      </c>
      <c r="AN11" s="7">
        <v>3</v>
      </c>
      <c r="AO11" s="7">
        <v>2</v>
      </c>
      <c r="AP11" s="26">
        <f t="shared" si="12"/>
        <v>66.666666666666657</v>
      </c>
      <c r="AQ11" s="18">
        <v>3</v>
      </c>
      <c r="AR11" s="9">
        <v>2</v>
      </c>
      <c r="AS11" s="26">
        <f t="shared" si="13"/>
        <v>66.666666666666657</v>
      </c>
      <c r="AT11" s="10">
        <f t="shared" si="14"/>
        <v>21</v>
      </c>
      <c r="AU11" s="10">
        <f t="shared" si="14"/>
        <v>15</v>
      </c>
      <c r="AV11" s="26">
        <f t="shared" si="15"/>
        <v>71.428571428571431</v>
      </c>
      <c r="AW11" s="10">
        <f t="shared" si="16"/>
        <v>21</v>
      </c>
      <c r="AX11" s="10">
        <f t="shared" si="16"/>
        <v>15</v>
      </c>
      <c r="AY11" s="26">
        <f t="shared" si="17"/>
        <v>71.428571428571431</v>
      </c>
      <c r="AZ11" s="10">
        <f t="shared" si="18"/>
        <v>42</v>
      </c>
      <c r="BA11" s="10">
        <f t="shared" si="18"/>
        <v>30</v>
      </c>
      <c r="BB11" s="27">
        <f t="shared" si="19"/>
        <v>71.428571428571431</v>
      </c>
    </row>
    <row r="12" spans="1:54">
      <c r="A12" s="12">
        <v>6</v>
      </c>
      <c r="B12" s="13">
        <v>1230321003</v>
      </c>
      <c r="C12" s="14" t="s">
        <v>28</v>
      </c>
      <c r="D12" s="10">
        <v>2</v>
      </c>
      <c r="E12" s="52">
        <v>1</v>
      </c>
      <c r="F12" s="10">
        <f t="shared" si="0"/>
        <v>50</v>
      </c>
      <c r="G12" s="10">
        <v>2</v>
      </c>
      <c r="H12" s="53">
        <v>1</v>
      </c>
      <c r="I12" s="10">
        <f t="shared" si="1"/>
        <v>50</v>
      </c>
      <c r="J12" s="10">
        <v>3</v>
      </c>
      <c r="K12" s="52">
        <v>0</v>
      </c>
      <c r="L12" s="26">
        <f t="shared" si="2"/>
        <v>0</v>
      </c>
      <c r="M12" s="10">
        <v>3</v>
      </c>
      <c r="N12" s="53">
        <v>1</v>
      </c>
      <c r="O12" s="26">
        <f t="shared" si="3"/>
        <v>33.333333333333329</v>
      </c>
      <c r="P12" s="7">
        <v>4</v>
      </c>
      <c r="Q12" s="7">
        <v>3</v>
      </c>
      <c r="R12" s="26">
        <f t="shared" si="4"/>
        <v>75</v>
      </c>
      <c r="S12" s="18">
        <v>4</v>
      </c>
      <c r="T12" s="9">
        <v>3</v>
      </c>
      <c r="U12" s="26">
        <f t="shared" si="5"/>
        <v>75</v>
      </c>
      <c r="V12" s="7">
        <v>3</v>
      </c>
      <c r="W12" s="7">
        <v>3</v>
      </c>
      <c r="X12" s="26">
        <f t="shared" si="6"/>
        <v>100</v>
      </c>
      <c r="Y12" s="9">
        <v>3</v>
      </c>
      <c r="Z12" s="9">
        <v>3</v>
      </c>
      <c r="AA12" s="26">
        <f t="shared" si="7"/>
        <v>100</v>
      </c>
      <c r="AB12" s="7">
        <v>4</v>
      </c>
      <c r="AC12" s="7">
        <v>3</v>
      </c>
      <c r="AD12" s="26">
        <f t="shared" si="8"/>
        <v>75</v>
      </c>
      <c r="AE12" s="9">
        <v>4</v>
      </c>
      <c r="AF12" s="9">
        <v>3</v>
      </c>
      <c r="AG12" s="26">
        <f t="shared" si="9"/>
        <v>75</v>
      </c>
      <c r="AH12" s="7">
        <v>2</v>
      </c>
      <c r="AI12" s="7">
        <v>1</v>
      </c>
      <c r="AJ12" s="26">
        <f t="shared" si="10"/>
        <v>50</v>
      </c>
      <c r="AK12" s="9">
        <v>2</v>
      </c>
      <c r="AL12" s="9">
        <v>1</v>
      </c>
      <c r="AM12" s="26">
        <f t="shared" si="11"/>
        <v>50</v>
      </c>
      <c r="AN12" s="7">
        <v>3</v>
      </c>
      <c r="AO12" s="7">
        <v>2</v>
      </c>
      <c r="AP12" s="26">
        <f t="shared" si="12"/>
        <v>66.666666666666657</v>
      </c>
      <c r="AQ12" s="18">
        <v>3</v>
      </c>
      <c r="AR12" s="9">
        <v>2</v>
      </c>
      <c r="AS12" s="26">
        <f t="shared" si="13"/>
        <v>66.666666666666657</v>
      </c>
      <c r="AT12" s="10">
        <f t="shared" si="14"/>
        <v>21</v>
      </c>
      <c r="AU12" s="10">
        <f t="shared" si="14"/>
        <v>13</v>
      </c>
      <c r="AV12" s="26">
        <f t="shared" si="15"/>
        <v>61.904761904761905</v>
      </c>
      <c r="AW12" s="10">
        <f t="shared" si="16"/>
        <v>21</v>
      </c>
      <c r="AX12" s="10">
        <f t="shared" si="16"/>
        <v>14</v>
      </c>
      <c r="AY12" s="26">
        <f t="shared" si="17"/>
        <v>66.666666666666657</v>
      </c>
      <c r="AZ12" s="10">
        <f t="shared" si="18"/>
        <v>42</v>
      </c>
      <c r="BA12" s="10">
        <f t="shared" si="18"/>
        <v>27</v>
      </c>
      <c r="BB12" s="27">
        <f t="shared" si="19"/>
        <v>64.285714285714292</v>
      </c>
    </row>
    <row r="13" spans="1:54">
      <c r="A13" s="12">
        <v>7</v>
      </c>
      <c r="B13" s="13">
        <v>1230321004</v>
      </c>
      <c r="C13" s="14" t="s">
        <v>29</v>
      </c>
      <c r="D13" s="10">
        <v>2</v>
      </c>
      <c r="E13" s="52">
        <v>0</v>
      </c>
      <c r="F13" s="10">
        <f t="shared" si="0"/>
        <v>0</v>
      </c>
      <c r="G13" s="10">
        <v>2</v>
      </c>
      <c r="H13" s="53">
        <v>0</v>
      </c>
      <c r="I13" s="10">
        <f t="shared" si="1"/>
        <v>0</v>
      </c>
      <c r="J13" s="10">
        <v>3</v>
      </c>
      <c r="K13" s="52">
        <v>3</v>
      </c>
      <c r="L13" s="26">
        <f t="shared" si="2"/>
        <v>100</v>
      </c>
      <c r="M13" s="10">
        <v>3</v>
      </c>
      <c r="N13" s="53">
        <v>3</v>
      </c>
      <c r="O13" s="26">
        <f t="shared" si="3"/>
        <v>100</v>
      </c>
      <c r="P13" s="7">
        <v>4</v>
      </c>
      <c r="Q13" s="7">
        <v>1</v>
      </c>
      <c r="R13" s="26">
        <f t="shared" si="4"/>
        <v>25</v>
      </c>
      <c r="S13" s="18">
        <v>4</v>
      </c>
      <c r="T13" s="9">
        <v>1</v>
      </c>
      <c r="U13" s="26">
        <f t="shared" si="5"/>
        <v>25</v>
      </c>
      <c r="V13" s="7">
        <v>3</v>
      </c>
      <c r="W13" s="7">
        <v>2</v>
      </c>
      <c r="X13" s="26">
        <f t="shared" si="6"/>
        <v>66.666666666666657</v>
      </c>
      <c r="Y13" s="9">
        <v>3</v>
      </c>
      <c r="Z13" s="9">
        <v>2</v>
      </c>
      <c r="AA13" s="26">
        <f t="shared" si="7"/>
        <v>66.666666666666657</v>
      </c>
      <c r="AB13" s="7">
        <v>4</v>
      </c>
      <c r="AC13" s="7">
        <v>2</v>
      </c>
      <c r="AD13" s="26">
        <f t="shared" si="8"/>
        <v>50</v>
      </c>
      <c r="AE13" s="9">
        <v>4</v>
      </c>
      <c r="AF13" s="9">
        <v>2</v>
      </c>
      <c r="AG13" s="26">
        <f t="shared" si="9"/>
        <v>50</v>
      </c>
      <c r="AH13" s="7">
        <v>2</v>
      </c>
      <c r="AI13" s="7">
        <v>1</v>
      </c>
      <c r="AJ13" s="26">
        <f t="shared" si="10"/>
        <v>50</v>
      </c>
      <c r="AK13" s="9">
        <v>2</v>
      </c>
      <c r="AL13" s="9">
        <v>1</v>
      </c>
      <c r="AM13" s="26">
        <f t="shared" si="11"/>
        <v>50</v>
      </c>
      <c r="AN13" s="7">
        <v>3</v>
      </c>
      <c r="AO13" s="7">
        <v>1</v>
      </c>
      <c r="AP13" s="26">
        <f t="shared" si="12"/>
        <v>33.333333333333329</v>
      </c>
      <c r="AQ13" s="18">
        <v>3</v>
      </c>
      <c r="AR13" s="9">
        <v>1</v>
      </c>
      <c r="AS13" s="26">
        <f t="shared" si="13"/>
        <v>33.333333333333329</v>
      </c>
      <c r="AT13" s="10">
        <f t="shared" si="14"/>
        <v>21</v>
      </c>
      <c r="AU13" s="10">
        <f t="shared" si="14"/>
        <v>10</v>
      </c>
      <c r="AV13" s="26">
        <f t="shared" si="15"/>
        <v>47.619047619047613</v>
      </c>
      <c r="AW13" s="10">
        <f t="shared" si="16"/>
        <v>21</v>
      </c>
      <c r="AX13" s="10">
        <f t="shared" si="16"/>
        <v>10</v>
      </c>
      <c r="AY13" s="26">
        <f t="shared" si="17"/>
        <v>47.619047619047613</v>
      </c>
      <c r="AZ13" s="10">
        <f t="shared" si="18"/>
        <v>42</v>
      </c>
      <c r="BA13" s="10">
        <f t="shared" si="18"/>
        <v>20</v>
      </c>
      <c r="BB13" s="27">
        <f t="shared" si="19"/>
        <v>47.619047619047613</v>
      </c>
    </row>
    <row r="14" spans="1:54">
      <c r="A14" s="12">
        <v>8</v>
      </c>
      <c r="B14" s="13">
        <v>1230321005</v>
      </c>
      <c r="C14" s="14" t="s">
        <v>30</v>
      </c>
      <c r="D14" s="10">
        <v>2</v>
      </c>
      <c r="E14" s="52">
        <v>2</v>
      </c>
      <c r="F14" s="10">
        <f t="shared" si="0"/>
        <v>100</v>
      </c>
      <c r="G14" s="10">
        <v>2</v>
      </c>
      <c r="H14" s="53">
        <v>2</v>
      </c>
      <c r="I14" s="10">
        <f t="shared" si="1"/>
        <v>100</v>
      </c>
      <c r="J14" s="10">
        <v>3</v>
      </c>
      <c r="K14" s="52">
        <v>2</v>
      </c>
      <c r="L14" s="26">
        <f t="shared" si="2"/>
        <v>66.666666666666657</v>
      </c>
      <c r="M14" s="10">
        <v>3</v>
      </c>
      <c r="N14" s="53">
        <v>2</v>
      </c>
      <c r="O14" s="26">
        <f t="shared" si="3"/>
        <v>66.666666666666657</v>
      </c>
      <c r="P14" s="7">
        <v>4</v>
      </c>
      <c r="Q14" s="7">
        <v>4</v>
      </c>
      <c r="R14" s="26">
        <f t="shared" si="4"/>
        <v>100</v>
      </c>
      <c r="S14" s="18">
        <v>4</v>
      </c>
      <c r="T14" s="9">
        <v>4</v>
      </c>
      <c r="U14" s="26">
        <f t="shared" si="5"/>
        <v>100</v>
      </c>
      <c r="V14" s="7">
        <v>3</v>
      </c>
      <c r="W14" s="7">
        <v>2</v>
      </c>
      <c r="X14" s="26">
        <f t="shared" si="6"/>
        <v>66.666666666666657</v>
      </c>
      <c r="Y14" s="9">
        <v>3</v>
      </c>
      <c r="Z14" s="9">
        <v>2</v>
      </c>
      <c r="AA14" s="26">
        <f t="shared" si="7"/>
        <v>66.666666666666657</v>
      </c>
      <c r="AB14" s="7">
        <v>4</v>
      </c>
      <c r="AC14" s="7">
        <v>4</v>
      </c>
      <c r="AD14" s="26">
        <f t="shared" si="8"/>
        <v>100</v>
      </c>
      <c r="AE14" s="9">
        <v>4</v>
      </c>
      <c r="AF14" s="9">
        <v>4</v>
      </c>
      <c r="AG14" s="26">
        <f t="shared" si="9"/>
        <v>100</v>
      </c>
      <c r="AH14" s="7">
        <v>2</v>
      </c>
      <c r="AI14" s="7">
        <v>2</v>
      </c>
      <c r="AJ14" s="26">
        <f t="shared" si="10"/>
        <v>100</v>
      </c>
      <c r="AK14" s="9">
        <v>2</v>
      </c>
      <c r="AL14" s="9">
        <v>2</v>
      </c>
      <c r="AM14" s="26">
        <f t="shared" si="11"/>
        <v>100</v>
      </c>
      <c r="AN14" s="7">
        <v>3</v>
      </c>
      <c r="AO14" s="7">
        <v>2</v>
      </c>
      <c r="AP14" s="26">
        <f t="shared" si="12"/>
        <v>66.666666666666657</v>
      </c>
      <c r="AQ14" s="18">
        <v>3</v>
      </c>
      <c r="AR14" s="9">
        <v>2</v>
      </c>
      <c r="AS14" s="26">
        <f t="shared" si="13"/>
        <v>66.666666666666657</v>
      </c>
      <c r="AT14" s="10">
        <f t="shared" si="14"/>
        <v>21</v>
      </c>
      <c r="AU14" s="10">
        <f t="shared" si="14"/>
        <v>18</v>
      </c>
      <c r="AV14" s="26">
        <f t="shared" si="15"/>
        <v>85.714285714285708</v>
      </c>
      <c r="AW14" s="10">
        <f t="shared" si="16"/>
        <v>21</v>
      </c>
      <c r="AX14" s="10">
        <f t="shared" si="16"/>
        <v>18</v>
      </c>
      <c r="AY14" s="26">
        <f t="shared" si="17"/>
        <v>85.714285714285708</v>
      </c>
      <c r="AZ14" s="10">
        <f t="shared" si="18"/>
        <v>42</v>
      </c>
      <c r="BA14" s="10">
        <f t="shared" si="18"/>
        <v>36</v>
      </c>
      <c r="BB14" s="27">
        <f t="shared" si="19"/>
        <v>85.714285714285708</v>
      </c>
    </row>
    <row r="15" spans="1:54">
      <c r="A15" s="12">
        <v>9</v>
      </c>
      <c r="B15" s="13">
        <v>1230321006</v>
      </c>
      <c r="C15" s="14" t="s">
        <v>31</v>
      </c>
      <c r="D15" s="10">
        <v>2</v>
      </c>
      <c r="E15" s="52">
        <v>2</v>
      </c>
      <c r="F15" s="10">
        <f t="shared" si="0"/>
        <v>100</v>
      </c>
      <c r="G15" s="10">
        <v>2</v>
      </c>
      <c r="H15" s="53">
        <v>2</v>
      </c>
      <c r="I15" s="10">
        <f t="shared" si="1"/>
        <v>100</v>
      </c>
      <c r="J15" s="10">
        <v>3</v>
      </c>
      <c r="K15" s="52">
        <v>2</v>
      </c>
      <c r="L15" s="26">
        <f t="shared" si="2"/>
        <v>66.666666666666657</v>
      </c>
      <c r="M15" s="10">
        <v>3</v>
      </c>
      <c r="N15" s="53">
        <v>2</v>
      </c>
      <c r="O15" s="26">
        <f t="shared" si="3"/>
        <v>66.666666666666657</v>
      </c>
      <c r="P15" s="7">
        <v>4</v>
      </c>
      <c r="Q15" s="7">
        <v>2</v>
      </c>
      <c r="R15" s="26">
        <f t="shared" si="4"/>
        <v>50</v>
      </c>
      <c r="S15" s="18">
        <v>4</v>
      </c>
      <c r="T15" s="9">
        <v>2</v>
      </c>
      <c r="U15" s="26">
        <f t="shared" si="5"/>
        <v>50</v>
      </c>
      <c r="V15" s="7">
        <v>3</v>
      </c>
      <c r="W15" s="7">
        <v>2</v>
      </c>
      <c r="X15" s="26">
        <f t="shared" si="6"/>
        <v>66.666666666666657</v>
      </c>
      <c r="Y15" s="9">
        <v>3</v>
      </c>
      <c r="Z15" s="9">
        <v>2</v>
      </c>
      <c r="AA15" s="26">
        <f t="shared" si="7"/>
        <v>66.666666666666657</v>
      </c>
      <c r="AB15" s="7">
        <v>4</v>
      </c>
      <c r="AC15" s="7">
        <v>3</v>
      </c>
      <c r="AD15" s="26">
        <f t="shared" si="8"/>
        <v>75</v>
      </c>
      <c r="AE15" s="9">
        <v>4</v>
      </c>
      <c r="AF15" s="9">
        <v>3</v>
      </c>
      <c r="AG15" s="26">
        <f t="shared" si="9"/>
        <v>75</v>
      </c>
      <c r="AH15" s="7">
        <v>2</v>
      </c>
      <c r="AI15" s="7">
        <v>2</v>
      </c>
      <c r="AJ15" s="26">
        <f t="shared" si="10"/>
        <v>100</v>
      </c>
      <c r="AK15" s="9">
        <v>2</v>
      </c>
      <c r="AL15" s="9">
        <v>2</v>
      </c>
      <c r="AM15" s="26">
        <f t="shared" si="11"/>
        <v>100</v>
      </c>
      <c r="AN15" s="7">
        <v>3</v>
      </c>
      <c r="AO15" s="7">
        <v>3</v>
      </c>
      <c r="AP15" s="26">
        <f t="shared" si="12"/>
        <v>100</v>
      </c>
      <c r="AQ15" s="18">
        <v>3</v>
      </c>
      <c r="AR15" s="9">
        <v>3</v>
      </c>
      <c r="AS15" s="26">
        <f t="shared" si="13"/>
        <v>100</v>
      </c>
      <c r="AT15" s="10">
        <f t="shared" si="14"/>
        <v>21</v>
      </c>
      <c r="AU15" s="10">
        <f t="shared" si="14"/>
        <v>16</v>
      </c>
      <c r="AV15" s="26">
        <f t="shared" si="15"/>
        <v>76.19047619047619</v>
      </c>
      <c r="AW15" s="10">
        <f t="shared" si="16"/>
        <v>21</v>
      </c>
      <c r="AX15" s="10">
        <f t="shared" si="16"/>
        <v>16</v>
      </c>
      <c r="AY15" s="26">
        <f t="shared" si="17"/>
        <v>76.19047619047619</v>
      </c>
      <c r="AZ15" s="10">
        <f t="shared" si="18"/>
        <v>42</v>
      </c>
      <c r="BA15" s="10">
        <f t="shared" si="18"/>
        <v>32</v>
      </c>
      <c r="BB15" s="27">
        <f t="shared" si="19"/>
        <v>76.19047619047619</v>
      </c>
    </row>
    <row r="16" spans="1:54">
      <c r="A16" s="12">
        <v>10</v>
      </c>
      <c r="B16" s="13">
        <v>1230321007</v>
      </c>
      <c r="C16" s="14" t="s">
        <v>32</v>
      </c>
      <c r="D16" s="10">
        <v>2</v>
      </c>
      <c r="E16" s="52">
        <v>1</v>
      </c>
      <c r="F16" s="10">
        <f t="shared" si="0"/>
        <v>50</v>
      </c>
      <c r="G16" s="10">
        <v>2</v>
      </c>
      <c r="H16" s="53">
        <v>1</v>
      </c>
      <c r="I16" s="10">
        <f t="shared" si="1"/>
        <v>50</v>
      </c>
      <c r="J16" s="10">
        <v>3</v>
      </c>
      <c r="K16" s="52">
        <v>2</v>
      </c>
      <c r="L16" s="26">
        <f t="shared" si="2"/>
        <v>66.666666666666657</v>
      </c>
      <c r="M16" s="10">
        <v>3</v>
      </c>
      <c r="N16" s="53">
        <v>2</v>
      </c>
      <c r="O16" s="26">
        <f t="shared" si="3"/>
        <v>66.666666666666657</v>
      </c>
      <c r="P16" s="7">
        <v>4</v>
      </c>
      <c r="Q16" s="10">
        <v>4</v>
      </c>
      <c r="R16" s="26">
        <f t="shared" si="4"/>
        <v>100</v>
      </c>
      <c r="S16" s="18">
        <v>4</v>
      </c>
      <c r="T16" s="9">
        <v>4</v>
      </c>
      <c r="U16" s="26">
        <f t="shared" si="5"/>
        <v>100</v>
      </c>
      <c r="V16" s="7">
        <v>3</v>
      </c>
      <c r="W16" s="10">
        <v>2</v>
      </c>
      <c r="X16" s="26">
        <f t="shared" si="6"/>
        <v>66.666666666666657</v>
      </c>
      <c r="Y16" s="9">
        <v>3</v>
      </c>
      <c r="Z16" s="9">
        <v>2</v>
      </c>
      <c r="AA16" s="26">
        <f t="shared" si="7"/>
        <v>66.666666666666657</v>
      </c>
      <c r="AB16" s="7">
        <v>4</v>
      </c>
      <c r="AC16" s="10">
        <v>3</v>
      </c>
      <c r="AD16" s="26">
        <f t="shared" si="8"/>
        <v>75</v>
      </c>
      <c r="AE16" s="9">
        <v>4</v>
      </c>
      <c r="AF16" s="9">
        <v>4</v>
      </c>
      <c r="AG16" s="26">
        <f t="shared" si="9"/>
        <v>100</v>
      </c>
      <c r="AH16" s="7">
        <v>2</v>
      </c>
      <c r="AI16" s="10">
        <v>1</v>
      </c>
      <c r="AJ16" s="26">
        <f t="shared" si="10"/>
        <v>50</v>
      </c>
      <c r="AK16" s="9">
        <v>2</v>
      </c>
      <c r="AL16" s="9">
        <v>1</v>
      </c>
      <c r="AM16" s="26">
        <f t="shared" si="11"/>
        <v>50</v>
      </c>
      <c r="AN16" s="7">
        <v>3</v>
      </c>
      <c r="AO16" s="10">
        <v>3</v>
      </c>
      <c r="AP16" s="26">
        <f t="shared" si="12"/>
        <v>100</v>
      </c>
      <c r="AQ16" s="18">
        <v>3</v>
      </c>
      <c r="AR16" s="9">
        <v>3</v>
      </c>
      <c r="AS16" s="26">
        <f t="shared" si="13"/>
        <v>100</v>
      </c>
      <c r="AT16" s="10">
        <f t="shared" si="14"/>
        <v>21</v>
      </c>
      <c r="AU16" s="10">
        <f t="shared" si="14"/>
        <v>16</v>
      </c>
      <c r="AV16" s="26">
        <f t="shared" si="15"/>
        <v>76.19047619047619</v>
      </c>
      <c r="AW16" s="10">
        <f t="shared" si="16"/>
        <v>21</v>
      </c>
      <c r="AX16" s="10">
        <f t="shared" si="16"/>
        <v>17</v>
      </c>
      <c r="AY16" s="26">
        <f t="shared" si="17"/>
        <v>80.952380952380949</v>
      </c>
      <c r="AZ16" s="10">
        <f t="shared" si="18"/>
        <v>42</v>
      </c>
      <c r="BA16" s="10">
        <f t="shared" si="18"/>
        <v>33</v>
      </c>
      <c r="BB16" s="27">
        <f t="shared" si="19"/>
        <v>78.571428571428569</v>
      </c>
    </row>
    <row r="17" spans="1:54">
      <c r="A17" s="12">
        <v>11</v>
      </c>
      <c r="B17" s="13">
        <v>1230321008</v>
      </c>
      <c r="C17" s="14" t="s">
        <v>33</v>
      </c>
      <c r="D17" s="10">
        <v>2</v>
      </c>
      <c r="E17" s="52">
        <v>1</v>
      </c>
      <c r="F17" s="10">
        <f t="shared" si="0"/>
        <v>50</v>
      </c>
      <c r="G17" s="10">
        <v>2</v>
      </c>
      <c r="H17" s="53">
        <v>1</v>
      </c>
      <c r="I17" s="10">
        <f t="shared" si="1"/>
        <v>50</v>
      </c>
      <c r="J17" s="10">
        <v>3</v>
      </c>
      <c r="K17" s="52">
        <v>1</v>
      </c>
      <c r="L17" s="26">
        <f t="shared" si="2"/>
        <v>33.333333333333329</v>
      </c>
      <c r="M17" s="10">
        <v>3</v>
      </c>
      <c r="N17" s="53">
        <v>1</v>
      </c>
      <c r="O17" s="26">
        <f t="shared" si="3"/>
        <v>33.333333333333329</v>
      </c>
      <c r="P17" s="7">
        <v>4</v>
      </c>
      <c r="Q17" s="7">
        <v>2</v>
      </c>
      <c r="R17" s="26">
        <f t="shared" si="4"/>
        <v>50</v>
      </c>
      <c r="S17" s="18">
        <v>4</v>
      </c>
      <c r="T17" s="9">
        <v>2</v>
      </c>
      <c r="U17" s="26">
        <f t="shared" si="5"/>
        <v>50</v>
      </c>
      <c r="V17" s="7">
        <v>3</v>
      </c>
      <c r="W17" s="7">
        <v>2</v>
      </c>
      <c r="X17" s="26">
        <f t="shared" si="6"/>
        <v>66.666666666666657</v>
      </c>
      <c r="Y17" s="9">
        <v>3</v>
      </c>
      <c r="Z17" s="9">
        <v>2</v>
      </c>
      <c r="AA17" s="26">
        <f t="shared" si="7"/>
        <v>66.666666666666657</v>
      </c>
      <c r="AB17" s="7">
        <v>4</v>
      </c>
      <c r="AC17" s="7">
        <v>3</v>
      </c>
      <c r="AD17" s="26">
        <f t="shared" si="8"/>
        <v>75</v>
      </c>
      <c r="AE17" s="9">
        <v>4</v>
      </c>
      <c r="AF17" s="9">
        <v>2</v>
      </c>
      <c r="AG17" s="26">
        <f t="shared" si="9"/>
        <v>50</v>
      </c>
      <c r="AH17" s="7">
        <v>2</v>
      </c>
      <c r="AI17" s="7">
        <v>2</v>
      </c>
      <c r="AJ17" s="26">
        <f t="shared" si="10"/>
        <v>100</v>
      </c>
      <c r="AK17" s="9">
        <v>2</v>
      </c>
      <c r="AL17" s="9">
        <v>2</v>
      </c>
      <c r="AM17" s="26">
        <f t="shared" si="11"/>
        <v>100</v>
      </c>
      <c r="AN17" s="7">
        <v>3</v>
      </c>
      <c r="AO17" s="7">
        <v>3</v>
      </c>
      <c r="AP17" s="26">
        <f t="shared" si="12"/>
        <v>100</v>
      </c>
      <c r="AQ17" s="18">
        <v>3</v>
      </c>
      <c r="AR17" s="9">
        <v>2</v>
      </c>
      <c r="AS17" s="26">
        <f t="shared" si="13"/>
        <v>66.666666666666657</v>
      </c>
      <c r="AT17" s="10">
        <f t="shared" si="14"/>
        <v>21</v>
      </c>
      <c r="AU17" s="10">
        <f t="shared" si="14"/>
        <v>14</v>
      </c>
      <c r="AV17" s="26">
        <f t="shared" si="15"/>
        <v>66.666666666666657</v>
      </c>
      <c r="AW17" s="10">
        <f t="shared" si="16"/>
        <v>21</v>
      </c>
      <c r="AX17" s="10">
        <f t="shared" si="16"/>
        <v>12</v>
      </c>
      <c r="AY17" s="26">
        <f t="shared" si="17"/>
        <v>57.142857142857139</v>
      </c>
      <c r="AZ17" s="10">
        <f t="shared" si="18"/>
        <v>42</v>
      </c>
      <c r="BA17" s="10">
        <f t="shared" si="18"/>
        <v>26</v>
      </c>
      <c r="BB17" s="27">
        <f t="shared" si="19"/>
        <v>61.904761904761905</v>
      </c>
    </row>
    <row r="18" spans="1:54">
      <c r="A18" s="12">
        <v>12</v>
      </c>
      <c r="B18" s="13">
        <v>1230321009</v>
      </c>
      <c r="C18" s="14" t="s">
        <v>34</v>
      </c>
      <c r="D18" s="10">
        <v>2</v>
      </c>
      <c r="E18" s="52">
        <v>0</v>
      </c>
      <c r="F18" s="10">
        <f t="shared" si="0"/>
        <v>0</v>
      </c>
      <c r="G18" s="10">
        <v>2</v>
      </c>
      <c r="H18" s="53">
        <v>0</v>
      </c>
      <c r="I18" s="10">
        <f t="shared" si="1"/>
        <v>0</v>
      </c>
      <c r="J18" s="10">
        <v>3</v>
      </c>
      <c r="K18" s="52">
        <v>2</v>
      </c>
      <c r="L18" s="26">
        <f t="shared" si="2"/>
        <v>66.666666666666657</v>
      </c>
      <c r="M18" s="10">
        <v>3</v>
      </c>
      <c r="N18" s="53">
        <v>3</v>
      </c>
      <c r="O18" s="26">
        <f>N18/M18*100</f>
        <v>100</v>
      </c>
      <c r="P18" s="7">
        <v>4</v>
      </c>
      <c r="Q18" s="7">
        <v>4</v>
      </c>
      <c r="R18" s="26">
        <f t="shared" si="4"/>
        <v>100</v>
      </c>
      <c r="S18" s="18">
        <v>4</v>
      </c>
      <c r="T18" s="9">
        <v>4</v>
      </c>
      <c r="U18" s="26">
        <f t="shared" si="5"/>
        <v>100</v>
      </c>
      <c r="V18" s="7">
        <v>3</v>
      </c>
      <c r="W18" s="7">
        <v>2</v>
      </c>
      <c r="X18" s="26">
        <f t="shared" si="6"/>
        <v>66.666666666666657</v>
      </c>
      <c r="Y18" s="9">
        <v>3</v>
      </c>
      <c r="Z18" s="9">
        <v>2</v>
      </c>
      <c r="AA18" s="26">
        <f t="shared" si="7"/>
        <v>66.666666666666657</v>
      </c>
      <c r="AB18" s="7">
        <v>4</v>
      </c>
      <c r="AC18" s="7">
        <v>1</v>
      </c>
      <c r="AD18" s="26">
        <f t="shared" si="8"/>
        <v>25</v>
      </c>
      <c r="AE18" s="9">
        <v>4</v>
      </c>
      <c r="AF18" s="9">
        <v>3</v>
      </c>
      <c r="AG18" s="26">
        <f t="shared" si="9"/>
        <v>75</v>
      </c>
      <c r="AH18" s="7">
        <v>2</v>
      </c>
      <c r="AI18" s="7">
        <v>1</v>
      </c>
      <c r="AJ18" s="26">
        <f t="shared" si="10"/>
        <v>50</v>
      </c>
      <c r="AK18" s="9">
        <v>2</v>
      </c>
      <c r="AL18" s="9">
        <v>1</v>
      </c>
      <c r="AM18" s="26">
        <f t="shared" si="11"/>
        <v>50</v>
      </c>
      <c r="AN18" s="7">
        <v>3</v>
      </c>
      <c r="AO18" s="7">
        <v>3</v>
      </c>
      <c r="AP18" s="26">
        <f t="shared" si="12"/>
        <v>100</v>
      </c>
      <c r="AQ18" s="18">
        <v>3</v>
      </c>
      <c r="AR18" s="9">
        <v>2</v>
      </c>
      <c r="AS18" s="26">
        <f t="shared" si="13"/>
        <v>66.666666666666657</v>
      </c>
      <c r="AT18" s="10">
        <f t="shared" si="14"/>
        <v>21</v>
      </c>
      <c r="AU18" s="10">
        <f t="shared" si="14"/>
        <v>13</v>
      </c>
      <c r="AV18" s="26">
        <f t="shared" si="15"/>
        <v>61.904761904761905</v>
      </c>
      <c r="AW18" s="10">
        <f t="shared" si="16"/>
        <v>21</v>
      </c>
      <c r="AX18" s="10">
        <f t="shared" si="16"/>
        <v>15</v>
      </c>
      <c r="AY18" s="26">
        <f t="shared" si="17"/>
        <v>71.428571428571431</v>
      </c>
      <c r="AZ18" s="10">
        <f t="shared" si="18"/>
        <v>42</v>
      </c>
      <c r="BA18" s="10">
        <f t="shared" si="18"/>
        <v>28</v>
      </c>
      <c r="BB18" s="27">
        <f t="shared" si="19"/>
        <v>66.666666666666657</v>
      </c>
    </row>
    <row r="19" spans="1:54">
      <c r="A19" s="12">
        <v>13</v>
      </c>
      <c r="B19" s="13">
        <v>1230321010</v>
      </c>
      <c r="C19" s="14" t="s">
        <v>35</v>
      </c>
      <c r="D19" s="10">
        <v>2</v>
      </c>
      <c r="E19" s="52">
        <v>1</v>
      </c>
      <c r="F19" s="10">
        <f t="shared" si="0"/>
        <v>50</v>
      </c>
      <c r="G19" s="10">
        <v>2</v>
      </c>
      <c r="H19" s="53">
        <v>1</v>
      </c>
      <c r="I19" s="10">
        <f t="shared" si="1"/>
        <v>50</v>
      </c>
      <c r="J19" s="10">
        <v>3</v>
      </c>
      <c r="K19" s="52">
        <v>1</v>
      </c>
      <c r="L19" s="26">
        <f t="shared" si="2"/>
        <v>33.333333333333329</v>
      </c>
      <c r="M19" s="10">
        <v>3</v>
      </c>
      <c r="N19" s="53">
        <v>0</v>
      </c>
      <c r="O19" s="26">
        <f t="shared" si="3"/>
        <v>0</v>
      </c>
      <c r="P19" s="7">
        <v>4</v>
      </c>
      <c r="Q19" s="7">
        <v>2</v>
      </c>
      <c r="R19" s="26">
        <f t="shared" si="4"/>
        <v>50</v>
      </c>
      <c r="S19" s="18">
        <v>4</v>
      </c>
      <c r="T19" s="9">
        <v>2</v>
      </c>
      <c r="U19" s="26">
        <f t="shared" si="5"/>
        <v>50</v>
      </c>
      <c r="V19" s="7">
        <v>3</v>
      </c>
      <c r="W19" s="7">
        <v>1</v>
      </c>
      <c r="X19" s="26">
        <f t="shared" si="6"/>
        <v>33.333333333333329</v>
      </c>
      <c r="Y19" s="9">
        <v>3</v>
      </c>
      <c r="Z19" s="9">
        <v>1</v>
      </c>
      <c r="AA19" s="26">
        <f t="shared" si="7"/>
        <v>33.333333333333329</v>
      </c>
      <c r="AB19" s="7">
        <v>4</v>
      </c>
      <c r="AC19" s="7">
        <v>3</v>
      </c>
      <c r="AD19" s="26">
        <f t="shared" si="8"/>
        <v>75</v>
      </c>
      <c r="AE19" s="9">
        <v>4</v>
      </c>
      <c r="AF19" s="9">
        <v>2</v>
      </c>
      <c r="AG19" s="26">
        <f t="shared" si="9"/>
        <v>50</v>
      </c>
      <c r="AH19" s="7">
        <v>2</v>
      </c>
      <c r="AI19" s="7">
        <v>1</v>
      </c>
      <c r="AJ19" s="26">
        <f t="shared" si="10"/>
        <v>50</v>
      </c>
      <c r="AK19" s="9">
        <v>2</v>
      </c>
      <c r="AL19" s="9">
        <v>1</v>
      </c>
      <c r="AM19" s="26">
        <f t="shared" si="11"/>
        <v>50</v>
      </c>
      <c r="AN19" s="7">
        <v>3</v>
      </c>
      <c r="AO19" s="7">
        <v>3</v>
      </c>
      <c r="AP19" s="26">
        <f t="shared" si="12"/>
        <v>100</v>
      </c>
      <c r="AQ19" s="18">
        <v>3</v>
      </c>
      <c r="AR19" s="9">
        <v>3</v>
      </c>
      <c r="AS19" s="26">
        <f t="shared" si="13"/>
        <v>100</v>
      </c>
      <c r="AT19" s="10">
        <f t="shared" si="14"/>
        <v>21</v>
      </c>
      <c r="AU19" s="10">
        <f t="shared" si="14"/>
        <v>12</v>
      </c>
      <c r="AV19" s="26">
        <f t="shared" si="15"/>
        <v>57.142857142857139</v>
      </c>
      <c r="AW19" s="10">
        <f t="shared" si="16"/>
        <v>21</v>
      </c>
      <c r="AX19" s="10">
        <f t="shared" si="16"/>
        <v>10</v>
      </c>
      <c r="AY19" s="26">
        <f t="shared" si="17"/>
        <v>47.619047619047613</v>
      </c>
      <c r="AZ19" s="10">
        <f t="shared" si="18"/>
        <v>42</v>
      </c>
      <c r="BA19" s="10">
        <f t="shared" si="18"/>
        <v>22</v>
      </c>
      <c r="BB19" s="27">
        <f t="shared" si="19"/>
        <v>52.380952380952387</v>
      </c>
    </row>
    <row r="20" spans="1:54">
      <c r="A20" s="12">
        <v>14</v>
      </c>
      <c r="B20" s="13">
        <v>1230321011</v>
      </c>
      <c r="C20" s="14" t="s">
        <v>36</v>
      </c>
      <c r="D20" s="10">
        <v>2</v>
      </c>
      <c r="E20" s="52">
        <v>1</v>
      </c>
      <c r="F20" s="10">
        <f t="shared" si="0"/>
        <v>50</v>
      </c>
      <c r="G20" s="10">
        <v>2</v>
      </c>
      <c r="H20" s="53">
        <v>1</v>
      </c>
      <c r="I20" s="10">
        <f t="shared" si="1"/>
        <v>50</v>
      </c>
      <c r="J20" s="10">
        <v>3</v>
      </c>
      <c r="K20" s="52">
        <v>2</v>
      </c>
      <c r="L20" s="26">
        <f t="shared" si="2"/>
        <v>66.666666666666657</v>
      </c>
      <c r="M20" s="10">
        <v>3</v>
      </c>
      <c r="N20" s="53">
        <v>2</v>
      </c>
      <c r="O20" s="26">
        <f t="shared" si="3"/>
        <v>66.666666666666657</v>
      </c>
      <c r="P20" s="7">
        <v>4</v>
      </c>
      <c r="Q20" s="7">
        <v>2</v>
      </c>
      <c r="R20" s="26">
        <f t="shared" si="4"/>
        <v>50</v>
      </c>
      <c r="S20" s="18">
        <v>4</v>
      </c>
      <c r="T20" s="9">
        <v>3</v>
      </c>
      <c r="U20" s="26">
        <f t="shared" si="5"/>
        <v>75</v>
      </c>
      <c r="V20" s="7">
        <v>3</v>
      </c>
      <c r="W20" s="7">
        <v>1</v>
      </c>
      <c r="X20" s="26">
        <f t="shared" si="6"/>
        <v>33.333333333333329</v>
      </c>
      <c r="Y20" s="9">
        <v>3</v>
      </c>
      <c r="Z20" s="9">
        <v>1</v>
      </c>
      <c r="AA20" s="26">
        <f t="shared" si="7"/>
        <v>33.333333333333329</v>
      </c>
      <c r="AB20" s="7">
        <v>4</v>
      </c>
      <c r="AC20" s="7">
        <v>3</v>
      </c>
      <c r="AD20" s="26">
        <f t="shared" si="8"/>
        <v>75</v>
      </c>
      <c r="AE20" s="9">
        <v>4</v>
      </c>
      <c r="AF20" s="9">
        <v>3</v>
      </c>
      <c r="AG20" s="26">
        <f t="shared" si="9"/>
        <v>75</v>
      </c>
      <c r="AH20" s="7">
        <v>2</v>
      </c>
      <c r="AI20" s="7">
        <v>0</v>
      </c>
      <c r="AJ20" s="26">
        <f t="shared" si="10"/>
        <v>0</v>
      </c>
      <c r="AK20" s="9">
        <v>2</v>
      </c>
      <c r="AL20" s="9">
        <v>0</v>
      </c>
      <c r="AM20" s="26">
        <f t="shared" si="11"/>
        <v>0</v>
      </c>
      <c r="AN20" s="7">
        <v>3</v>
      </c>
      <c r="AO20" s="7">
        <v>2</v>
      </c>
      <c r="AP20" s="26">
        <f t="shared" si="12"/>
        <v>66.666666666666657</v>
      </c>
      <c r="AQ20" s="18">
        <v>3</v>
      </c>
      <c r="AR20" s="9">
        <v>2</v>
      </c>
      <c r="AS20" s="26">
        <f t="shared" si="13"/>
        <v>66.666666666666657</v>
      </c>
      <c r="AT20" s="10">
        <f t="shared" si="14"/>
        <v>21</v>
      </c>
      <c r="AU20" s="10">
        <f t="shared" si="14"/>
        <v>11</v>
      </c>
      <c r="AV20" s="26">
        <f t="shared" si="15"/>
        <v>52.380952380952387</v>
      </c>
      <c r="AW20" s="10">
        <f t="shared" si="16"/>
        <v>21</v>
      </c>
      <c r="AX20" s="10">
        <f t="shared" si="16"/>
        <v>12</v>
      </c>
      <c r="AY20" s="26">
        <f t="shared" si="17"/>
        <v>57.142857142857139</v>
      </c>
      <c r="AZ20" s="10">
        <f t="shared" si="18"/>
        <v>42</v>
      </c>
      <c r="BA20" s="10">
        <f t="shared" si="18"/>
        <v>23</v>
      </c>
      <c r="BB20" s="27">
        <f t="shared" si="19"/>
        <v>54.761904761904766</v>
      </c>
    </row>
    <row r="21" spans="1:54">
      <c r="A21" s="12">
        <v>15</v>
      </c>
      <c r="B21" s="13">
        <v>1230321012</v>
      </c>
      <c r="C21" s="14" t="s">
        <v>37</v>
      </c>
      <c r="D21" s="10">
        <v>2</v>
      </c>
      <c r="E21" s="52">
        <v>2</v>
      </c>
      <c r="F21" s="10">
        <f t="shared" si="0"/>
        <v>100</v>
      </c>
      <c r="G21" s="10">
        <v>2</v>
      </c>
      <c r="H21" s="53">
        <v>2</v>
      </c>
      <c r="I21" s="10">
        <f t="shared" si="1"/>
        <v>100</v>
      </c>
      <c r="J21" s="10">
        <v>3</v>
      </c>
      <c r="K21" s="52">
        <v>3</v>
      </c>
      <c r="L21" s="26">
        <f t="shared" si="2"/>
        <v>100</v>
      </c>
      <c r="M21" s="10">
        <v>3</v>
      </c>
      <c r="N21" s="53">
        <v>3</v>
      </c>
      <c r="O21" s="26">
        <f t="shared" si="3"/>
        <v>100</v>
      </c>
      <c r="P21" s="7">
        <v>4</v>
      </c>
      <c r="Q21" s="7">
        <v>4</v>
      </c>
      <c r="R21" s="26">
        <f t="shared" si="4"/>
        <v>100</v>
      </c>
      <c r="S21" s="18">
        <v>4</v>
      </c>
      <c r="T21" s="9">
        <v>4</v>
      </c>
      <c r="U21" s="26">
        <f t="shared" si="5"/>
        <v>100</v>
      </c>
      <c r="V21" s="7">
        <v>3</v>
      </c>
      <c r="W21" s="7">
        <v>1</v>
      </c>
      <c r="X21" s="26">
        <f t="shared" si="6"/>
        <v>33.333333333333329</v>
      </c>
      <c r="Y21" s="9">
        <v>3</v>
      </c>
      <c r="Z21" s="9">
        <v>1</v>
      </c>
      <c r="AA21" s="26">
        <f t="shared" si="7"/>
        <v>33.333333333333329</v>
      </c>
      <c r="AB21" s="7">
        <v>4</v>
      </c>
      <c r="AC21" s="7">
        <v>3</v>
      </c>
      <c r="AD21" s="26">
        <f t="shared" si="8"/>
        <v>75</v>
      </c>
      <c r="AE21" s="9">
        <v>4</v>
      </c>
      <c r="AF21" s="9">
        <v>4</v>
      </c>
      <c r="AG21" s="26">
        <f t="shared" si="9"/>
        <v>100</v>
      </c>
      <c r="AH21" s="7">
        <v>2</v>
      </c>
      <c r="AI21" s="7">
        <v>2</v>
      </c>
      <c r="AJ21" s="26">
        <f t="shared" si="10"/>
        <v>100</v>
      </c>
      <c r="AK21" s="9">
        <v>2</v>
      </c>
      <c r="AL21" s="9">
        <v>2</v>
      </c>
      <c r="AM21" s="26">
        <f t="shared" si="11"/>
        <v>100</v>
      </c>
      <c r="AN21" s="7">
        <v>3</v>
      </c>
      <c r="AO21" s="7">
        <v>3</v>
      </c>
      <c r="AP21" s="26">
        <f t="shared" si="12"/>
        <v>100</v>
      </c>
      <c r="AQ21" s="18">
        <v>3</v>
      </c>
      <c r="AR21" s="9">
        <v>3</v>
      </c>
      <c r="AS21" s="26">
        <f t="shared" si="13"/>
        <v>100</v>
      </c>
      <c r="AT21" s="10">
        <f t="shared" si="14"/>
        <v>21</v>
      </c>
      <c r="AU21" s="10">
        <f t="shared" si="14"/>
        <v>18</v>
      </c>
      <c r="AV21" s="26">
        <f t="shared" si="15"/>
        <v>85.714285714285708</v>
      </c>
      <c r="AW21" s="10">
        <f t="shared" si="16"/>
        <v>21</v>
      </c>
      <c r="AX21" s="10">
        <f t="shared" si="16"/>
        <v>19</v>
      </c>
      <c r="AY21" s="26">
        <f t="shared" si="17"/>
        <v>90.476190476190482</v>
      </c>
      <c r="AZ21" s="10">
        <f t="shared" si="18"/>
        <v>42</v>
      </c>
      <c r="BA21" s="10">
        <f t="shared" si="18"/>
        <v>37</v>
      </c>
      <c r="BB21" s="27">
        <f t="shared" si="19"/>
        <v>88.095238095238088</v>
      </c>
    </row>
    <row r="22" spans="1:54">
      <c r="A22" s="12">
        <v>16</v>
      </c>
      <c r="B22" s="13">
        <v>1230321013</v>
      </c>
      <c r="C22" s="14" t="s">
        <v>38</v>
      </c>
      <c r="D22" s="10">
        <v>2</v>
      </c>
      <c r="E22" s="52">
        <v>2</v>
      </c>
      <c r="F22" s="10">
        <f t="shared" si="0"/>
        <v>100</v>
      </c>
      <c r="G22" s="10">
        <v>2</v>
      </c>
      <c r="H22" s="53">
        <v>2</v>
      </c>
      <c r="I22" s="10">
        <f t="shared" si="1"/>
        <v>100</v>
      </c>
      <c r="J22" s="10">
        <v>3</v>
      </c>
      <c r="K22" s="52">
        <v>3</v>
      </c>
      <c r="L22" s="26">
        <f t="shared" si="2"/>
        <v>100</v>
      </c>
      <c r="M22" s="10">
        <v>3</v>
      </c>
      <c r="N22" s="53">
        <v>3</v>
      </c>
      <c r="O22" s="26">
        <f t="shared" si="3"/>
        <v>100</v>
      </c>
      <c r="P22" s="7">
        <v>4</v>
      </c>
      <c r="Q22" s="7">
        <v>1</v>
      </c>
      <c r="R22" s="26">
        <f t="shared" si="4"/>
        <v>25</v>
      </c>
      <c r="S22" s="18">
        <v>4</v>
      </c>
      <c r="T22" s="9">
        <v>1</v>
      </c>
      <c r="U22" s="26">
        <f t="shared" si="5"/>
        <v>25</v>
      </c>
      <c r="V22" s="7">
        <v>3</v>
      </c>
      <c r="W22" s="7">
        <v>3</v>
      </c>
      <c r="X22" s="26">
        <f t="shared" si="6"/>
        <v>100</v>
      </c>
      <c r="Y22" s="9">
        <v>3</v>
      </c>
      <c r="Z22" s="9">
        <v>3</v>
      </c>
      <c r="AA22" s="26">
        <f t="shared" si="7"/>
        <v>100</v>
      </c>
      <c r="AB22" s="7">
        <v>4</v>
      </c>
      <c r="AC22" s="7">
        <v>3</v>
      </c>
      <c r="AD22" s="26">
        <f t="shared" si="8"/>
        <v>75</v>
      </c>
      <c r="AE22" s="9">
        <v>4</v>
      </c>
      <c r="AF22" s="9">
        <v>3</v>
      </c>
      <c r="AG22" s="26">
        <f t="shared" si="9"/>
        <v>75</v>
      </c>
      <c r="AH22" s="7">
        <v>2</v>
      </c>
      <c r="AI22" s="7">
        <v>2</v>
      </c>
      <c r="AJ22" s="26">
        <f t="shared" si="10"/>
        <v>100</v>
      </c>
      <c r="AK22" s="9">
        <v>2</v>
      </c>
      <c r="AL22" s="9">
        <v>2</v>
      </c>
      <c r="AM22" s="26">
        <f t="shared" si="11"/>
        <v>100</v>
      </c>
      <c r="AN22" s="7">
        <v>3</v>
      </c>
      <c r="AO22" s="7">
        <v>2</v>
      </c>
      <c r="AP22" s="26">
        <f t="shared" si="12"/>
        <v>66.666666666666657</v>
      </c>
      <c r="AQ22" s="18">
        <v>3</v>
      </c>
      <c r="AR22" s="9">
        <v>2</v>
      </c>
      <c r="AS22" s="26">
        <f t="shared" si="13"/>
        <v>66.666666666666657</v>
      </c>
      <c r="AT22" s="10">
        <f t="shared" si="14"/>
        <v>21</v>
      </c>
      <c r="AU22" s="10">
        <f t="shared" si="14"/>
        <v>16</v>
      </c>
      <c r="AV22" s="26">
        <f t="shared" si="15"/>
        <v>76.19047619047619</v>
      </c>
      <c r="AW22" s="10">
        <f t="shared" si="16"/>
        <v>21</v>
      </c>
      <c r="AX22" s="10">
        <f t="shared" si="16"/>
        <v>16</v>
      </c>
      <c r="AY22" s="26">
        <f t="shared" si="17"/>
        <v>76.19047619047619</v>
      </c>
      <c r="AZ22" s="10">
        <f t="shared" si="18"/>
        <v>42</v>
      </c>
      <c r="BA22" s="10">
        <f t="shared" si="18"/>
        <v>32</v>
      </c>
      <c r="BB22" s="27">
        <f t="shared" si="19"/>
        <v>76.19047619047619</v>
      </c>
    </row>
    <row r="23" spans="1:54">
      <c r="A23" s="12">
        <v>17</v>
      </c>
      <c r="B23" s="13">
        <v>1230321014</v>
      </c>
      <c r="C23" s="14" t="s">
        <v>39</v>
      </c>
      <c r="D23" s="10">
        <v>2</v>
      </c>
      <c r="E23" s="52">
        <v>1</v>
      </c>
      <c r="F23" s="10">
        <f t="shared" si="0"/>
        <v>50</v>
      </c>
      <c r="G23" s="10">
        <v>2</v>
      </c>
      <c r="H23" s="53">
        <v>1</v>
      </c>
      <c r="I23" s="10">
        <f>H23/G23*100</f>
        <v>50</v>
      </c>
      <c r="J23" s="10">
        <v>3</v>
      </c>
      <c r="K23" s="52">
        <v>3</v>
      </c>
      <c r="L23" s="26">
        <f t="shared" si="2"/>
        <v>100</v>
      </c>
      <c r="M23" s="10">
        <v>3</v>
      </c>
      <c r="N23" s="53">
        <v>3</v>
      </c>
      <c r="O23" s="26">
        <f t="shared" si="3"/>
        <v>100</v>
      </c>
      <c r="P23" s="7">
        <v>4</v>
      </c>
      <c r="Q23" s="7">
        <v>4</v>
      </c>
      <c r="R23" s="26">
        <f t="shared" si="4"/>
        <v>100</v>
      </c>
      <c r="S23" s="18">
        <v>4</v>
      </c>
      <c r="T23" s="9">
        <v>4</v>
      </c>
      <c r="U23" s="26">
        <f t="shared" si="5"/>
        <v>100</v>
      </c>
      <c r="V23" s="7">
        <v>3</v>
      </c>
      <c r="W23" s="7">
        <v>0</v>
      </c>
      <c r="X23" s="26">
        <f t="shared" si="6"/>
        <v>0</v>
      </c>
      <c r="Y23" s="9">
        <v>3</v>
      </c>
      <c r="Z23" s="9">
        <v>0</v>
      </c>
      <c r="AA23" s="26">
        <f t="shared" si="7"/>
        <v>0</v>
      </c>
      <c r="AB23" s="7">
        <v>4</v>
      </c>
      <c r="AC23" s="7">
        <v>4</v>
      </c>
      <c r="AD23" s="26">
        <f t="shared" si="8"/>
        <v>100</v>
      </c>
      <c r="AE23" s="9">
        <v>4</v>
      </c>
      <c r="AF23" s="9">
        <v>3</v>
      </c>
      <c r="AG23" s="26">
        <f t="shared" si="9"/>
        <v>75</v>
      </c>
      <c r="AH23" s="7">
        <v>2</v>
      </c>
      <c r="AI23" s="7">
        <v>2</v>
      </c>
      <c r="AJ23" s="26">
        <f t="shared" si="10"/>
        <v>100</v>
      </c>
      <c r="AK23" s="9">
        <v>2</v>
      </c>
      <c r="AL23" s="9">
        <v>2</v>
      </c>
      <c r="AM23" s="26">
        <f t="shared" si="11"/>
        <v>100</v>
      </c>
      <c r="AN23" s="7">
        <v>3</v>
      </c>
      <c r="AO23" s="7">
        <v>2</v>
      </c>
      <c r="AP23" s="26">
        <f t="shared" si="12"/>
        <v>66.666666666666657</v>
      </c>
      <c r="AQ23" s="18">
        <v>3</v>
      </c>
      <c r="AR23" s="9">
        <v>2</v>
      </c>
      <c r="AS23" s="26">
        <f t="shared" si="13"/>
        <v>66.666666666666657</v>
      </c>
      <c r="AT23" s="10">
        <f t="shared" si="14"/>
        <v>21</v>
      </c>
      <c r="AU23" s="10">
        <f t="shared" si="14"/>
        <v>16</v>
      </c>
      <c r="AV23" s="26">
        <f t="shared" si="15"/>
        <v>76.19047619047619</v>
      </c>
      <c r="AW23" s="10">
        <f t="shared" si="16"/>
        <v>21</v>
      </c>
      <c r="AX23" s="10">
        <f t="shared" si="16"/>
        <v>15</v>
      </c>
      <c r="AY23" s="26">
        <f t="shared" si="17"/>
        <v>71.428571428571431</v>
      </c>
      <c r="AZ23" s="10">
        <f t="shared" si="18"/>
        <v>42</v>
      </c>
      <c r="BA23" s="10">
        <f t="shared" si="18"/>
        <v>31</v>
      </c>
      <c r="BB23" s="27">
        <f t="shared" si="19"/>
        <v>73.80952380952381</v>
      </c>
    </row>
    <row r="24" spans="1:54">
      <c r="A24" s="12">
        <v>18</v>
      </c>
      <c r="B24" s="13">
        <v>1230321015</v>
      </c>
      <c r="C24" s="14" t="s">
        <v>40</v>
      </c>
      <c r="D24" s="10">
        <v>2</v>
      </c>
      <c r="E24" s="52">
        <v>1</v>
      </c>
      <c r="F24" s="10">
        <f t="shared" si="0"/>
        <v>50</v>
      </c>
      <c r="G24" s="10">
        <v>2</v>
      </c>
      <c r="H24" s="53">
        <v>0</v>
      </c>
      <c r="I24" s="10">
        <f t="shared" si="1"/>
        <v>0</v>
      </c>
      <c r="J24" s="10">
        <v>3</v>
      </c>
      <c r="K24" s="52">
        <v>2</v>
      </c>
      <c r="L24" s="26">
        <f t="shared" si="2"/>
        <v>66.666666666666657</v>
      </c>
      <c r="M24" s="10">
        <v>3</v>
      </c>
      <c r="N24" s="53">
        <v>2</v>
      </c>
      <c r="O24" s="26">
        <f t="shared" si="3"/>
        <v>66.666666666666657</v>
      </c>
      <c r="P24" s="7">
        <v>4</v>
      </c>
      <c r="Q24" s="7">
        <v>3</v>
      </c>
      <c r="R24" s="26">
        <f t="shared" si="4"/>
        <v>75</v>
      </c>
      <c r="S24" s="18">
        <v>4</v>
      </c>
      <c r="T24" s="9">
        <v>3</v>
      </c>
      <c r="U24" s="26">
        <f t="shared" si="5"/>
        <v>75</v>
      </c>
      <c r="V24" s="7">
        <v>3</v>
      </c>
      <c r="W24" s="7">
        <v>2</v>
      </c>
      <c r="X24" s="26">
        <f t="shared" si="6"/>
        <v>66.666666666666657</v>
      </c>
      <c r="Y24" s="9">
        <v>3</v>
      </c>
      <c r="Z24" s="9">
        <v>2</v>
      </c>
      <c r="AA24" s="26">
        <f t="shared" si="7"/>
        <v>66.666666666666657</v>
      </c>
      <c r="AB24" s="7">
        <v>4</v>
      </c>
      <c r="AC24" s="7">
        <v>2</v>
      </c>
      <c r="AD24" s="26">
        <f t="shared" si="8"/>
        <v>50</v>
      </c>
      <c r="AE24" s="9">
        <v>4</v>
      </c>
      <c r="AF24" s="9">
        <v>2</v>
      </c>
      <c r="AG24" s="26">
        <f t="shared" si="9"/>
        <v>50</v>
      </c>
      <c r="AH24" s="7">
        <v>2</v>
      </c>
      <c r="AI24" s="7">
        <v>2</v>
      </c>
      <c r="AJ24" s="26">
        <f t="shared" si="10"/>
        <v>100</v>
      </c>
      <c r="AK24" s="9">
        <v>2</v>
      </c>
      <c r="AL24" s="9">
        <v>2</v>
      </c>
      <c r="AM24" s="26">
        <f t="shared" si="11"/>
        <v>100</v>
      </c>
      <c r="AN24" s="7">
        <v>3</v>
      </c>
      <c r="AO24" s="7">
        <v>1</v>
      </c>
      <c r="AP24" s="26">
        <f t="shared" si="12"/>
        <v>33.333333333333329</v>
      </c>
      <c r="AQ24" s="18">
        <v>3</v>
      </c>
      <c r="AR24" s="9">
        <v>1</v>
      </c>
      <c r="AS24" s="26">
        <f t="shared" si="13"/>
        <v>33.333333333333329</v>
      </c>
      <c r="AT24" s="10">
        <f t="shared" si="14"/>
        <v>21</v>
      </c>
      <c r="AU24" s="10">
        <f t="shared" si="14"/>
        <v>13</v>
      </c>
      <c r="AV24" s="26">
        <f t="shared" si="15"/>
        <v>61.904761904761905</v>
      </c>
      <c r="AW24" s="10">
        <f t="shared" si="16"/>
        <v>21</v>
      </c>
      <c r="AX24" s="10">
        <f t="shared" si="16"/>
        <v>12</v>
      </c>
      <c r="AY24" s="26">
        <f t="shared" si="17"/>
        <v>57.142857142857139</v>
      </c>
      <c r="AZ24" s="10">
        <f t="shared" si="18"/>
        <v>42</v>
      </c>
      <c r="BA24" s="10">
        <f t="shared" si="18"/>
        <v>25</v>
      </c>
      <c r="BB24" s="27">
        <f t="shared" si="19"/>
        <v>59.523809523809526</v>
      </c>
    </row>
    <row r="25" spans="1:54">
      <c r="A25" s="12">
        <v>19</v>
      </c>
      <c r="B25" s="13">
        <v>1230321016</v>
      </c>
      <c r="C25" s="14" t="s">
        <v>41</v>
      </c>
      <c r="D25" s="10">
        <v>2</v>
      </c>
      <c r="E25" s="52">
        <v>1</v>
      </c>
      <c r="F25" s="10">
        <f t="shared" si="0"/>
        <v>50</v>
      </c>
      <c r="G25" s="10">
        <v>2</v>
      </c>
      <c r="H25" s="53">
        <v>0</v>
      </c>
      <c r="I25" s="10">
        <f t="shared" si="1"/>
        <v>0</v>
      </c>
      <c r="J25" s="10">
        <v>3</v>
      </c>
      <c r="K25" s="52">
        <v>1</v>
      </c>
      <c r="L25" s="26">
        <f t="shared" si="2"/>
        <v>33.333333333333329</v>
      </c>
      <c r="M25" s="10">
        <v>3</v>
      </c>
      <c r="N25" s="53">
        <v>1</v>
      </c>
      <c r="O25" s="26">
        <f t="shared" si="3"/>
        <v>33.333333333333329</v>
      </c>
      <c r="P25" s="7">
        <v>4</v>
      </c>
      <c r="Q25" s="7">
        <v>3</v>
      </c>
      <c r="R25" s="26">
        <f t="shared" si="4"/>
        <v>75</v>
      </c>
      <c r="S25" s="18">
        <v>4</v>
      </c>
      <c r="T25" s="9">
        <v>3</v>
      </c>
      <c r="U25" s="26">
        <f t="shared" si="5"/>
        <v>75</v>
      </c>
      <c r="V25" s="7">
        <v>3</v>
      </c>
      <c r="W25" s="7">
        <v>2</v>
      </c>
      <c r="X25" s="26">
        <f t="shared" si="6"/>
        <v>66.666666666666657</v>
      </c>
      <c r="Y25" s="9">
        <v>3</v>
      </c>
      <c r="Z25" s="9">
        <v>2</v>
      </c>
      <c r="AA25" s="26">
        <f t="shared" si="7"/>
        <v>66.666666666666657</v>
      </c>
      <c r="AB25" s="7">
        <v>4</v>
      </c>
      <c r="AC25" s="7">
        <v>2</v>
      </c>
      <c r="AD25" s="26">
        <f t="shared" si="8"/>
        <v>50</v>
      </c>
      <c r="AE25" s="9">
        <v>4</v>
      </c>
      <c r="AF25" s="9">
        <v>2</v>
      </c>
      <c r="AG25" s="26">
        <f t="shared" si="9"/>
        <v>50</v>
      </c>
      <c r="AH25" s="7">
        <v>2</v>
      </c>
      <c r="AI25" s="7">
        <v>1</v>
      </c>
      <c r="AJ25" s="26">
        <f t="shared" si="10"/>
        <v>50</v>
      </c>
      <c r="AK25" s="9">
        <v>2</v>
      </c>
      <c r="AL25" s="9">
        <v>1</v>
      </c>
      <c r="AM25" s="26">
        <f t="shared" si="11"/>
        <v>50</v>
      </c>
      <c r="AN25" s="7">
        <v>3</v>
      </c>
      <c r="AO25" s="7">
        <v>2</v>
      </c>
      <c r="AP25" s="26">
        <f t="shared" si="12"/>
        <v>66.666666666666657</v>
      </c>
      <c r="AQ25" s="18">
        <v>3</v>
      </c>
      <c r="AR25" s="9">
        <v>2</v>
      </c>
      <c r="AS25" s="26">
        <f t="shared" si="13"/>
        <v>66.666666666666657</v>
      </c>
      <c r="AT25" s="10">
        <f t="shared" si="14"/>
        <v>21</v>
      </c>
      <c r="AU25" s="10">
        <f t="shared" si="14"/>
        <v>12</v>
      </c>
      <c r="AV25" s="26">
        <f t="shared" si="15"/>
        <v>57.142857142857139</v>
      </c>
      <c r="AW25" s="10">
        <f t="shared" si="16"/>
        <v>21</v>
      </c>
      <c r="AX25" s="10">
        <f t="shared" si="16"/>
        <v>11</v>
      </c>
      <c r="AY25" s="26">
        <f t="shared" si="17"/>
        <v>52.380952380952387</v>
      </c>
      <c r="AZ25" s="10">
        <f t="shared" si="18"/>
        <v>42</v>
      </c>
      <c r="BA25" s="10">
        <f t="shared" si="18"/>
        <v>23</v>
      </c>
      <c r="BB25" s="27">
        <f t="shared" si="19"/>
        <v>54.761904761904766</v>
      </c>
    </row>
    <row r="26" spans="1:54">
      <c r="A26" s="12">
        <v>20</v>
      </c>
      <c r="B26" s="13">
        <v>1230321017</v>
      </c>
      <c r="C26" s="14" t="s">
        <v>42</v>
      </c>
      <c r="D26" s="10">
        <v>2</v>
      </c>
      <c r="E26" s="52">
        <v>2</v>
      </c>
      <c r="F26" s="10">
        <f t="shared" si="0"/>
        <v>100</v>
      </c>
      <c r="G26" s="10">
        <v>2</v>
      </c>
      <c r="H26" s="53">
        <v>2</v>
      </c>
      <c r="I26" s="10">
        <f t="shared" si="1"/>
        <v>100</v>
      </c>
      <c r="J26" s="10">
        <v>3</v>
      </c>
      <c r="K26" s="52">
        <v>2</v>
      </c>
      <c r="L26" s="26">
        <f t="shared" si="2"/>
        <v>66.666666666666657</v>
      </c>
      <c r="M26" s="10">
        <v>3</v>
      </c>
      <c r="N26" s="53">
        <v>2</v>
      </c>
      <c r="O26" s="26">
        <f t="shared" si="3"/>
        <v>66.666666666666657</v>
      </c>
      <c r="P26" s="7">
        <v>4</v>
      </c>
      <c r="Q26" s="7">
        <v>3</v>
      </c>
      <c r="R26" s="26">
        <f t="shared" si="4"/>
        <v>75</v>
      </c>
      <c r="S26" s="18">
        <v>4</v>
      </c>
      <c r="T26" s="9">
        <v>3</v>
      </c>
      <c r="U26" s="26">
        <f t="shared" si="5"/>
        <v>75</v>
      </c>
      <c r="V26" s="7">
        <v>3</v>
      </c>
      <c r="W26" s="7">
        <v>2</v>
      </c>
      <c r="X26" s="26">
        <f t="shared" si="6"/>
        <v>66.666666666666657</v>
      </c>
      <c r="Y26" s="9">
        <v>3</v>
      </c>
      <c r="Z26" s="9">
        <v>2</v>
      </c>
      <c r="AA26" s="26">
        <f t="shared" si="7"/>
        <v>66.666666666666657</v>
      </c>
      <c r="AB26" s="7">
        <v>4</v>
      </c>
      <c r="AC26" s="7">
        <v>2</v>
      </c>
      <c r="AD26" s="26">
        <f t="shared" si="8"/>
        <v>50</v>
      </c>
      <c r="AE26" s="9">
        <v>4</v>
      </c>
      <c r="AF26" s="9">
        <v>3</v>
      </c>
      <c r="AG26" s="26">
        <f t="shared" si="9"/>
        <v>75</v>
      </c>
      <c r="AH26" s="7">
        <v>2</v>
      </c>
      <c r="AI26" s="7">
        <v>2</v>
      </c>
      <c r="AJ26" s="26">
        <f t="shared" si="10"/>
        <v>100</v>
      </c>
      <c r="AK26" s="9">
        <v>2</v>
      </c>
      <c r="AL26" s="9">
        <v>2</v>
      </c>
      <c r="AM26" s="26">
        <f t="shared" si="11"/>
        <v>100</v>
      </c>
      <c r="AN26" s="7">
        <v>3</v>
      </c>
      <c r="AO26" s="7">
        <v>2</v>
      </c>
      <c r="AP26" s="26">
        <f t="shared" si="12"/>
        <v>66.666666666666657</v>
      </c>
      <c r="AQ26" s="18">
        <v>3</v>
      </c>
      <c r="AR26" s="9">
        <v>2</v>
      </c>
      <c r="AS26" s="26">
        <f t="shared" si="13"/>
        <v>66.666666666666657</v>
      </c>
      <c r="AT26" s="10">
        <f t="shared" si="14"/>
        <v>21</v>
      </c>
      <c r="AU26" s="10">
        <f t="shared" si="14"/>
        <v>15</v>
      </c>
      <c r="AV26" s="26">
        <f t="shared" si="15"/>
        <v>71.428571428571431</v>
      </c>
      <c r="AW26" s="10">
        <f t="shared" si="16"/>
        <v>21</v>
      </c>
      <c r="AX26" s="10">
        <f t="shared" si="16"/>
        <v>16</v>
      </c>
      <c r="AY26" s="26">
        <f t="shared" si="17"/>
        <v>76.19047619047619</v>
      </c>
      <c r="AZ26" s="10">
        <f t="shared" si="18"/>
        <v>42</v>
      </c>
      <c r="BA26" s="10">
        <f t="shared" si="18"/>
        <v>31</v>
      </c>
      <c r="BB26" s="27">
        <f t="shared" si="19"/>
        <v>73.80952380952381</v>
      </c>
    </row>
    <row r="27" spans="1:54">
      <c r="A27" s="12">
        <v>21</v>
      </c>
      <c r="B27" s="13">
        <v>1230321018</v>
      </c>
      <c r="C27" s="14" t="s">
        <v>43</v>
      </c>
      <c r="D27" s="10">
        <v>2</v>
      </c>
      <c r="E27" s="52">
        <v>0</v>
      </c>
      <c r="F27" s="10">
        <f t="shared" si="0"/>
        <v>0</v>
      </c>
      <c r="G27" s="10">
        <v>2</v>
      </c>
      <c r="H27" s="53">
        <v>0</v>
      </c>
      <c r="I27" s="10">
        <f t="shared" si="1"/>
        <v>0</v>
      </c>
      <c r="J27" s="10">
        <v>3</v>
      </c>
      <c r="K27" s="52">
        <v>1</v>
      </c>
      <c r="L27" s="26">
        <f t="shared" si="2"/>
        <v>33.333333333333329</v>
      </c>
      <c r="M27" s="10">
        <v>3</v>
      </c>
      <c r="N27" s="53">
        <v>2</v>
      </c>
      <c r="O27" s="26">
        <f t="shared" si="3"/>
        <v>66.666666666666657</v>
      </c>
      <c r="P27" s="7">
        <v>4</v>
      </c>
      <c r="Q27" s="7">
        <v>1</v>
      </c>
      <c r="R27" s="26">
        <f t="shared" si="4"/>
        <v>25</v>
      </c>
      <c r="S27" s="18">
        <v>4</v>
      </c>
      <c r="T27" s="9">
        <v>1</v>
      </c>
      <c r="U27" s="26">
        <f t="shared" si="5"/>
        <v>25</v>
      </c>
      <c r="V27" s="7">
        <v>3</v>
      </c>
      <c r="W27" s="7">
        <v>3</v>
      </c>
      <c r="X27" s="26">
        <f t="shared" si="6"/>
        <v>100</v>
      </c>
      <c r="Y27" s="9">
        <v>3</v>
      </c>
      <c r="Z27" s="9">
        <v>3</v>
      </c>
      <c r="AA27" s="26">
        <f t="shared" si="7"/>
        <v>100</v>
      </c>
      <c r="AB27" s="7">
        <v>4</v>
      </c>
      <c r="AC27" s="7">
        <v>1</v>
      </c>
      <c r="AD27" s="26">
        <f t="shared" si="8"/>
        <v>25</v>
      </c>
      <c r="AE27" s="9">
        <v>4</v>
      </c>
      <c r="AF27" s="9">
        <v>1</v>
      </c>
      <c r="AG27" s="26">
        <f t="shared" si="9"/>
        <v>25</v>
      </c>
      <c r="AH27" s="7">
        <v>2</v>
      </c>
      <c r="AI27" s="7">
        <v>1</v>
      </c>
      <c r="AJ27" s="26">
        <f t="shared" si="10"/>
        <v>50</v>
      </c>
      <c r="AK27" s="9">
        <v>2</v>
      </c>
      <c r="AL27" s="9">
        <v>1</v>
      </c>
      <c r="AM27" s="26">
        <f t="shared" si="11"/>
        <v>50</v>
      </c>
      <c r="AN27" s="7">
        <v>3</v>
      </c>
      <c r="AO27" s="7">
        <v>3</v>
      </c>
      <c r="AP27" s="26">
        <f t="shared" si="12"/>
        <v>100</v>
      </c>
      <c r="AQ27" s="18">
        <v>3</v>
      </c>
      <c r="AR27" s="9">
        <v>2</v>
      </c>
      <c r="AS27" s="26">
        <f t="shared" si="13"/>
        <v>66.666666666666657</v>
      </c>
      <c r="AT27" s="10">
        <f t="shared" si="14"/>
        <v>21</v>
      </c>
      <c r="AU27" s="10">
        <f t="shared" si="14"/>
        <v>10</v>
      </c>
      <c r="AV27" s="26">
        <f t="shared" si="15"/>
        <v>47.619047619047613</v>
      </c>
      <c r="AW27" s="10">
        <f t="shared" si="16"/>
        <v>21</v>
      </c>
      <c r="AX27" s="10">
        <f t="shared" si="16"/>
        <v>10</v>
      </c>
      <c r="AY27" s="26">
        <f t="shared" si="17"/>
        <v>47.619047619047613</v>
      </c>
      <c r="AZ27" s="10">
        <f t="shared" si="18"/>
        <v>42</v>
      </c>
      <c r="BA27" s="10">
        <f t="shared" si="18"/>
        <v>20</v>
      </c>
      <c r="BB27" s="27">
        <f t="shared" si="19"/>
        <v>47.619047619047613</v>
      </c>
    </row>
    <row r="28" spans="1:54">
      <c r="A28" s="12">
        <v>22</v>
      </c>
      <c r="B28" s="13">
        <v>1230321019</v>
      </c>
      <c r="C28" s="14" t="s">
        <v>44</v>
      </c>
      <c r="D28" s="10">
        <v>2</v>
      </c>
      <c r="E28" s="52">
        <v>2</v>
      </c>
      <c r="F28" s="10">
        <f t="shared" si="0"/>
        <v>100</v>
      </c>
      <c r="G28" s="10">
        <v>2</v>
      </c>
      <c r="H28" s="53">
        <v>2</v>
      </c>
      <c r="I28" s="10">
        <f t="shared" si="1"/>
        <v>100</v>
      </c>
      <c r="J28" s="10">
        <v>3</v>
      </c>
      <c r="K28" s="52">
        <v>3</v>
      </c>
      <c r="L28" s="26">
        <f t="shared" si="2"/>
        <v>100</v>
      </c>
      <c r="M28" s="10">
        <v>3</v>
      </c>
      <c r="N28" s="53">
        <v>3</v>
      </c>
      <c r="O28" s="26">
        <f t="shared" si="3"/>
        <v>100</v>
      </c>
      <c r="P28" s="7">
        <v>4</v>
      </c>
      <c r="Q28" s="7">
        <v>4</v>
      </c>
      <c r="R28" s="26">
        <f t="shared" si="4"/>
        <v>100</v>
      </c>
      <c r="S28" s="18">
        <v>4</v>
      </c>
      <c r="T28" s="9">
        <v>4</v>
      </c>
      <c r="U28" s="26">
        <f t="shared" si="5"/>
        <v>100</v>
      </c>
      <c r="V28" s="7">
        <v>3</v>
      </c>
      <c r="W28" s="7">
        <v>3</v>
      </c>
      <c r="X28" s="26">
        <f t="shared" si="6"/>
        <v>100</v>
      </c>
      <c r="Y28" s="9">
        <v>3</v>
      </c>
      <c r="Z28" s="9">
        <v>3</v>
      </c>
      <c r="AA28" s="26">
        <f t="shared" si="7"/>
        <v>100</v>
      </c>
      <c r="AB28" s="7">
        <v>4</v>
      </c>
      <c r="AC28" s="7">
        <v>4</v>
      </c>
      <c r="AD28" s="26">
        <f t="shared" si="8"/>
        <v>100</v>
      </c>
      <c r="AE28" s="9">
        <v>4</v>
      </c>
      <c r="AF28" s="9">
        <v>3</v>
      </c>
      <c r="AG28" s="26">
        <f t="shared" si="9"/>
        <v>75</v>
      </c>
      <c r="AH28" s="7">
        <v>2</v>
      </c>
      <c r="AI28" s="7">
        <v>1</v>
      </c>
      <c r="AJ28" s="26">
        <f t="shared" si="10"/>
        <v>50</v>
      </c>
      <c r="AK28" s="9">
        <v>2</v>
      </c>
      <c r="AL28" s="9">
        <v>2</v>
      </c>
      <c r="AM28" s="26">
        <f t="shared" si="11"/>
        <v>100</v>
      </c>
      <c r="AN28" s="7">
        <v>3</v>
      </c>
      <c r="AO28" s="7">
        <v>3</v>
      </c>
      <c r="AP28" s="26">
        <f t="shared" si="12"/>
        <v>100</v>
      </c>
      <c r="AQ28" s="18">
        <v>3</v>
      </c>
      <c r="AR28" s="9">
        <v>3</v>
      </c>
      <c r="AS28" s="26">
        <f t="shared" si="13"/>
        <v>100</v>
      </c>
      <c r="AT28" s="10">
        <f t="shared" si="14"/>
        <v>21</v>
      </c>
      <c r="AU28" s="10">
        <f t="shared" si="14"/>
        <v>20</v>
      </c>
      <c r="AV28" s="26">
        <f t="shared" si="15"/>
        <v>95.238095238095227</v>
      </c>
      <c r="AW28" s="10">
        <f t="shared" si="16"/>
        <v>21</v>
      </c>
      <c r="AX28" s="10">
        <f t="shared" si="16"/>
        <v>20</v>
      </c>
      <c r="AY28" s="26">
        <f t="shared" si="17"/>
        <v>95.238095238095227</v>
      </c>
      <c r="AZ28" s="10">
        <f t="shared" si="18"/>
        <v>42</v>
      </c>
      <c r="BA28" s="10">
        <f t="shared" si="18"/>
        <v>40</v>
      </c>
      <c r="BB28" s="27">
        <f t="shared" si="19"/>
        <v>95.238095238095227</v>
      </c>
    </row>
    <row r="29" spans="1:54">
      <c r="A29" s="12">
        <v>23</v>
      </c>
      <c r="B29" s="13">
        <v>1230321020</v>
      </c>
      <c r="C29" s="14" t="s">
        <v>45</v>
      </c>
      <c r="D29" s="10">
        <v>2</v>
      </c>
      <c r="E29" s="52">
        <v>2</v>
      </c>
      <c r="F29" s="10">
        <f t="shared" si="0"/>
        <v>100</v>
      </c>
      <c r="G29" s="10">
        <v>2</v>
      </c>
      <c r="H29" s="53">
        <v>2</v>
      </c>
      <c r="I29" s="10">
        <f t="shared" si="1"/>
        <v>100</v>
      </c>
      <c r="J29" s="10">
        <v>3</v>
      </c>
      <c r="K29" s="52">
        <v>1</v>
      </c>
      <c r="L29" s="26">
        <f t="shared" si="2"/>
        <v>33.333333333333329</v>
      </c>
      <c r="M29" s="10">
        <v>3</v>
      </c>
      <c r="N29" s="53">
        <v>1</v>
      </c>
      <c r="O29" s="26">
        <f t="shared" si="3"/>
        <v>33.333333333333329</v>
      </c>
      <c r="P29" s="7">
        <v>4</v>
      </c>
      <c r="Q29" s="7">
        <v>0</v>
      </c>
      <c r="R29" s="26">
        <f t="shared" si="4"/>
        <v>0</v>
      </c>
      <c r="S29" s="18">
        <v>4</v>
      </c>
      <c r="T29" s="9">
        <v>0</v>
      </c>
      <c r="U29" s="26">
        <f t="shared" si="5"/>
        <v>0</v>
      </c>
      <c r="V29" s="7">
        <v>3</v>
      </c>
      <c r="W29" s="7">
        <v>0</v>
      </c>
      <c r="X29" s="26">
        <f t="shared" si="6"/>
        <v>0</v>
      </c>
      <c r="Y29" s="9">
        <v>3</v>
      </c>
      <c r="Z29" s="9">
        <v>0</v>
      </c>
      <c r="AA29" s="26">
        <f t="shared" si="7"/>
        <v>0</v>
      </c>
      <c r="AB29" s="7">
        <v>4</v>
      </c>
      <c r="AC29" s="7">
        <v>1</v>
      </c>
      <c r="AD29" s="26">
        <f t="shared" si="8"/>
        <v>25</v>
      </c>
      <c r="AE29" s="9">
        <v>4</v>
      </c>
      <c r="AF29" s="9">
        <v>2</v>
      </c>
      <c r="AG29" s="26">
        <f t="shared" si="9"/>
        <v>50</v>
      </c>
      <c r="AH29" s="7">
        <v>2</v>
      </c>
      <c r="AI29" s="7">
        <v>0</v>
      </c>
      <c r="AJ29" s="26">
        <f t="shared" si="10"/>
        <v>0</v>
      </c>
      <c r="AK29" s="9">
        <v>2</v>
      </c>
      <c r="AL29" s="9">
        <v>0</v>
      </c>
      <c r="AM29" s="26">
        <f t="shared" si="11"/>
        <v>0</v>
      </c>
      <c r="AN29" s="7">
        <v>3</v>
      </c>
      <c r="AO29" s="7">
        <v>0</v>
      </c>
      <c r="AP29" s="26">
        <f t="shared" si="12"/>
        <v>0</v>
      </c>
      <c r="AQ29" s="18">
        <v>3</v>
      </c>
      <c r="AR29" s="9">
        <v>0</v>
      </c>
      <c r="AS29" s="26">
        <f t="shared" si="13"/>
        <v>0</v>
      </c>
      <c r="AT29" s="10">
        <f t="shared" si="14"/>
        <v>21</v>
      </c>
      <c r="AU29" s="10">
        <f t="shared" si="14"/>
        <v>4</v>
      </c>
      <c r="AV29" s="26">
        <f t="shared" si="15"/>
        <v>19.047619047619047</v>
      </c>
      <c r="AW29" s="10">
        <f t="shared" si="16"/>
        <v>21</v>
      </c>
      <c r="AX29" s="10">
        <f t="shared" si="16"/>
        <v>5</v>
      </c>
      <c r="AY29" s="26">
        <f t="shared" si="17"/>
        <v>23.809523809523807</v>
      </c>
      <c r="AZ29" s="10">
        <f t="shared" si="18"/>
        <v>42</v>
      </c>
      <c r="BA29" s="10">
        <f t="shared" si="18"/>
        <v>9</v>
      </c>
      <c r="BB29" s="27">
        <f t="shared" si="19"/>
        <v>21.428571428571427</v>
      </c>
    </row>
    <row r="30" spans="1:54">
      <c r="A30" s="12">
        <v>24</v>
      </c>
      <c r="B30" s="13">
        <v>1230321021</v>
      </c>
      <c r="C30" s="14" t="s">
        <v>46</v>
      </c>
      <c r="D30" s="10">
        <v>2</v>
      </c>
      <c r="E30" s="52">
        <v>2</v>
      </c>
      <c r="F30" s="10">
        <f t="shared" si="0"/>
        <v>100</v>
      </c>
      <c r="G30" s="10">
        <v>2</v>
      </c>
      <c r="H30" s="53">
        <v>1</v>
      </c>
      <c r="I30" s="10">
        <f t="shared" si="1"/>
        <v>50</v>
      </c>
      <c r="J30" s="10">
        <v>3</v>
      </c>
      <c r="K30" s="52">
        <v>2</v>
      </c>
      <c r="L30" s="26">
        <f t="shared" si="2"/>
        <v>66.666666666666657</v>
      </c>
      <c r="M30" s="10">
        <v>3</v>
      </c>
      <c r="N30" s="53">
        <v>2</v>
      </c>
      <c r="O30" s="26">
        <f t="shared" si="3"/>
        <v>66.666666666666657</v>
      </c>
      <c r="P30" s="7">
        <v>4</v>
      </c>
      <c r="Q30" s="7">
        <v>3</v>
      </c>
      <c r="R30" s="26">
        <f t="shared" si="4"/>
        <v>75</v>
      </c>
      <c r="S30" s="18">
        <v>4</v>
      </c>
      <c r="T30" s="9">
        <v>3</v>
      </c>
      <c r="U30" s="26">
        <f t="shared" si="5"/>
        <v>75</v>
      </c>
      <c r="V30" s="7">
        <v>3</v>
      </c>
      <c r="W30" s="7">
        <v>2</v>
      </c>
      <c r="X30" s="26">
        <f t="shared" si="6"/>
        <v>66.666666666666657</v>
      </c>
      <c r="Y30" s="9">
        <v>3</v>
      </c>
      <c r="Z30" s="9">
        <v>2</v>
      </c>
      <c r="AA30" s="26">
        <f t="shared" si="7"/>
        <v>66.666666666666657</v>
      </c>
      <c r="AB30" s="7">
        <v>4</v>
      </c>
      <c r="AC30" s="7">
        <v>4</v>
      </c>
      <c r="AD30" s="26">
        <f t="shared" si="8"/>
        <v>100</v>
      </c>
      <c r="AE30" s="9">
        <v>4</v>
      </c>
      <c r="AF30" s="9">
        <v>3</v>
      </c>
      <c r="AG30" s="26">
        <f t="shared" si="9"/>
        <v>75</v>
      </c>
      <c r="AH30" s="7">
        <v>2</v>
      </c>
      <c r="AI30" s="7">
        <v>1</v>
      </c>
      <c r="AJ30" s="26">
        <f t="shared" si="10"/>
        <v>50</v>
      </c>
      <c r="AK30" s="9">
        <v>2</v>
      </c>
      <c r="AL30" s="9">
        <v>0</v>
      </c>
      <c r="AM30" s="26">
        <f t="shared" si="11"/>
        <v>0</v>
      </c>
      <c r="AN30" s="7">
        <v>3</v>
      </c>
      <c r="AO30" s="7">
        <v>1</v>
      </c>
      <c r="AP30" s="26">
        <f t="shared" si="12"/>
        <v>33.333333333333329</v>
      </c>
      <c r="AQ30" s="18">
        <v>3</v>
      </c>
      <c r="AR30" s="9">
        <v>1</v>
      </c>
      <c r="AS30" s="26">
        <f t="shared" si="13"/>
        <v>33.333333333333329</v>
      </c>
      <c r="AT30" s="10">
        <f t="shared" si="14"/>
        <v>21</v>
      </c>
      <c r="AU30" s="10">
        <f t="shared" si="14"/>
        <v>15</v>
      </c>
      <c r="AV30" s="26">
        <f t="shared" si="15"/>
        <v>71.428571428571431</v>
      </c>
      <c r="AW30" s="10">
        <f t="shared" si="16"/>
        <v>21</v>
      </c>
      <c r="AX30" s="10">
        <f t="shared" si="16"/>
        <v>12</v>
      </c>
      <c r="AY30" s="26">
        <f t="shared" si="17"/>
        <v>57.142857142857139</v>
      </c>
      <c r="AZ30" s="10">
        <f t="shared" si="18"/>
        <v>42</v>
      </c>
      <c r="BA30" s="10">
        <f t="shared" si="18"/>
        <v>27</v>
      </c>
      <c r="BB30" s="27">
        <f t="shared" si="19"/>
        <v>64.285714285714292</v>
      </c>
    </row>
    <row r="31" spans="1:54">
      <c r="A31" s="12">
        <v>25</v>
      </c>
      <c r="B31" s="13">
        <v>1230321022</v>
      </c>
      <c r="C31" s="14" t="s">
        <v>47</v>
      </c>
      <c r="D31" s="10">
        <v>2</v>
      </c>
      <c r="E31" s="52">
        <v>0</v>
      </c>
      <c r="F31" s="10">
        <f t="shared" si="0"/>
        <v>0</v>
      </c>
      <c r="G31" s="10">
        <v>2</v>
      </c>
      <c r="H31" s="53">
        <v>0</v>
      </c>
      <c r="I31" s="10">
        <f t="shared" si="1"/>
        <v>0</v>
      </c>
      <c r="J31" s="10">
        <v>3</v>
      </c>
      <c r="K31" s="52">
        <v>1</v>
      </c>
      <c r="L31" s="26">
        <f t="shared" si="2"/>
        <v>33.333333333333329</v>
      </c>
      <c r="M31" s="10">
        <v>3</v>
      </c>
      <c r="N31" s="53">
        <v>1</v>
      </c>
      <c r="O31" s="26">
        <f t="shared" si="3"/>
        <v>33.333333333333329</v>
      </c>
      <c r="P31" s="7">
        <v>4</v>
      </c>
      <c r="Q31" s="7">
        <v>3</v>
      </c>
      <c r="R31" s="26">
        <f t="shared" si="4"/>
        <v>75</v>
      </c>
      <c r="S31" s="18">
        <v>4</v>
      </c>
      <c r="T31" s="9">
        <v>3</v>
      </c>
      <c r="U31" s="26">
        <f t="shared" si="5"/>
        <v>75</v>
      </c>
      <c r="V31" s="7">
        <v>3</v>
      </c>
      <c r="W31" s="7">
        <v>2</v>
      </c>
      <c r="X31" s="26">
        <f t="shared" si="6"/>
        <v>66.666666666666657</v>
      </c>
      <c r="Y31" s="9">
        <v>3</v>
      </c>
      <c r="Z31" s="9">
        <v>2</v>
      </c>
      <c r="AA31" s="26">
        <f t="shared" si="7"/>
        <v>66.666666666666657</v>
      </c>
      <c r="AB31" s="7">
        <v>4</v>
      </c>
      <c r="AC31" s="7">
        <v>2</v>
      </c>
      <c r="AD31" s="26">
        <f t="shared" si="8"/>
        <v>50</v>
      </c>
      <c r="AE31" s="9">
        <v>4</v>
      </c>
      <c r="AF31" s="9">
        <v>2</v>
      </c>
      <c r="AG31" s="26">
        <f t="shared" si="9"/>
        <v>50</v>
      </c>
      <c r="AH31" s="7">
        <v>2</v>
      </c>
      <c r="AI31" s="7">
        <v>0</v>
      </c>
      <c r="AJ31" s="26">
        <f t="shared" si="10"/>
        <v>0</v>
      </c>
      <c r="AK31" s="9">
        <v>2</v>
      </c>
      <c r="AL31" s="9">
        <v>1</v>
      </c>
      <c r="AM31" s="26">
        <f t="shared" si="11"/>
        <v>50</v>
      </c>
      <c r="AN31" s="7">
        <v>3</v>
      </c>
      <c r="AO31" s="7">
        <v>1</v>
      </c>
      <c r="AP31" s="26">
        <f t="shared" si="12"/>
        <v>33.333333333333329</v>
      </c>
      <c r="AQ31" s="18">
        <v>3</v>
      </c>
      <c r="AR31" s="9">
        <v>1</v>
      </c>
      <c r="AS31" s="26">
        <f t="shared" si="13"/>
        <v>33.333333333333329</v>
      </c>
      <c r="AT31" s="10">
        <f t="shared" si="14"/>
        <v>21</v>
      </c>
      <c r="AU31" s="10">
        <f t="shared" si="14"/>
        <v>9</v>
      </c>
      <c r="AV31" s="26">
        <f t="shared" si="15"/>
        <v>42.857142857142854</v>
      </c>
      <c r="AW31" s="10">
        <f t="shared" si="16"/>
        <v>21</v>
      </c>
      <c r="AX31" s="10">
        <f t="shared" si="16"/>
        <v>10</v>
      </c>
      <c r="AY31" s="26">
        <f t="shared" si="17"/>
        <v>47.619047619047613</v>
      </c>
      <c r="AZ31" s="10">
        <f t="shared" si="18"/>
        <v>42</v>
      </c>
      <c r="BA31" s="10">
        <f t="shared" si="18"/>
        <v>19</v>
      </c>
      <c r="BB31" s="27">
        <f t="shared" si="19"/>
        <v>45.238095238095241</v>
      </c>
    </row>
    <row r="32" spans="1:54">
      <c r="A32" s="12">
        <v>26</v>
      </c>
      <c r="B32" s="13">
        <v>1230321023</v>
      </c>
      <c r="C32" s="14" t="s">
        <v>48</v>
      </c>
      <c r="D32" s="10">
        <v>2</v>
      </c>
      <c r="E32" s="52">
        <v>1</v>
      </c>
      <c r="F32" s="10">
        <f t="shared" si="0"/>
        <v>50</v>
      </c>
      <c r="G32" s="10">
        <v>2</v>
      </c>
      <c r="H32" s="53">
        <v>1</v>
      </c>
      <c r="I32" s="10">
        <f t="shared" si="1"/>
        <v>50</v>
      </c>
      <c r="J32" s="10">
        <v>3</v>
      </c>
      <c r="K32" s="52">
        <v>1</v>
      </c>
      <c r="L32" s="26">
        <f t="shared" si="2"/>
        <v>33.333333333333329</v>
      </c>
      <c r="M32" s="10">
        <v>3</v>
      </c>
      <c r="N32" s="53">
        <v>2</v>
      </c>
      <c r="O32" s="26">
        <f t="shared" si="3"/>
        <v>66.666666666666657</v>
      </c>
      <c r="P32" s="7">
        <v>4</v>
      </c>
      <c r="Q32" s="7">
        <v>2</v>
      </c>
      <c r="R32" s="26">
        <f t="shared" si="4"/>
        <v>50</v>
      </c>
      <c r="S32" s="18">
        <v>4</v>
      </c>
      <c r="T32" s="9">
        <v>2</v>
      </c>
      <c r="U32" s="26">
        <f t="shared" si="5"/>
        <v>50</v>
      </c>
      <c r="V32" s="7">
        <v>3</v>
      </c>
      <c r="W32" s="7">
        <v>3</v>
      </c>
      <c r="X32" s="26">
        <f t="shared" si="6"/>
        <v>100</v>
      </c>
      <c r="Y32" s="9">
        <v>3</v>
      </c>
      <c r="Z32" s="9">
        <v>3</v>
      </c>
      <c r="AA32" s="26">
        <f t="shared" si="7"/>
        <v>100</v>
      </c>
      <c r="AB32" s="7">
        <v>4</v>
      </c>
      <c r="AC32" s="7">
        <v>2</v>
      </c>
      <c r="AD32" s="26">
        <f t="shared" si="8"/>
        <v>50</v>
      </c>
      <c r="AE32" s="9">
        <v>4</v>
      </c>
      <c r="AF32" s="9">
        <v>2</v>
      </c>
      <c r="AG32" s="26">
        <f t="shared" si="9"/>
        <v>50</v>
      </c>
      <c r="AH32" s="7">
        <v>2</v>
      </c>
      <c r="AI32" s="7">
        <v>1</v>
      </c>
      <c r="AJ32" s="26">
        <f t="shared" si="10"/>
        <v>50</v>
      </c>
      <c r="AK32" s="9">
        <v>2</v>
      </c>
      <c r="AL32" s="9">
        <v>1</v>
      </c>
      <c r="AM32" s="26">
        <f t="shared" si="11"/>
        <v>50</v>
      </c>
      <c r="AN32" s="7">
        <v>3</v>
      </c>
      <c r="AO32" s="7">
        <v>2</v>
      </c>
      <c r="AP32" s="26">
        <f t="shared" si="12"/>
        <v>66.666666666666657</v>
      </c>
      <c r="AQ32" s="18">
        <v>3</v>
      </c>
      <c r="AR32" s="9">
        <v>2</v>
      </c>
      <c r="AS32" s="26">
        <f t="shared" si="13"/>
        <v>66.666666666666657</v>
      </c>
      <c r="AT32" s="10">
        <f t="shared" si="14"/>
        <v>21</v>
      </c>
      <c r="AU32" s="10">
        <f t="shared" si="14"/>
        <v>12</v>
      </c>
      <c r="AV32" s="26">
        <f t="shared" si="15"/>
        <v>57.142857142857139</v>
      </c>
      <c r="AW32" s="10">
        <f t="shared" si="16"/>
        <v>21</v>
      </c>
      <c r="AX32" s="10">
        <f t="shared" si="16"/>
        <v>13</v>
      </c>
      <c r="AY32" s="26">
        <f t="shared" si="17"/>
        <v>61.904761904761905</v>
      </c>
      <c r="AZ32" s="10">
        <f t="shared" si="18"/>
        <v>42</v>
      </c>
      <c r="BA32" s="10">
        <f t="shared" si="18"/>
        <v>25</v>
      </c>
      <c r="BB32" s="27">
        <f t="shared" si="19"/>
        <v>59.523809523809526</v>
      </c>
    </row>
    <row r="33" spans="1:54">
      <c r="A33" s="12">
        <v>27</v>
      </c>
      <c r="B33" s="13">
        <v>1230321024</v>
      </c>
      <c r="C33" s="14" t="s">
        <v>49</v>
      </c>
      <c r="D33" s="10">
        <v>2</v>
      </c>
      <c r="E33" s="52">
        <v>1</v>
      </c>
      <c r="F33" s="10">
        <f t="shared" si="0"/>
        <v>50</v>
      </c>
      <c r="G33" s="10">
        <v>2</v>
      </c>
      <c r="H33" s="53">
        <v>2</v>
      </c>
      <c r="I33" s="10">
        <f t="shared" si="1"/>
        <v>100</v>
      </c>
      <c r="J33" s="10">
        <v>3</v>
      </c>
      <c r="K33" s="52">
        <v>1</v>
      </c>
      <c r="L33" s="26">
        <f t="shared" si="2"/>
        <v>33.333333333333329</v>
      </c>
      <c r="M33" s="10">
        <v>3</v>
      </c>
      <c r="N33" s="53">
        <v>1</v>
      </c>
      <c r="O33" s="26">
        <f t="shared" si="3"/>
        <v>33.333333333333329</v>
      </c>
      <c r="P33" s="7">
        <v>4</v>
      </c>
      <c r="Q33" s="7">
        <v>3</v>
      </c>
      <c r="R33" s="26">
        <f t="shared" si="4"/>
        <v>75</v>
      </c>
      <c r="S33" s="18">
        <v>4</v>
      </c>
      <c r="T33" s="9">
        <v>3</v>
      </c>
      <c r="U33" s="26">
        <f t="shared" si="5"/>
        <v>75</v>
      </c>
      <c r="V33" s="7">
        <v>3</v>
      </c>
      <c r="W33" s="7">
        <v>2</v>
      </c>
      <c r="X33" s="26">
        <f t="shared" si="6"/>
        <v>66.666666666666657</v>
      </c>
      <c r="Y33" s="9">
        <v>3</v>
      </c>
      <c r="Z33" s="9">
        <v>2</v>
      </c>
      <c r="AA33" s="26">
        <f t="shared" si="7"/>
        <v>66.666666666666657</v>
      </c>
      <c r="AB33" s="7">
        <v>4</v>
      </c>
      <c r="AC33" s="7">
        <v>4</v>
      </c>
      <c r="AD33" s="26">
        <f t="shared" si="8"/>
        <v>100</v>
      </c>
      <c r="AE33" s="9">
        <v>4</v>
      </c>
      <c r="AF33" s="9">
        <v>4</v>
      </c>
      <c r="AG33" s="26">
        <f t="shared" si="9"/>
        <v>100</v>
      </c>
      <c r="AH33" s="7">
        <v>2</v>
      </c>
      <c r="AI33" s="7">
        <v>1</v>
      </c>
      <c r="AJ33" s="26">
        <f t="shared" si="10"/>
        <v>50</v>
      </c>
      <c r="AK33" s="9">
        <v>2</v>
      </c>
      <c r="AL33" s="9">
        <v>1</v>
      </c>
      <c r="AM33" s="26">
        <f t="shared" si="11"/>
        <v>50</v>
      </c>
      <c r="AN33" s="7">
        <v>3</v>
      </c>
      <c r="AO33" s="7">
        <v>2</v>
      </c>
      <c r="AP33" s="26">
        <f t="shared" si="12"/>
        <v>66.666666666666657</v>
      </c>
      <c r="AQ33" s="18">
        <v>3</v>
      </c>
      <c r="AR33" s="9">
        <v>2</v>
      </c>
      <c r="AS33" s="26">
        <f t="shared" si="13"/>
        <v>66.666666666666657</v>
      </c>
      <c r="AT33" s="10">
        <f t="shared" si="14"/>
        <v>21</v>
      </c>
      <c r="AU33" s="10">
        <f t="shared" si="14"/>
        <v>14</v>
      </c>
      <c r="AV33" s="26">
        <f t="shared" si="15"/>
        <v>66.666666666666657</v>
      </c>
      <c r="AW33" s="10">
        <f t="shared" si="16"/>
        <v>21</v>
      </c>
      <c r="AX33" s="10">
        <f t="shared" si="16"/>
        <v>15</v>
      </c>
      <c r="AY33" s="26">
        <f t="shared" si="17"/>
        <v>71.428571428571431</v>
      </c>
      <c r="AZ33" s="10">
        <f t="shared" si="18"/>
        <v>42</v>
      </c>
      <c r="BA33" s="10">
        <f t="shared" si="18"/>
        <v>29</v>
      </c>
      <c r="BB33" s="27">
        <f t="shared" si="19"/>
        <v>69.047619047619051</v>
      </c>
    </row>
    <row r="34" spans="1:54">
      <c r="A34" s="12">
        <v>28</v>
      </c>
      <c r="B34" s="13">
        <v>1230321025</v>
      </c>
      <c r="C34" s="14" t="s">
        <v>50</v>
      </c>
      <c r="D34" s="10">
        <v>2</v>
      </c>
      <c r="E34" s="52">
        <v>2</v>
      </c>
      <c r="F34" s="10">
        <f t="shared" si="0"/>
        <v>100</v>
      </c>
      <c r="G34" s="10">
        <v>2</v>
      </c>
      <c r="H34" s="53">
        <v>2</v>
      </c>
      <c r="I34" s="10">
        <f t="shared" si="1"/>
        <v>100</v>
      </c>
      <c r="J34" s="10">
        <v>3</v>
      </c>
      <c r="K34" s="52">
        <v>2</v>
      </c>
      <c r="L34" s="26">
        <f t="shared" si="2"/>
        <v>66.666666666666657</v>
      </c>
      <c r="M34" s="10">
        <v>3</v>
      </c>
      <c r="N34" s="53">
        <v>2</v>
      </c>
      <c r="O34" s="26">
        <f t="shared" si="3"/>
        <v>66.666666666666657</v>
      </c>
      <c r="P34" s="7">
        <v>4</v>
      </c>
      <c r="Q34" s="7">
        <v>3</v>
      </c>
      <c r="R34" s="26">
        <f t="shared" si="4"/>
        <v>75</v>
      </c>
      <c r="S34" s="18">
        <v>4</v>
      </c>
      <c r="T34" s="9">
        <v>3</v>
      </c>
      <c r="U34" s="26">
        <f t="shared" si="5"/>
        <v>75</v>
      </c>
      <c r="V34" s="7">
        <v>3</v>
      </c>
      <c r="W34" s="7">
        <v>2</v>
      </c>
      <c r="X34" s="26">
        <f t="shared" si="6"/>
        <v>66.666666666666657</v>
      </c>
      <c r="Y34" s="9">
        <v>3</v>
      </c>
      <c r="Z34" s="9">
        <v>2</v>
      </c>
      <c r="AA34" s="26">
        <f t="shared" si="7"/>
        <v>66.666666666666657</v>
      </c>
      <c r="AB34" s="7">
        <v>4</v>
      </c>
      <c r="AC34" s="7">
        <v>3</v>
      </c>
      <c r="AD34" s="26">
        <f t="shared" si="8"/>
        <v>75</v>
      </c>
      <c r="AE34" s="9">
        <v>4</v>
      </c>
      <c r="AF34" s="9">
        <v>2</v>
      </c>
      <c r="AG34" s="26">
        <f t="shared" si="9"/>
        <v>50</v>
      </c>
      <c r="AH34" s="7">
        <v>2</v>
      </c>
      <c r="AI34" s="7">
        <v>2</v>
      </c>
      <c r="AJ34" s="26">
        <f t="shared" si="10"/>
        <v>100</v>
      </c>
      <c r="AK34" s="9">
        <v>2</v>
      </c>
      <c r="AL34" s="9">
        <v>2</v>
      </c>
      <c r="AM34" s="26">
        <f t="shared" si="11"/>
        <v>100</v>
      </c>
      <c r="AN34" s="7">
        <v>3</v>
      </c>
      <c r="AO34" s="7">
        <v>2</v>
      </c>
      <c r="AP34" s="26">
        <f t="shared" si="12"/>
        <v>66.666666666666657</v>
      </c>
      <c r="AQ34" s="18">
        <v>3</v>
      </c>
      <c r="AR34" s="9">
        <v>2</v>
      </c>
      <c r="AS34" s="26">
        <f t="shared" si="13"/>
        <v>66.666666666666657</v>
      </c>
      <c r="AT34" s="10">
        <f t="shared" si="14"/>
        <v>21</v>
      </c>
      <c r="AU34" s="10">
        <f t="shared" si="14"/>
        <v>16</v>
      </c>
      <c r="AV34" s="26">
        <f t="shared" si="15"/>
        <v>76.19047619047619</v>
      </c>
      <c r="AW34" s="10">
        <f t="shared" si="16"/>
        <v>21</v>
      </c>
      <c r="AX34" s="10">
        <f t="shared" si="16"/>
        <v>15</v>
      </c>
      <c r="AY34" s="26">
        <f t="shared" si="17"/>
        <v>71.428571428571431</v>
      </c>
      <c r="AZ34" s="10">
        <f t="shared" si="18"/>
        <v>42</v>
      </c>
      <c r="BA34" s="10">
        <f t="shared" si="18"/>
        <v>31</v>
      </c>
      <c r="BB34" s="27">
        <f t="shared" si="19"/>
        <v>73.80952380952381</v>
      </c>
    </row>
    <row r="35" spans="1:54">
      <c r="A35" s="12">
        <v>29</v>
      </c>
      <c r="B35" s="13">
        <v>1230321026</v>
      </c>
      <c r="C35" s="14" t="s">
        <v>51</v>
      </c>
      <c r="D35" s="10">
        <v>2</v>
      </c>
      <c r="E35" s="52">
        <v>1</v>
      </c>
      <c r="F35" s="10">
        <f t="shared" si="0"/>
        <v>50</v>
      </c>
      <c r="G35" s="10">
        <v>2</v>
      </c>
      <c r="H35" s="53">
        <v>1</v>
      </c>
      <c r="I35" s="10">
        <f t="shared" si="1"/>
        <v>50</v>
      </c>
      <c r="J35" s="10">
        <v>3</v>
      </c>
      <c r="K35" s="52">
        <v>1</v>
      </c>
      <c r="L35" s="26">
        <f t="shared" si="2"/>
        <v>33.333333333333329</v>
      </c>
      <c r="M35" s="10">
        <v>3</v>
      </c>
      <c r="N35" s="53">
        <v>1</v>
      </c>
      <c r="O35" s="26">
        <f t="shared" si="3"/>
        <v>33.333333333333329</v>
      </c>
      <c r="P35" s="7">
        <v>4</v>
      </c>
      <c r="Q35" s="7">
        <v>3</v>
      </c>
      <c r="R35" s="26">
        <f t="shared" si="4"/>
        <v>75</v>
      </c>
      <c r="S35" s="18">
        <v>4</v>
      </c>
      <c r="T35" s="9">
        <v>3</v>
      </c>
      <c r="U35" s="26">
        <f t="shared" si="5"/>
        <v>75</v>
      </c>
      <c r="V35" s="7">
        <v>3</v>
      </c>
      <c r="W35" s="7">
        <v>1</v>
      </c>
      <c r="X35" s="26">
        <f t="shared" si="6"/>
        <v>33.333333333333329</v>
      </c>
      <c r="Y35" s="9">
        <v>3</v>
      </c>
      <c r="Z35" s="9">
        <v>0</v>
      </c>
      <c r="AA35" s="26">
        <f t="shared" si="7"/>
        <v>0</v>
      </c>
      <c r="AB35" s="7">
        <v>4</v>
      </c>
      <c r="AC35" s="7">
        <v>3</v>
      </c>
      <c r="AD35" s="26">
        <f t="shared" si="8"/>
        <v>75</v>
      </c>
      <c r="AE35" s="9">
        <v>4</v>
      </c>
      <c r="AF35" s="9">
        <v>0</v>
      </c>
      <c r="AG35" s="26">
        <f t="shared" si="9"/>
        <v>0</v>
      </c>
      <c r="AH35" s="7">
        <v>2</v>
      </c>
      <c r="AI35" s="7">
        <v>1</v>
      </c>
      <c r="AJ35" s="26">
        <f t="shared" si="10"/>
        <v>50</v>
      </c>
      <c r="AK35" s="9">
        <v>2</v>
      </c>
      <c r="AL35" s="9">
        <v>2</v>
      </c>
      <c r="AM35" s="26">
        <f t="shared" si="11"/>
        <v>100</v>
      </c>
      <c r="AN35" s="7">
        <v>3</v>
      </c>
      <c r="AO35" s="7">
        <v>2</v>
      </c>
      <c r="AP35" s="26">
        <f t="shared" si="12"/>
        <v>66.666666666666657</v>
      </c>
      <c r="AQ35" s="18">
        <v>3</v>
      </c>
      <c r="AR35" s="9">
        <v>2</v>
      </c>
      <c r="AS35" s="26">
        <f t="shared" si="13"/>
        <v>66.666666666666657</v>
      </c>
      <c r="AT35" s="10">
        <f t="shared" si="14"/>
        <v>21</v>
      </c>
      <c r="AU35" s="10">
        <f t="shared" si="14"/>
        <v>12</v>
      </c>
      <c r="AV35" s="26">
        <f t="shared" si="15"/>
        <v>57.142857142857139</v>
      </c>
      <c r="AW35" s="10">
        <f t="shared" si="16"/>
        <v>21</v>
      </c>
      <c r="AX35" s="10">
        <f t="shared" si="16"/>
        <v>9</v>
      </c>
      <c r="AY35" s="26">
        <f t="shared" si="17"/>
        <v>42.857142857142854</v>
      </c>
      <c r="AZ35" s="10">
        <f t="shared" si="18"/>
        <v>42</v>
      </c>
      <c r="BA35" s="10">
        <f t="shared" si="18"/>
        <v>21</v>
      </c>
      <c r="BB35" s="27">
        <f t="shared" si="19"/>
        <v>50</v>
      </c>
    </row>
    <row r="36" spans="1:54">
      <c r="A36" s="12">
        <v>30</v>
      </c>
      <c r="B36" s="13">
        <v>1230321027</v>
      </c>
      <c r="C36" s="14" t="s">
        <v>52</v>
      </c>
      <c r="D36" s="10">
        <v>2</v>
      </c>
      <c r="E36" s="52">
        <v>1</v>
      </c>
      <c r="F36" s="10">
        <f t="shared" si="0"/>
        <v>50</v>
      </c>
      <c r="G36" s="10">
        <v>2</v>
      </c>
      <c r="H36" s="53">
        <v>1</v>
      </c>
      <c r="I36" s="10">
        <f t="shared" si="1"/>
        <v>50</v>
      </c>
      <c r="J36" s="10">
        <v>3</v>
      </c>
      <c r="K36" s="52">
        <v>2</v>
      </c>
      <c r="L36" s="26">
        <f t="shared" si="2"/>
        <v>66.666666666666657</v>
      </c>
      <c r="M36" s="10">
        <v>3</v>
      </c>
      <c r="N36" s="53">
        <v>2</v>
      </c>
      <c r="O36" s="26">
        <f t="shared" si="3"/>
        <v>66.666666666666657</v>
      </c>
      <c r="P36" s="7">
        <v>4</v>
      </c>
      <c r="Q36" s="7">
        <v>3</v>
      </c>
      <c r="R36" s="26">
        <f t="shared" si="4"/>
        <v>75</v>
      </c>
      <c r="S36" s="18">
        <v>4</v>
      </c>
      <c r="T36" s="9">
        <v>3</v>
      </c>
      <c r="U36" s="26">
        <f t="shared" si="5"/>
        <v>75</v>
      </c>
      <c r="V36" s="7">
        <v>3</v>
      </c>
      <c r="W36" s="7">
        <v>1</v>
      </c>
      <c r="X36" s="26">
        <f t="shared" si="6"/>
        <v>33.333333333333329</v>
      </c>
      <c r="Y36" s="9">
        <v>3</v>
      </c>
      <c r="Z36" s="9">
        <v>1</v>
      </c>
      <c r="AA36" s="26">
        <f t="shared" si="7"/>
        <v>33.333333333333329</v>
      </c>
      <c r="AB36" s="7">
        <v>4</v>
      </c>
      <c r="AC36" s="7">
        <v>4</v>
      </c>
      <c r="AD36" s="26">
        <f t="shared" si="8"/>
        <v>100</v>
      </c>
      <c r="AE36" s="9">
        <v>4</v>
      </c>
      <c r="AF36" s="9">
        <v>4</v>
      </c>
      <c r="AG36" s="26">
        <f t="shared" si="9"/>
        <v>100</v>
      </c>
      <c r="AH36" s="7">
        <v>2</v>
      </c>
      <c r="AI36" s="7">
        <v>2</v>
      </c>
      <c r="AJ36" s="26">
        <f t="shared" si="10"/>
        <v>100</v>
      </c>
      <c r="AK36" s="9">
        <v>2</v>
      </c>
      <c r="AL36" s="9">
        <v>2</v>
      </c>
      <c r="AM36" s="26">
        <f t="shared" si="11"/>
        <v>100</v>
      </c>
      <c r="AN36" s="7">
        <v>3</v>
      </c>
      <c r="AO36" s="7">
        <v>0</v>
      </c>
      <c r="AP36" s="26">
        <f t="shared" si="12"/>
        <v>0</v>
      </c>
      <c r="AQ36" s="18">
        <v>3</v>
      </c>
      <c r="AR36" s="9">
        <v>0</v>
      </c>
      <c r="AS36" s="26">
        <f t="shared" si="13"/>
        <v>0</v>
      </c>
      <c r="AT36" s="10">
        <f t="shared" si="14"/>
        <v>21</v>
      </c>
      <c r="AU36" s="10">
        <f t="shared" si="14"/>
        <v>13</v>
      </c>
      <c r="AV36" s="26">
        <f t="shared" si="15"/>
        <v>61.904761904761905</v>
      </c>
      <c r="AW36" s="10">
        <f t="shared" si="16"/>
        <v>21</v>
      </c>
      <c r="AX36" s="10">
        <f t="shared" si="16"/>
        <v>13</v>
      </c>
      <c r="AY36" s="26">
        <f t="shared" si="17"/>
        <v>61.904761904761905</v>
      </c>
      <c r="AZ36" s="10">
        <f t="shared" si="18"/>
        <v>42</v>
      </c>
      <c r="BA36" s="10">
        <f t="shared" si="18"/>
        <v>26</v>
      </c>
      <c r="BB36" s="27">
        <f t="shared" si="19"/>
        <v>61.904761904761905</v>
      </c>
    </row>
    <row r="37" spans="1:54">
      <c r="A37" s="12">
        <v>31</v>
      </c>
      <c r="B37" s="13">
        <v>1230321028</v>
      </c>
      <c r="C37" s="14" t="s">
        <v>53</v>
      </c>
      <c r="D37" s="10">
        <v>2</v>
      </c>
      <c r="E37" s="52">
        <v>0</v>
      </c>
      <c r="F37" s="10">
        <f t="shared" si="0"/>
        <v>0</v>
      </c>
      <c r="G37" s="10">
        <v>2</v>
      </c>
      <c r="H37" s="53">
        <v>0</v>
      </c>
      <c r="I37" s="10">
        <f t="shared" si="1"/>
        <v>0</v>
      </c>
      <c r="J37" s="10">
        <v>3</v>
      </c>
      <c r="K37" s="52">
        <v>2</v>
      </c>
      <c r="L37" s="26">
        <f t="shared" si="2"/>
        <v>66.666666666666657</v>
      </c>
      <c r="M37" s="10">
        <v>3</v>
      </c>
      <c r="N37" s="53">
        <v>1</v>
      </c>
      <c r="O37" s="26">
        <f t="shared" si="3"/>
        <v>33.333333333333329</v>
      </c>
      <c r="P37" s="7">
        <v>4</v>
      </c>
      <c r="Q37" s="7">
        <v>1</v>
      </c>
      <c r="R37" s="26">
        <f t="shared" si="4"/>
        <v>25</v>
      </c>
      <c r="S37" s="18">
        <v>4</v>
      </c>
      <c r="T37" s="9">
        <v>1</v>
      </c>
      <c r="U37" s="26">
        <f t="shared" si="5"/>
        <v>25</v>
      </c>
      <c r="V37" s="7">
        <v>3</v>
      </c>
      <c r="W37" s="7">
        <v>2</v>
      </c>
      <c r="X37" s="26">
        <f t="shared" si="6"/>
        <v>66.666666666666657</v>
      </c>
      <c r="Y37" s="9">
        <v>3</v>
      </c>
      <c r="Z37" s="9">
        <v>2</v>
      </c>
      <c r="AA37" s="26">
        <f t="shared" si="7"/>
        <v>66.666666666666657</v>
      </c>
      <c r="AB37" s="7">
        <v>4</v>
      </c>
      <c r="AC37" s="7">
        <v>2</v>
      </c>
      <c r="AD37" s="26">
        <f t="shared" si="8"/>
        <v>50</v>
      </c>
      <c r="AE37" s="9">
        <v>4</v>
      </c>
      <c r="AF37" s="9">
        <v>3</v>
      </c>
      <c r="AG37" s="26">
        <f t="shared" si="9"/>
        <v>75</v>
      </c>
      <c r="AH37" s="7">
        <v>2</v>
      </c>
      <c r="AI37" s="7">
        <v>1</v>
      </c>
      <c r="AJ37" s="26">
        <f t="shared" si="10"/>
        <v>50</v>
      </c>
      <c r="AK37" s="9">
        <v>2</v>
      </c>
      <c r="AL37" s="9">
        <v>1</v>
      </c>
      <c r="AM37" s="26">
        <f t="shared" si="11"/>
        <v>50</v>
      </c>
      <c r="AN37" s="7">
        <v>3</v>
      </c>
      <c r="AO37" s="7">
        <v>3</v>
      </c>
      <c r="AP37" s="26">
        <f t="shared" si="12"/>
        <v>100</v>
      </c>
      <c r="AQ37" s="18">
        <v>3</v>
      </c>
      <c r="AR37" s="9">
        <v>3</v>
      </c>
      <c r="AS37" s="26">
        <f t="shared" si="13"/>
        <v>100</v>
      </c>
      <c r="AT37" s="10">
        <f t="shared" si="14"/>
        <v>21</v>
      </c>
      <c r="AU37" s="10">
        <f t="shared" si="14"/>
        <v>11</v>
      </c>
      <c r="AV37" s="26">
        <f t="shared" si="15"/>
        <v>52.380952380952387</v>
      </c>
      <c r="AW37" s="10">
        <f t="shared" si="16"/>
        <v>21</v>
      </c>
      <c r="AX37" s="10">
        <f t="shared" si="16"/>
        <v>11</v>
      </c>
      <c r="AY37" s="26">
        <f t="shared" si="17"/>
        <v>52.380952380952387</v>
      </c>
      <c r="AZ37" s="10">
        <f t="shared" si="18"/>
        <v>42</v>
      </c>
      <c r="BA37" s="10">
        <f t="shared" si="18"/>
        <v>22</v>
      </c>
      <c r="BB37" s="27">
        <f t="shared" si="19"/>
        <v>52.380952380952387</v>
      </c>
    </row>
    <row r="38" spans="1:54">
      <c r="A38" s="12">
        <v>32</v>
      </c>
      <c r="B38" s="13">
        <v>1230321029</v>
      </c>
      <c r="C38" s="14" t="s">
        <v>54</v>
      </c>
      <c r="D38" s="10">
        <v>2</v>
      </c>
      <c r="E38" s="52">
        <v>0</v>
      </c>
      <c r="F38" s="10">
        <f t="shared" si="0"/>
        <v>0</v>
      </c>
      <c r="G38" s="10">
        <v>2</v>
      </c>
      <c r="H38" s="53">
        <v>0</v>
      </c>
      <c r="I38" s="10">
        <f t="shared" si="1"/>
        <v>0</v>
      </c>
      <c r="J38" s="10">
        <v>3</v>
      </c>
      <c r="K38" s="52">
        <v>0</v>
      </c>
      <c r="L38" s="26">
        <f t="shared" si="2"/>
        <v>0</v>
      </c>
      <c r="M38" s="10">
        <v>3</v>
      </c>
      <c r="N38" s="53">
        <v>0</v>
      </c>
      <c r="O38" s="26">
        <f t="shared" si="3"/>
        <v>0</v>
      </c>
      <c r="P38" s="7">
        <v>4</v>
      </c>
      <c r="Q38" s="7">
        <v>2</v>
      </c>
      <c r="R38" s="26">
        <f t="shared" si="4"/>
        <v>50</v>
      </c>
      <c r="S38" s="18">
        <v>4</v>
      </c>
      <c r="T38" s="9">
        <v>1</v>
      </c>
      <c r="U38" s="26">
        <f t="shared" si="5"/>
        <v>25</v>
      </c>
      <c r="V38" s="7">
        <v>3</v>
      </c>
      <c r="W38" s="7">
        <v>0</v>
      </c>
      <c r="X38" s="26">
        <f t="shared" si="6"/>
        <v>0</v>
      </c>
      <c r="Y38" s="9">
        <v>3</v>
      </c>
      <c r="Z38" s="9">
        <v>0</v>
      </c>
      <c r="AA38" s="26">
        <f t="shared" si="7"/>
        <v>0</v>
      </c>
      <c r="AB38" s="7">
        <v>4</v>
      </c>
      <c r="AC38" s="7">
        <v>1</v>
      </c>
      <c r="AD38" s="26">
        <f t="shared" si="8"/>
        <v>25</v>
      </c>
      <c r="AE38" s="9">
        <v>4</v>
      </c>
      <c r="AF38" s="9">
        <v>3</v>
      </c>
      <c r="AG38" s="26">
        <f t="shared" si="9"/>
        <v>75</v>
      </c>
      <c r="AH38" s="7">
        <v>2</v>
      </c>
      <c r="AI38" s="7">
        <v>2</v>
      </c>
      <c r="AJ38" s="26">
        <f t="shared" si="10"/>
        <v>100</v>
      </c>
      <c r="AK38" s="9">
        <v>2</v>
      </c>
      <c r="AL38" s="9">
        <v>2</v>
      </c>
      <c r="AM38" s="26">
        <f t="shared" si="11"/>
        <v>100</v>
      </c>
      <c r="AN38" s="7">
        <v>3</v>
      </c>
      <c r="AO38" s="7">
        <v>2</v>
      </c>
      <c r="AP38" s="26">
        <f t="shared" si="12"/>
        <v>66.666666666666657</v>
      </c>
      <c r="AQ38" s="18">
        <v>3</v>
      </c>
      <c r="AR38" s="9">
        <v>2</v>
      </c>
      <c r="AS38" s="26">
        <f t="shared" si="13"/>
        <v>66.666666666666657</v>
      </c>
      <c r="AT38" s="10">
        <f t="shared" si="14"/>
        <v>21</v>
      </c>
      <c r="AU38" s="10">
        <f t="shared" si="14"/>
        <v>7</v>
      </c>
      <c r="AV38" s="26">
        <f t="shared" si="15"/>
        <v>33.333333333333329</v>
      </c>
      <c r="AW38" s="10">
        <f t="shared" si="16"/>
        <v>21</v>
      </c>
      <c r="AX38" s="10">
        <f t="shared" si="16"/>
        <v>8</v>
      </c>
      <c r="AY38" s="26">
        <f t="shared" si="17"/>
        <v>38.095238095238095</v>
      </c>
      <c r="AZ38" s="10">
        <f t="shared" si="18"/>
        <v>42</v>
      </c>
      <c r="BA38" s="10">
        <f t="shared" si="18"/>
        <v>15</v>
      </c>
      <c r="BB38" s="27">
        <f t="shared" si="19"/>
        <v>35.714285714285715</v>
      </c>
    </row>
    <row r="39" spans="1:54">
      <c r="A39" s="12">
        <v>33</v>
      </c>
      <c r="B39" s="13">
        <v>1230321030</v>
      </c>
      <c r="C39" s="14" t="s">
        <v>55</v>
      </c>
      <c r="D39" s="10">
        <v>2</v>
      </c>
      <c r="E39" s="52">
        <v>0</v>
      </c>
      <c r="F39" s="10">
        <f t="shared" si="0"/>
        <v>0</v>
      </c>
      <c r="G39" s="10">
        <v>2</v>
      </c>
      <c r="H39" s="53">
        <v>0</v>
      </c>
      <c r="I39" s="10">
        <f t="shared" si="1"/>
        <v>0</v>
      </c>
      <c r="J39" s="10">
        <v>3</v>
      </c>
      <c r="K39" s="52">
        <v>2</v>
      </c>
      <c r="L39" s="26">
        <f t="shared" si="2"/>
        <v>66.666666666666657</v>
      </c>
      <c r="M39" s="10">
        <v>3</v>
      </c>
      <c r="N39" s="53">
        <v>2</v>
      </c>
      <c r="O39" s="26">
        <f t="shared" si="3"/>
        <v>66.666666666666657</v>
      </c>
      <c r="P39" s="7">
        <v>4</v>
      </c>
      <c r="Q39" s="7">
        <v>1</v>
      </c>
      <c r="R39" s="26">
        <f t="shared" si="4"/>
        <v>25</v>
      </c>
      <c r="S39" s="18">
        <v>4</v>
      </c>
      <c r="T39" s="9">
        <v>1</v>
      </c>
      <c r="U39" s="26">
        <f t="shared" si="5"/>
        <v>25</v>
      </c>
      <c r="V39" s="7">
        <v>3</v>
      </c>
      <c r="W39" s="7">
        <v>2</v>
      </c>
      <c r="X39" s="26">
        <f t="shared" si="6"/>
        <v>66.666666666666657</v>
      </c>
      <c r="Y39" s="9">
        <v>3</v>
      </c>
      <c r="Z39" s="9">
        <v>2</v>
      </c>
      <c r="AA39" s="26">
        <f t="shared" si="7"/>
        <v>66.666666666666657</v>
      </c>
      <c r="AB39" s="7">
        <v>4</v>
      </c>
      <c r="AC39" s="7">
        <v>1</v>
      </c>
      <c r="AD39" s="26">
        <f t="shared" si="8"/>
        <v>25</v>
      </c>
      <c r="AE39" s="9">
        <v>4</v>
      </c>
      <c r="AF39" s="9">
        <v>1</v>
      </c>
      <c r="AG39" s="26">
        <f t="shared" si="9"/>
        <v>25</v>
      </c>
      <c r="AH39" s="7">
        <v>2</v>
      </c>
      <c r="AI39" s="7">
        <v>2</v>
      </c>
      <c r="AJ39" s="26">
        <f t="shared" si="10"/>
        <v>100</v>
      </c>
      <c r="AK39" s="9">
        <v>2</v>
      </c>
      <c r="AL39" s="9">
        <v>2</v>
      </c>
      <c r="AM39" s="26">
        <f t="shared" si="11"/>
        <v>100</v>
      </c>
      <c r="AN39" s="7">
        <v>3</v>
      </c>
      <c r="AO39" s="7">
        <v>1</v>
      </c>
      <c r="AP39" s="26">
        <f t="shared" si="12"/>
        <v>33.333333333333329</v>
      </c>
      <c r="AQ39" s="18">
        <v>3</v>
      </c>
      <c r="AR39" s="9">
        <v>1</v>
      </c>
      <c r="AS39" s="26">
        <f t="shared" si="13"/>
        <v>33.333333333333329</v>
      </c>
      <c r="AT39" s="10">
        <f t="shared" si="14"/>
        <v>21</v>
      </c>
      <c r="AU39" s="10">
        <f t="shared" si="14"/>
        <v>9</v>
      </c>
      <c r="AV39" s="26">
        <f t="shared" si="15"/>
        <v>42.857142857142854</v>
      </c>
      <c r="AW39" s="10">
        <f t="shared" si="16"/>
        <v>21</v>
      </c>
      <c r="AX39" s="10">
        <f t="shared" si="16"/>
        <v>9</v>
      </c>
      <c r="AY39" s="26">
        <f t="shared" si="17"/>
        <v>42.857142857142854</v>
      </c>
      <c r="AZ39" s="10">
        <f t="shared" si="18"/>
        <v>42</v>
      </c>
      <c r="BA39" s="10">
        <f t="shared" si="18"/>
        <v>18</v>
      </c>
      <c r="BB39" s="27">
        <f t="shared" si="19"/>
        <v>42.857142857142854</v>
      </c>
    </row>
    <row r="40" spans="1:54">
      <c r="A40" s="12">
        <v>34</v>
      </c>
      <c r="B40" s="13">
        <v>1230321031</v>
      </c>
      <c r="C40" s="14" t="s">
        <v>56</v>
      </c>
      <c r="D40" s="10">
        <v>2</v>
      </c>
      <c r="E40" s="52">
        <v>0</v>
      </c>
      <c r="F40" s="10">
        <f t="shared" si="0"/>
        <v>0</v>
      </c>
      <c r="G40" s="10">
        <v>2</v>
      </c>
      <c r="H40" s="53">
        <v>0</v>
      </c>
      <c r="I40" s="10">
        <f t="shared" si="1"/>
        <v>0</v>
      </c>
      <c r="J40" s="10">
        <v>3</v>
      </c>
      <c r="K40" s="52">
        <v>3</v>
      </c>
      <c r="L40" s="26">
        <f t="shared" si="2"/>
        <v>100</v>
      </c>
      <c r="M40" s="10">
        <v>3</v>
      </c>
      <c r="N40" s="53">
        <v>3</v>
      </c>
      <c r="O40" s="26">
        <f t="shared" si="3"/>
        <v>100</v>
      </c>
      <c r="P40" s="7">
        <v>4</v>
      </c>
      <c r="Q40" s="7">
        <v>1</v>
      </c>
      <c r="R40" s="26">
        <f t="shared" si="4"/>
        <v>25</v>
      </c>
      <c r="S40" s="18">
        <v>4</v>
      </c>
      <c r="T40" s="9">
        <v>1</v>
      </c>
      <c r="U40" s="26">
        <f t="shared" si="5"/>
        <v>25</v>
      </c>
      <c r="V40" s="7">
        <v>3</v>
      </c>
      <c r="W40" s="7">
        <v>2</v>
      </c>
      <c r="X40" s="26">
        <f t="shared" si="6"/>
        <v>66.666666666666657</v>
      </c>
      <c r="Y40" s="9">
        <v>3</v>
      </c>
      <c r="Z40" s="9">
        <v>2</v>
      </c>
      <c r="AA40" s="26">
        <f t="shared" si="7"/>
        <v>66.666666666666657</v>
      </c>
      <c r="AB40" s="7">
        <v>4</v>
      </c>
      <c r="AC40" s="7">
        <v>1</v>
      </c>
      <c r="AD40" s="26">
        <f t="shared" si="8"/>
        <v>25</v>
      </c>
      <c r="AE40" s="9">
        <v>4</v>
      </c>
      <c r="AF40" s="9">
        <v>1</v>
      </c>
      <c r="AG40" s="26">
        <f t="shared" si="9"/>
        <v>25</v>
      </c>
      <c r="AH40" s="7">
        <v>2</v>
      </c>
      <c r="AI40" s="7">
        <v>2</v>
      </c>
      <c r="AJ40" s="26">
        <f t="shared" si="10"/>
        <v>100</v>
      </c>
      <c r="AK40" s="9">
        <v>2</v>
      </c>
      <c r="AL40" s="9">
        <v>2</v>
      </c>
      <c r="AM40" s="26">
        <f t="shared" si="11"/>
        <v>100</v>
      </c>
      <c r="AN40" s="7">
        <v>3</v>
      </c>
      <c r="AO40" s="7">
        <v>1</v>
      </c>
      <c r="AP40" s="26">
        <f t="shared" si="12"/>
        <v>33.333333333333329</v>
      </c>
      <c r="AQ40" s="18">
        <v>3</v>
      </c>
      <c r="AR40" s="9">
        <v>1</v>
      </c>
      <c r="AS40" s="26">
        <f t="shared" si="13"/>
        <v>33.333333333333329</v>
      </c>
      <c r="AT40" s="10">
        <f t="shared" si="14"/>
        <v>21</v>
      </c>
      <c r="AU40" s="10">
        <f t="shared" si="14"/>
        <v>10</v>
      </c>
      <c r="AV40" s="26">
        <f t="shared" si="15"/>
        <v>47.619047619047613</v>
      </c>
      <c r="AW40" s="10">
        <f t="shared" si="16"/>
        <v>21</v>
      </c>
      <c r="AX40" s="10">
        <f t="shared" si="16"/>
        <v>10</v>
      </c>
      <c r="AY40" s="26">
        <f t="shared" si="17"/>
        <v>47.619047619047613</v>
      </c>
      <c r="AZ40" s="10">
        <f t="shared" si="18"/>
        <v>42</v>
      </c>
      <c r="BA40" s="10">
        <f t="shared" si="18"/>
        <v>20</v>
      </c>
      <c r="BB40" s="27">
        <f t="shared" si="19"/>
        <v>47.619047619047613</v>
      </c>
    </row>
    <row r="41" spans="1:54">
      <c r="A41" s="12">
        <v>35</v>
      </c>
      <c r="B41" s="13">
        <v>1230321032</v>
      </c>
      <c r="C41" s="14" t="s">
        <v>57</v>
      </c>
      <c r="D41" s="10">
        <v>2</v>
      </c>
      <c r="E41" s="52">
        <v>0</v>
      </c>
      <c r="F41" s="10">
        <f t="shared" si="0"/>
        <v>0</v>
      </c>
      <c r="G41" s="10">
        <v>2</v>
      </c>
      <c r="H41" s="53">
        <v>0</v>
      </c>
      <c r="I41" s="10">
        <f t="shared" si="1"/>
        <v>0</v>
      </c>
      <c r="J41" s="10">
        <v>3</v>
      </c>
      <c r="K41" s="52">
        <v>0</v>
      </c>
      <c r="L41" s="26">
        <f t="shared" si="2"/>
        <v>0</v>
      </c>
      <c r="M41" s="10">
        <v>3</v>
      </c>
      <c r="N41" s="53">
        <v>0</v>
      </c>
      <c r="O41" s="26">
        <f t="shared" si="3"/>
        <v>0</v>
      </c>
      <c r="P41" s="7">
        <v>4</v>
      </c>
      <c r="Q41" s="7">
        <v>3</v>
      </c>
      <c r="R41" s="26">
        <f t="shared" si="4"/>
        <v>75</v>
      </c>
      <c r="S41" s="18">
        <v>4</v>
      </c>
      <c r="T41" s="9">
        <v>3</v>
      </c>
      <c r="U41" s="26">
        <f t="shared" si="5"/>
        <v>75</v>
      </c>
      <c r="V41" s="7">
        <v>3</v>
      </c>
      <c r="W41" s="7">
        <v>1</v>
      </c>
      <c r="X41" s="26">
        <f t="shared" si="6"/>
        <v>33.333333333333329</v>
      </c>
      <c r="Y41" s="9">
        <v>3</v>
      </c>
      <c r="Z41" s="9">
        <v>1</v>
      </c>
      <c r="AA41" s="26">
        <f t="shared" si="7"/>
        <v>33.333333333333329</v>
      </c>
      <c r="AB41" s="7">
        <v>4</v>
      </c>
      <c r="AC41" s="7">
        <v>2</v>
      </c>
      <c r="AD41" s="26">
        <f t="shared" si="8"/>
        <v>50</v>
      </c>
      <c r="AE41" s="9">
        <v>4</v>
      </c>
      <c r="AF41" s="9">
        <v>2</v>
      </c>
      <c r="AG41" s="26">
        <f t="shared" si="9"/>
        <v>50</v>
      </c>
      <c r="AH41" s="7">
        <v>2</v>
      </c>
      <c r="AI41" s="7">
        <v>1</v>
      </c>
      <c r="AJ41" s="26">
        <f t="shared" si="10"/>
        <v>50</v>
      </c>
      <c r="AK41" s="9">
        <v>2</v>
      </c>
      <c r="AL41" s="9">
        <v>1</v>
      </c>
      <c r="AM41" s="26">
        <f t="shared" si="11"/>
        <v>50</v>
      </c>
      <c r="AN41" s="7">
        <v>3</v>
      </c>
      <c r="AO41" s="7">
        <v>2</v>
      </c>
      <c r="AP41" s="26">
        <f t="shared" si="12"/>
        <v>66.666666666666657</v>
      </c>
      <c r="AQ41" s="18">
        <v>3</v>
      </c>
      <c r="AR41" s="9">
        <v>2</v>
      </c>
      <c r="AS41" s="26">
        <f t="shared" si="13"/>
        <v>66.666666666666657</v>
      </c>
      <c r="AT41" s="10">
        <f t="shared" si="14"/>
        <v>21</v>
      </c>
      <c r="AU41" s="10">
        <f t="shared" si="14"/>
        <v>9</v>
      </c>
      <c r="AV41" s="26">
        <f t="shared" si="15"/>
        <v>42.857142857142854</v>
      </c>
      <c r="AW41" s="10">
        <f t="shared" si="16"/>
        <v>21</v>
      </c>
      <c r="AX41" s="10">
        <f t="shared" si="16"/>
        <v>9</v>
      </c>
      <c r="AY41" s="26">
        <f t="shared" si="17"/>
        <v>42.857142857142854</v>
      </c>
      <c r="AZ41" s="10">
        <f t="shared" si="18"/>
        <v>42</v>
      </c>
      <c r="BA41" s="10">
        <f t="shared" si="18"/>
        <v>18</v>
      </c>
      <c r="BB41" s="27">
        <f t="shared" si="19"/>
        <v>42.857142857142854</v>
      </c>
    </row>
    <row r="42" spans="1:54">
      <c r="A42" s="12">
        <v>36</v>
      </c>
      <c r="B42" s="13">
        <v>1230321033</v>
      </c>
      <c r="C42" s="14" t="s">
        <v>58</v>
      </c>
      <c r="D42" s="10">
        <v>2</v>
      </c>
      <c r="E42" s="52">
        <v>2</v>
      </c>
      <c r="F42" s="10">
        <f t="shared" si="0"/>
        <v>100</v>
      </c>
      <c r="G42" s="10">
        <v>2</v>
      </c>
      <c r="H42" s="53">
        <v>2</v>
      </c>
      <c r="I42" s="10">
        <f t="shared" si="1"/>
        <v>100</v>
      </c>
      <c r="J42" s="10">
        <v>3</v>
      </c>
      <c r="K42" s="52">
        <v>2</v>
      </c>
      <c r="L42" s="26">
        <f t="shared" si="2"/>
        <v>66.666666666666657</v>
      </c>
      <c r="M42" s="10">
        <v>3</v>
      </c>
      <c r="N42" s="53">
        <v>2</v>
      </c>
      <c r="O42" s="26">
        <f t="shared" si="3"/>
        <v>66.666666666666657</v>
      </c>
      <c r="P42" s="7">
        <v>4</v>
      </c>
      <c r="Q42" s="7">
        <v>3</v>
      </c>
      <c r="R42" s="26">
        <f t="shared" si="4"/>
        <v>75</v>
      </c>
      <c r="S42" s="18">
        <v>4</v>
      </c>
      <c r="T42" s="9">
        <v>3</v>
      </c>
      <c r="U42" s="26">
        <f t="shared" si="5"/>
        <v>75</v>
      </c>
      <c r="V42" s="7">
        <v>3</v>
      </c>
      <c r="W42" s="7">
        <v>1</v>
      </c>
      <c r="X42" s="26">
        <f t="shared" si="6"/>
        <v>33.333333333333329</v>
      </c>
      <c r="Y42" s="9">
        <v>3</v>
      </c>
      <c r="Z42" s="9">
        <v>2</v>
      </c>
      <c r="AA42" s="26">
        <f t="shared" si="7"/>
        <v>66.666666666666657</v>
      </c>
      <c r="AB42" s="7">
        <v>4</v>
      </c>
      <c r="AC42" s="7">
        <v>3</v>
      </c>
      <c r="AD42" s="26">
        <f t="shared" si="8"/>
        <v>75</v>
      </c>
      <c r="AE42" s="9">
        <v>4</v>
      </c>
      <c r="AF42" s="9">
        <v>3</v>
      </c>
      <c r="AG42" s="26">
        <f t="shared" si="9"/>
        <v>75</v>
      </c>
      <c r="AH42" s="7">
        <v>2</v>
      </c>
      <c r="AI42" s="7">
        <v>2</v>
      </c>
      <c r="AJ42" s="26">
        <f t="shared" si="10"/>
        <v>100</v>
      </c>
      <c r="AK42" s="9">
        <v>2</v>
      </c>
      <c r="AL42" s="9">
        <v>2</v>
      </c>
      <c r="AM42" s="26">
        <f t="shared" si="11"/>
        <v>100</v>
      </c>
      <c r="AN42" s="7">
        <v>3</v>
      </c>
      <c r="AO42" s="7">
        <v>3</v>
      </c>
      <c r="AP42" s="26">
        <f t="shared" si="12"/>
        <v>100</v>
      </c>
      <c r="AQ42" s="18">
        <v>3</v>
      </c>
      <c r="AR42" s="9">
        <v>3</v>
      </c>
      <c r="AS42" s="26">
        <f t="shared" si="13"/>
        <v>100</v>
      </c>
      <c r="AT42" s="10">
        <f t="shared" si="14"/>
        <v>21</v>
      </c>
      <c r="AU42" s="10">
        <f t="shared" si="14"/>
        <v>16</v>
      </c>
      <c r="AV42" s="26">
        <f t="shared" si="15"/>
        <v>76.19047619047619</v>
      </c>
      <c r="AW42" s="10">
        <f t="shared" si="16"/>
        <v>21</v>
      </c>
      <c r="AX42" s="10">
        <f t="shared" si="16"/>
        <v>17</v>
      </c>
      <c r="AY42" s="26">
        <f t="shared" si="17"/>
        <v>80.952380952380949</v>
      </c>
      <c r="AZ42" s="10">
        <f t="shared" si="18"/>
        <v>42</v>
      </c>
      <c r="BA42" s="10">
        <f t="shared" si="18"/>
        <v>33</v>
      </c>
      <c r="BB42" s="27">
        <f t="shared" si="19"/>
        <v>78.571428571428569</v>
      </c>
    </row>
    <row r="43" spans="1:54">
      <c r="A43" s="12">
        <v>37</v>
      </c>
      <c r="B43" s="13">
        <v>1230321034</v>
      </c>
      <c r="C43" s="14" t="s">
        <v>59</v>
      </c>
      <c r="D43" s="10">
        <v>2</v>
      </c>
      <c r="E43" s="52">
        <v>0</v>
      </c>
      <c r="F43" s="10">
        <f t="shared" si="0"/>
        <v>0</v>
      </c>
      <c r="G43" s="10">
        <v>2</v>
      </c>
      <c r="H43" s="53">
        <v>0</v>
      </c>
      <c r="I43" s="10">
        <f t="shared" si="1"/>
        <v>0</v>
      </c>
      <c r="J43" s="10">
        <v>3</v>
      </c>
      <c r="K43" s="52">
        <v>2</v>
      </c>
      <c r="L43" s="26">
        <f t="shared" si="2"/>
        <v>66.666666666666657</v>
      </c>
      <c r="M43" s="10">
        <v>3</v>
      </c>
      <c r="N43" s="53">
        <v>3</v>
      </c>
      <c r="O43" s="26">
        <f t="shared" si="3"/>
        <v>100</v>
      </c>
      <c r="P43" s="7">
        <v>4</v>
      </c>
      <c r="Q43" s="7">
        <v>4</v>
      </c>
      <c r="R43" s="26">
        <f t="shared" si="4"/>
        <v>100</v>
      </c>
      <c r="S43" s="18">
        <v>4</v>
      </c>
      <c r="T43" s="9">
        <v>4</v>
      </c>
      <c r="U43" s="26">
        <f t="shared" si="5"/>
        <v>100</v>
      </c>
      <c r="V43" s="7">
        <v>3</v>
      </c>
      <c r="W43" s="7">
        <v>2</v>
      </c>
      <c r="X43" s="26">
        <f t="shared" si="6"/>
        <v>66.666666666666657</v>
      </c>
      <c r="Y43" s="9">
        <v>3</v>
      </c>
      <c r="Z43" s="9">
        <v>2</v>
      </c>
      <c r="AA43" s="26">
        <f t="shared" si="7"/>
        <v>66.666666666666657</v>
      </c>
      <c r="AB43" s="7">
        <v>4</v>
      </c>
      <c r="AC43" s="7">
        <v>2</v>
      </c>
      <c r="AD43" s="26">
        <f t="shared" si="8"/>
        <v>50</v>
      </c>
      <c r="AE43" s="9">
        <v>4</v>
      </c>
      <c r="AF43" s="9">
        <v>2</v>
      </c>
      <c r="AG43" s="26">
        <f t="shared" si="9"/>
        <v>50</v>
      </c>
      <c r="AH43" s="7">
        <v>2</v>
      </c>
      <c r="AI43" s="7">
        <v>1</v>
      </c>
      <c r="AJ43" s="26">
        <f t="shared" si="10"/>
        <v>50</v>
      </c>
      <c r="AK43" s="9">
        <v>2</v>
      </c>
      <c r="AL43" s="9">
        <v>1</v>
      </c>
      <c r="AM43" s="26">
        <f t="shared" si="11"/>
        <v>50</v>
      </c>
      <c r="AN43" s="7">
        <v>3</v>
      </c>
      <c r="AO43" s="7">
        <v>3</v>
      </c>
      <c r="AP43" s="26">
        <f t="shared" si="12"/>
        <v>100</v>
      </c>
      <c r="AQ43" s="18">
        <v>3</v>
      </c>
      <c r="AR43" s="9">
        <v>1</v>
      </c>
      <c r="AS43" s="26">
        <f t="shared" si="13"/>
        <v>33.333333333333329</v>
      </c>
      <c r="AT43" s="10">
        <f t="shared" si="14"/>
        <v>21</v>
      </c>
      <c r="AU43" s="10">
        <f t="shared" si="14"/>
        <v>14</v>
      </c>
      <c r="AV43" s="26">
        <f t="shared" si="15"/>
        <v>66.666666666666657</v>
      </c>
      <c r="AW43" s="10">
        <f t="shared" si="16"/>
        <v>21</v>
      </c>
      <c r="AX43" s="10">
        <f t="shared" si="16"/>
        <v>13</v>
      </c>
      <c r="AY43" s="26">
        <f t="shared" si="17"/>
        <v>61.904761904761905</v>
      </c>
      <c r="AZ43" s="10">
        <f t="shared" si="18"/>
        <v>42</v>
      </c>
      <c r="BA43" s="10">
        <f t="shared" si="18"/>
        <v>27</v>
      </c>
      <c r="BB43" s="27">
        <f t="shared" si="19"/>
        <v>64.285714285714292</v>
      </c>
    </row>
    <row r="44" spans="1:54">
      <c r="A44" s="12">
        <v>38</v>
      </c>
      <c r="B44" s="13">
        <v>1230321035</v>
      </c>
      <c r="C44" s="14" t="s">
        <v>60</v>
      </c>
      <c r="D44" s="10">
        <v>2</v>
      </c>
      <c r="E44" s="52">
        <v>1</v>
      </c>
      <c r="F44" s="10">
        <f t="shared" si="0"/>
        <v>50</v>
      </c>
      <c r="G44" s="10">
        <v>2</v>
      </c>
      <c r="H44" s="53">
        <v>1</v>
      </c>
      <c r="I44" s="10">
        <f t="shared" si="1"/>
        <v>50</v>
      </c>
      <c r="J44" s="10">
        <v>3</v>
      </c>
      <c r="K44" s="52">
        <v>2</v>
      </c>
      <c r="L44" s="26">
        <f t="shared" si="2"/>
        <v>66.666666666666657</v>
      </c>
      <c r="M44" s="10">
        <v>3</v>
      </c>
      <c r="N44" s="53">
        <v>2</v>
      </c>
      <c r="O44" s="26">
        <f t="shared" si="3"/>
        <v>66.666666666666657</v>
      </c>
      <c r="P44" s="7">
        <v>4</v>
      </c>
      <c r="Q44" s="7">
        <v>3</v>
      </c>
      <c r="R44" s="26">
        <f t="shared" si="4"/>
        <v>75</v>
      </c>
      <c r="S44" s="18">
        <v>4</v>
      </c>
      <c r="T44" s="9">
        <v>3</v>
      </c>
      <c r="U44" s="26">
        <f t="shared" si="5"/>
        <v>75</v>
      </c>
      <c r="V44" s="7">
        <v>3</v>
      </c>
      <c r="W44" s="7">
        <v>1</v>
      </c>
      <c r="X44" s="26">
        <f t="shared" si="6"/>
        <v>33.333333333333329</v>
      </c>
      <c r="Y44" s="9">
        <v>3</v>
      </c>
      <c r="Z44" s="9">
        <v>1</v>
      </c>
      <c r="AA44" s="26">
        <f t="shared" si="7"/>
        <v>33.333333333333329</v>
      </c>
      <c r="AB44" s="7">
        <v>4</v>
      </c>
      <c r="AC44" s="7">
        <v>3</v>
      </c>
      <c r="AD44" s="26">
        <f t="shared" si="8"/>
        <v>75</v>
      </c>
      <c r="AE44" s="9">
        <v>4</v>
      </c>
      <c r="AF44" s="9">
        <v>3</v>
      </c>
      <c r="AG44" s="26">
        <f t="shared" si="9"/>
        <v>75</v>
      </c>
      <c r="AH44" s="7">
        <v>2</v>
      </c>
      <c r="AI44" s="7">
        <v>2</v>
      </c>
      <c r="AJ44" s="26">
        <f t="shared" si="10"/>
        <v>100</v>
      </c>
      <c r="AK44" s="9">
        <v>2</v>
      </c>
      <c r="AL44" s="9">
        <v>2</v>
      </c>
      <c r="AM44" s="26">
        <f t="shared" si="11"/>
        <v>100</v>
      </c>
      <c r="AN44" s="7">
        <v>3</v>
      </c>
      <c r="AO44" s="7">
        <v>1</v>
      </c>
      <c r="AP44" s="26">
        <f t="shared" si="12"/>
        <v>33.333333333333329</v>
      </c>
      <c r="AQ44" s="18">
        <v>3</v>
      </c>
      <c r="AR44" s="9">
        <v>1</v>
      </c>
      <c r="AS44" s="26">
        <f t="shared" si="13"/>
        <v>33.333333333333329</v>
      </c>
      <c r="AT44" s="10">
        <f t="shared" si="14"/>
        <v>21</v>
      </c>
      <c r="AU44" s="10">
        <f t="shared" si="14"/>
        <v>13</v>
      </c>
      <c r="AV44" s="26">
        <f t="shared" si="15"/>
        <v>61.904761904761905</v>
      </c>
      <c r="AW44" s="10">
        <f t="shared" si="16"/>
        <v>21</v>
      </c>
      <c r="AX44" s="10">
        <f t="shared" si="16"/>
        <v>13</v>
      </c>
      <c r="AY44" s="26">
        <f t="shared" si="17"/>
        <v>61.904761904761905</v>
      </c>
      <c r="AZ44" s="10">
        <f t="shared" si="18"/>
        <v>42</v>
      </c>
      <c r="BA44" s="10">
        <f t="shared" si="18"/>
        <v>26</v>
      </c>
      <c r="BB44" s="27">
        <f t="shared" si="19"/>
        <v>61.904761904761905</v>
      </c>
    </row>
    <row r="45" spans="1:54">
      <c r="A45" s="12">
        <v>39</v>
      </c>
      <c r="B45" s="13">
        <v>1230321036</v>
      </c>
      <c r="C45" s="14" t="s">
        <v>61</v>
      </c>
      <c r="D45" s="10">
        <v>2</v>
      </c>
      <c r="E45" s="52">
        <v>0</v>
      </c>
      <c r="F45" s="10">
        <f t="shared" si="0"/>
        <v>0</v>
      </c>
      <c r="G45" s="10">
        <v>2</v>
      </c>
      <c r="H45" s="53">
        <v>2</v>
      </c>
      <c r="I45" s="10">
        <f t="shared" si="1"/>
        <v>100</v>
      </c>
      <c r="J45" s="10">
        <v>3</v>
      </c>
      <c r="K45" s="52">
        <v>1</v>
      </c>
      <c r="L45" s="26">
        <f t="shared" si="2"/>
        <v>33.333333333333329</v>
      </c>
      <c r="M45" s="10">
        <v>3</v>
      </c>
      <c r="N45" s="53">
        <v>1</v>
      </c>
      <c r="O45" s="26">
        <f t="shared" si="3"/>
        <v>33.333333333333329</v>
      </c>
      <c r="P45" s="7">
        <v>4</v>
      </c>
      <c r="Q45" s="7">
        <v>3</v>
      </c>
      <c r="R45" s="26">
        <f t="shared" si="4"/>
        <v>75</v>
      </c>
      <c r="S45" s="18">
        <v>4</v>
      </c>
      <c r="T45" s="9">
        <v>3</v>
      </c>
      <c r="U45" s="26">
        <f t="shared" si="5"/>
        <v>75</v>
      </c>
      <c r="V45" s="7">
        <v>3</v>
      </c>
      <c r="W45" s="7">
        <v>2</v>
      </c>
      <c r="X45" s="26">
        <f t="shared" si="6"/>
        <v>66.666666666666657</v>
      </c>
      <c r="Y45" s="9">
        <v>3</v>
      </c>
      <c r="Z45" s="9">
        <v>2</v>
      </c>
      <c r="AA45" s="26">
        <f t="shared" si="7"/>
        <v>66.666666666666657</v>
      </c>
      <c r="AB45" s="7">
        <v>4</v>
      </c>
      <c r="AC45" s="7">
        <v>4</v>
      </c>
      <c r="AD45" s="26">
        <f t="shared" si="8"/>
        <v>100</v>
      </c>
      <c r="AE45" s="9">
        <v>4</v>
      </c>
      <c r="AF45" s="9">
        <v>4</v>
      </c>
      <c r="AG45" s="26">
        <f t="shared" si="9"/>
        <v>100</v>
      </c>
      <c r="AH45" s="7">
        <v>2</v>
      </c>
      <c r="AI45" s="7">
        <v>1</v>
      </c>
      <c r="AJ45" s="26">
        <f t="shared" si="10"/>
        <v>50</v>
      </c>
      <c r="AK45" s="9">
        <v>2</v>
      </c>
      <c r="AL45" s="9">
        <v>1</v>
      </c>
      <c r="AM45" s="26">
        <f t="shared" si="11"/>
        <v>50</v>
      </c>
      <c r="AN45" s="7">
        <v>3</v>
      </c>
      <c r="AO45" s="7">
        <v>3</v>
      </c>
      <c r="AP45" s="26">
        <f t="shared" si="12"/>
        <v>100</v>
      </c>
      <c r="AQ45" s="18">
        <v>3</v>
      </c>
      <c r="AR45" s="9">
        <v>3</v>
      </c>
      <c r="AS45" s="26">
        <f t="shared" si="13"/>
        <v>100</v>
      </c>
      <c r="AT45" s="10">
        <f t="shared" si="14"/>
        <v>21</v>
      </c>
      <c r="AU45" s="10">
        <f t="shared" si="14"/>
        <v>14</v>
      </c>
      <c r="AV45" s="26">
        <f t="shared" si="15"/>
        <v>66.666666666666657</v>
      </c>
      <c r="AW45" s="10">
        <f t="shared" si="16"/>
        <v>21</v>
      </c>
      <c r="AX45" s="10">
        <f t="shared" si="16"/>
        <v>16</v>
      </c>
      <c r="AY45" s="26">
        <f t="shared" si="17"/>
        <v>76.19047619047619</v>
      </c>
      <c r="AZ45" s="10">
        <f t="shared" si="18"/>
        <v>42</v>
      </c>
      <c r="BA45" s="10">
        <f t="shared" si="18"/>
        <v>30</v>
      </c>
      <c r="BB45" s="27">
        <f t="shared" si="19"/>
        <v>71.428571428571431</v>
      </c>
    </row>
    <row r="46" spans="1:54">
      <c r="A46" s="12">
        <v>40</v>
      </c>
      <c r="B46" s="13">
        <v>1230321037</v>
      </c>
      <c r="C46" s="14" t="s">
        <v>62</v>
      </c>
      <c r="D46" s="10">
        <v>2</v>
      </c>
      <c r="E46" s="52">
        <v>0</v>
      </c>
      <c r="F46" s="10">
        <f t="shared" si="0"/>
        <v>0</v>
      </c>
      <c r="G46" s="10">
        <v>2</v>
      </c>
      <c r="H46" s="53">
        <v>1</v>
      </c>
      <c r="I46" s="10">
        <f t="shared" si="1"/>
        <v>50</v>
      </c>
      <c r="J46" s="10">
        <v>3</v>
      </c>
      <c r="K46" s="52">
        <v>3</v>
      </c>
      <c r="L46" s="26">
        <f t="shared" si="2"/>
        <v>100</v>
      </c>
      <c r="M46" s="10">
        <v>3</v>
      </c>
      <c r="N46" s="53">
        <v>3</v>
      </c>
      <c r="O46" s="26">
        <f t="shared" si="3"/>
        <v>100</v>
      </c>
      <c r="P46" s="7">
        <v>4</v>
      </c>
      <c r="Q46" s="7">
        <v>2</v>
      </c>
      <c r="R46" s="26">
        <f t="shared" si="4"/>
        <v>50</v>
      </c>
      <c r="S46" s="18">
        <v>4</v>
      </c>
      <c r="T46" s="9">
        <v>2</v>
      </c>
      <c r="U46" s="26">
        <f t="shared" si="5"/>
        <v>50</v>
      </c>
      <c r="V46" s="7">
        <v>3</v>
      </c>
      <c r="W46" s="7">
        <v>2</v>
      </c>
      <c r="X46" s="26">
        <f t="shared" si="6"/>
        <v>66.666666666666657</v>
      </c>
      <c r="Y46" s="9">
        <v>3</v>
      </c>
      <c r="Z46" s="9">
        <v>2</v>
      </c>
      <c r="AA46" s="26">
        <f t="shared" si="7"/>
        <v>66.666666666666657</v>
      </c>
      <c r="AB46" s="7">
        <v>4</v>
      </c>
      <c r="AC46" s="7">
        <v>3</v>
      </c>
      <c r="AD46" s="26">
        <f t="shared" si="8"/>
        <v>75</v>
      </c>
      <c r="AE46" s="9">
        <v>4</v>
      </c>
      <c r="AF46" s="9">
        <v>3</v>
      </c>
      <c r="AG46" s="26">
        <f t="shared" si="9"/>
        <v>75</v>
      </c>
      <c r="AH46" s="7">
        <v>2</v>
      </c>
      <c r="AI46" s="7">
        <v>1</v>
      </c>
      <c r="AJ46" s="26">
        <f t="shared" si="10"/>
        <v>50</v>
      </c>
      <c r="AK46" s="9">
        <v>2</v>
      </c>
      <c r="AL46" s="9">
        <v>1</v>
      </c>
      <c r="AM46" s="26">
        <f t="shared" si="11"/>
        <v>50</v>
      </c>
      <c r="AN46" s="7">
        <v>3</v>
      </c>
      <c r="AO46" s="7">
        <v>3</v>
      </c>
      <c r="AP46" s="26">
        <f t="shared" si="12"/>
        <v>100</v>
      </c>
      <c r="AQ46" s="18">
        <v>3</v>
      </c>
      <c r="AR46" s="9">
        <v>3</v>
      </c>
      <c r="AS46" s="26">
        <f t="shared" si="13"/>
        <v>100</v>
      </c>
      <c r="AT46" s="10">
        <f t="shared" si="14"/>
        <v>21</v>
      </c>
      <c r="AU46" s="10">
        <f t="shared" si="14"/>
        <v>14</v>
      </c>
      <c r="AV46" s="26">
        <f t="shared" si="15"/>
        <v>66.666666666666657</v>
      </c>
      <c r="AW46" s="10">
        <f t="shared" si="16"/>
        <v>21</v>
      </c>
      <c r="AX46" s="10">
        <f t="shared" si="16"/>
        <v>15</v>
      </c>
      <c r="AY46" s="26">
        <f t="shared" si="17"/>
        <v>71.428571428571431</v>
      </c>
      <c r="AZ46" s="10">
        <f t="shared" si="18"/>
        <v>42</v>
      </c>
      <c r="BA46" s="10">
        <f t="shared" si="18"/>
        <v>29</v>
      </c>
      <c r="BB46" s="27">
        <f t="shared" si="19"/>
        <v>69.047619047619051</v>
      </c>
    </row>
    <row r="47" spans="1:54">
      <c r="A47" s="12">
        <v>41</v>
      </c>
      <c r="B47" s="13">
        <v>1230321038</v>
      </c>
      <c r="C47" s="14" t="s">
        <v>63</v>
      </c>
      <c r="D47" s="10">
        <v>2</v>
      </c>
      <c r="E47" s="52">
        <v>0</v>
      </c>
      <c r="F47" s="10">
        <f t="shared" si="0"/>
        <v>0</v>
      </c>
      <c r="G47" s="10">
        <v>2</v>
      </c>
      <c r="H47" s="53">
        <v>0</v>
      </c>
      <c r="I47" s="10">
        <f t="shared" si="1"/>
        <v>0</v>
      </c>
      <c r="J47" s="10">
        <v>3</v>
      </c>
      <c r="K47" s="52">
        <v>1</v>
      </c>
      <c r="L47" s="26">
        <f t="shared" si="2"/>
        <v>33.333333333333329</v>
      </c>
      <c r="M47" s="10">
        <v>3</v>
      </c>
      <c r="N47" s="53">
        <v>1</v>
      </c>
      <c r="O47" s="26">
        <f t="shared" si="3"/>
        <v>33.333333333333329</v>
      </c>
      <c r="P47" s="7">
        <v>4</v>
      </c>
      <c r="Q47" s="7">
        <v>1</v>
      </c>
      <c r="R47" s="26">
        <f t="shared" si="4"/>
        <v>25</v>
      </c>
      <c r="S47" s="18">
        <v>4</v>
      </c>
      <c r="T47" s="9">
        <v>1</v>
      </c>
      <c r="U47" s="26">
        <f t="shared" si="5"/>
        <v>25</v>
      </c>
      <c r="V47" s="7">
        <v>3</v>
      </c>
      <c r="W47" s="7">
        <v>3</v>
      </c>
      <c r="X47" s="26">
        <f t="shared" si="6"/>
        <v>100</v>
      </c>
      <c r="Y47" s="9">
        <v>3</v>
      </c>
      <c r="Z47" s="9">
        <v>3</v>
      </c>
      <c r="AA47" s="26">
        <f t="shared" si="7"/>
        <v>100</v>
      </c>
      <c r="AB47" s="7">
        <v>4</v>
      </c>
      <c r="AC47" s="7">
        <v>3</v>
      </c>
      <c r="AD47" s="26">
        <f t="shared" si="8"/>
        <v>75</v>
      </c>
      <c r="AE47" s="9">
        <v>4</v>
      </c>
      <c r="AF47" s="9">
        <v>2</v>
      </c>
      <c r="AG47" s="26">
        <f t="shared" si="9"/>
        <v>50</v>
      </c>
      <c r="AH47" s="7">
        <v>2</v>
      </c>
      <c r="AI47" s="7">
        <v>0</v>
      </c>
      <c r="AJ47" s="26">
        <f t="shared" si="10"/>
        <v>0</v>
      </c>
      <c r="AK47" s="9">
        <v>2</v>
      </c>
      <c r="AL47" s="9">
        <v>0</v>
      </c>
      <c r="AM47" s="26">
        <f t="shared" si="11"/>
        <v>0</v>
      </c>
      <c r="AN47" s="7">
        <v>3</v>
      </c>
      <c r="AO47" s="7">
        <v>1</v>
      </c>
      <c r="AP47" s="26">
        <f t="shared" si="12"/>
        <v>33.333333333333329</v>
      </c>
      <c r="AQ47" s="18">
        <v>3</v>
      </c>
      <c r="AR47" s="9">
        <v>0</v>
      </c>
      <c r="AS47" s="26">
        <f t="shared" si="13"/>
        <v>0</v>
      </c>
      <c r="AT47" s="10">
        <f t="shared" si="14"/>
        <v>21</v>
      </c>
      <c r="AU47" s="10">
        <f t="shared" si="14"/>
        <v>9</v>
      </c>
      <c r="AV47" s="26">
        <f t="shared" si="15"/>
        <v>42.857142857142854</v>
      </c>
      <c r="AW47" s="10">
        <f t="shared" si="16"/>
        <v>21</v>
      </c>
      <c r="AX47" s="10">
        <f t="shared" si="16"/>
        <v>7</v>
      </c>
      <c r="AY47" s="26">
        <f t="shared" si="17"/>
        <v>33.333333333333329</v>
      </c>
      <c r="AZ47" s="10">
        <f t="shared" si="18"/>
        <v>42</v>
      </c>
      <c r="BA47" s="10">
        <f t="shared" si="18"/>
        <v>16</v>
      </c>
      <c r="BB47" s="27">
        <f t="shared" si="19"/>
        <v>38.095238095238095</v>
      </c>
    </row>
    <row r="48" spans="1:54">
      <c r="A48" s="12">
        <v>42</v>
      </c>
      <c r="B48" s="13">
        <v>1230321039</v>
      </c>
      <c r="C48" s="14" t="s">
        <v>64</v>
      </c>
      <c r="D48" s="10">
        <v>2</v>
      </c>
      <c r="E48" s="52">
        <v>2</v>
      </c>
      <c r="F48" s="10">
        <f t="shared" si="0"/>
        <v>100</v>
      </c>
      <c r="G48" s="10">
        <v>2</v>
      </c>
      <c r="H48" s="53">
        <v>2</v>
      </c>
      <c r="I48" s="10">
        <f t="shared" si="1"/>
        <v>100</v>
      </c>
      <c r="J48" s="10">
        <v>3</v>
      </c>
      <c r="K48" s="52">
        <v>2</v>
      </c>
      <c r="L48" s="26">
        <f t="shared" si="2"/>
        <v>66.666666666666657</v>
      </c>
      <c r="M48" s="10">
        <v>3</v>
      </c>
      <c r="N48" s="53">
        <v>2</v>
      </c>
      <c r="O48" s="26">
        <f t="shared" si="3"/>
        <v>66.666666666666657</v>
      </c>
      <c r="P48" s="7">
        <v>4</v>
      </c>
      <c r="Q48" s="10">
        <v>2</v>
      </c>
      <c r="R48" s="26">
        <f t="shared" si="4"/>
        <v>50</v>
      </c>
      <c r="S48" s="18">
        <v>4</v>
      </c>
      <c r="T48" s="9">
        <v>2</v>
      </c>
      <c r="U48" s="26">
        <f t="shared" si="5"/>
        <v>50</v>
      </c>
      <c r="V48" s="7">
        <v>3</v>
      </c>
      <c r="W48" s="10">
        <v>0</v>
      </c>
      <c r="X48" s="26">
        <f t="shared" si="6"/>
        <v>0</v>
      </c>
      <c r="Y48" s="9">
        <v>3</v>
      </c>
      <c r="Z48" s="9">
        <v>0</v>
      </c>
      <c r="AA48" s="26">
        <f t="shared" si="7"/>
        <v>0</v>
      </c>
      <c r="AB48" s="7">
        <v>4</v>
      </c>
      <c r="AC48" s="10">
        <v>3</v>
      </c>
      <c r="AD48" s="26">
        <f t="shared" si="8"/>
        <v>75</v>
      </c>
      <c r="AE48" s="9">
        <v>4</v>
      </c>
      <c r="AF48" s="9">
        <v>2</v>
      </c>
      <c r="AG48" s="26">
        <f t="shared" si="9"/>
        <v>50</v>
      </c>
      <c r="AH48" s="7">
        <v>2</v>
      </c>
      <c r="AI48" s="10">
        <v>1</v>
      </c>
      <c r="AJ48" s="26">
        <f t="shared" si="10"/>
        <v>50</v>
      </c>
      <c r="AK48" s="9">
        <v>2</v>
      </c>
      <c r="AL48" s="9">
        <v>1</v>
      </c>
      <c r="AM48" s="26">
        <f t="shared" si="11"/>
        <v>50</v>
      </c>
      <c r="AN48" s="7">
        <v>3</v>
      </c>
      <c r="AO48" s="10">
        <v>2</v>
      </c>
      <c r="AP48" s="26">
        <f t="shared" si="12"/>
        <v>66.666666666666657</v>
      </c>
      <c r="AQ48" s="18">
        <v>3</v>
      </c>
      <c r="AR48" s="9">
        <v>2</v>
      </c>
      <c r="AS48" s="26">
        <f t="shared" si="13"/>
        <v>66.666666666666657</v>
      </c>
      <c r="AT48" s="10">
        <f t="shared" si="14"/>
        <v>21</v>
      </c>
      <c r="AU48" s="10">
        <f t="shared" si="14"/>
        <v>12</v>
      </c>
      <c r="AV48" s="26">
        <f t="shared" si="15"/>
        <v>57.142857142857139</v>
      </c>
      <c r="AW48" s="10">
        <f t="shared" si="16"/>
        <v>21</v>
      </c>
      <c r="AX48" s="10">
        <f t="shared" si="16"/>
        <v>11</v>
      </c>
      <c r="AY48" s="26">
        <f t="shared" si="17"/>
        <v>52.380952380952387</v>
      </c>
      <c r="AZ48" s="10">
        <f t="shared" si="18"/>
        <v>42</v>
      </c>
      <c r="BA48" s="10">
        <f t="shared" si="18"/>
        <v>23</v>
      </c>
      <c r="BB48" s="27">
        <f t="shared" si="19"/>
        <v>54.761904761904766</v>
      </c>
    </row>
    <row r="49" spans="1:54">
      <c r="A49" s="12">
        <v>43</v>
      </c>
      <c r="B49" s="13">
        <v>1230321040</v>
      </c>
      <c r="C49" s="14" t="s">
        <v>65</v>
      </c>
      <c r="D49" s="10">
        <v>2</v>
      </c>
      <c r="E49" s="52">
        <v>2</v>
      </c>
      <c r="F49" s="10">
        <f t="shared" si="0"/>
        <v>100</v>
      </c>
      <c r="G49" s="10">
        <v>2</v>
      </c>
      <c r="H49" s="53">
        <v>2</v>
      </c>
      <c r="I49" s="10">
        <f t="shared" si="1"/>
        <v>100</v>
      </c>
      <c r="J49" s="10">
        <v>3</v>
      </c>
      <c r="K49" s="52">
        <v>2</v>
      </c>
      <c r="L49" s="26">
        <f t="shared" si="2"/>
        <v>66.666666666666657</v>
      </c>
      <c r="M49" s="10">
        <v>3</v>
      </c>
      <c r="N49" s="53">
        <v>2</v>
      </c>
      <c r="O49" s="26">
        <f t="shared" si="3"/>
        <v>66.666666666666657</v>
      </c>
      <c r="P49" s="7">
        <v>4</v>
      </c>
      <c r="Q49" s="7">
        <v>2</v>
      </c>
      <c r="R49" s="26">
        <f t="shared" si="4"/>
        <v>50</v>
      </c>
      <c r="S49" s="18">
        <v>4</v>
      </c>
      <c r="T49" s="9">
        <v>2</v>
      </c>
      <c r="U49" s="26">
        <f t="shared" si="5"/>
        <v>50</v>
      </c>
      <c r="V49" s="7">
        <v>3</v>
      </c>
      <c r="W49" s="7">
        <v>1</v>
      </c>
      <c r="X49" s="26">
        <f t="shared" si="6"/>
        <v>33.333333333333329</v>
      </c>
      <c r="Y49" s="9">
        <v>3</v>
      </c>
      <c r="Z49" s="9">
        <v>1</v>
      </c>
      <c r="AA49" s="26">
        <f t="shared" si="7"/>
        <v>33.333333333333329</v>
      </c>
      <c r="AB49" s="7">
        <v>4</v>
      </c>
      <c r="AC49" s="7">
        <v>2</v>
      </c>
      <c r="AD49" s="26">
        <f t="shared" si="8"/>
        <v>50</v>
      </c>
      <c r="AE49" s="9">
        <v>4</v>
      </c>
      <c r="AF49" s="9">
        <v>2</v>
      </c>
      <c r="AG49" s="26">
        <f t="shared" si="9"/>
        <v>50</v>
      </c>
      <c r="AH49" s="7">
        <v>2</v>
      </c>
      <c r="AI49" s="7">
        <v>1</v>
      </c>
      <c r="AJ49" s="26">
        <f t="shared" si="10"/>
        <v>50</v>
      </c>
      <c r="AK49" s="9">
        <v>2</v>
      </c>
      <c r="AL49" s="9">
        <v>1</v>
      </c>
      <c r="AM49" s="26">
        <f t="shared" si="11"/>
        <v>50</v>
      </c>
      <c r="AN49" s="7">
        <v>3</v>
      </c>
      <c r="AO49" s="7">
        <v>2</v>
      </c>
      <c r="AP49" s="26">
        <f t="shared" si="12"/>
        <v>66.666666666666657</v>
      </c>
      <c r="AQ49" s="18">
        <v>3</v>
      </c>
      <c r="AR49" s="9">
        <v>2</v>
      </c>
      <c r="AS49" s="26">
        <f t="shared" si="13"/>
        <v>66.666666666666657</v>
      </c>
      <c r="AT49" s="10">
        <f t="shared" si="14"/>
        <v>21</v>
      </c>
      <c r="AU49" s="10">
        <f t="shared" si="14"/>
        <v>12</v>
      </c>
      <c r="AV49" s="26">
        <f t="shared" si="15"/>
        <v>57.142857142857139</v>
      </c>
      <c r="AW49" s="10">
        <f t="shared" si="16"/>
        <v>21</v>
      </c>
      <c r="AX49" s="10">
        <f t="shared" si="16"/>
        <v>12</v>
      </c>
      <c r="AY49" s="26">
        <f t="shared" si="17"/>
        <v>57.142857142857139</v>
      </c>
      <c r="AZ49" s="10">
        <f t="shared" si="18"/>
        <v>42</v>
      </c>
      <c r="BA49" s="10">
        <f t="shared" si="18"/>
        <v>24</v>
      </c>
      <c r="BB49" s="27">
        <f t="shared" si="19"/>
        <v>57.142857142857139</v>
      </c>
    </row>
    <row r="50" spans="1:54" s="11" customFormat="1">
      <c r="A50" s="12">
        <v>44</v>
      </c>
      <c r="B50" s="13">
        <v>1230321041</v>
      </c>
      <c r="C50" s="14" t="s">
        <v>66</v>
      </c>
      <c r="D50" s="10">
        <v>2</v>
      </c>
      <c r="E50" s="52">
        <v>0</v>
      </c>
      <c r="F50" s="10">
        <f t="shared" si="0"/>
        <v>0</v>
      </c>
      <c r="G50" s="10">
        <v>2</v>
      </c>
      <c r="H50" s="53">
        <v>0</v>
      </c>
      <c r="I50" s="10">
        <f t="shared" si="1"/>
        <v>0</v>
      </c>
      <c r="J50" s="10">
        <v>3</v>
      </c>
      <c r="K50" s="52">
        <v>2</v>
      </c>
      <c r="L50" s="26">
        <f t="shared" si="2"/>
        <v>66.666666666666657</v>
      </c>
      <c r="M50" s="10">
        <v>3</v>
      </c>
      <c r="N50" s="53">
        <v>2</v>
      </c>
      <c r="O50" s="26">
        <f t="shared" si="3"/>
        <v>66.666666666666657</v>
      </c>
      <c r="P50" s="7">
        <v>4</v>
      </c>
      <c r="Q50" s="9">
        <v>4</v>
      </c>
      <c r="R50" s="26">
        <f t="shared" si="4"/>
        <v>100</v>
      </c>
      <c r="S50" s="18">
        <v>4</v>
      </c>
      <c r="T50" s="9">
        <v>4</v>
      </c>
      <c r="U50" s="26">
        <f t="shared" si="5"/>
        <v>100</v>
      </c>
      <c r="V50" s="7">
        <v>3</v>
      </c>
      <c r="W50" s="9">
        <v>2</v>
      </c>
      <c r="X50" s="26">
        <f t="shared" si="6"/>
        <v>66.666666666666657</v>
      </c>
      <c r="Y50" s="9">
        <v>3</v>
      </c>
      <c r="Z50" s="9">
        <v>2</v>
      </c>
      <c r="AA50" s="26">
        <f t="shared" si="7"/>
        <v>66.666666666666657</v>
      </c>
      <c r="AB50" s="7">
        <v>4</v>
      </c>
      <c r="AC50" s="9">
        <v>3</v>
      </c>
      <c r="AD50" s="26">
        <f t="shared" si="8"/>
        <v>75</v>
      </c>
      <c r="AE50" s="9">
        <v>4</v>
      </c>
      <c r="AF50" s="9">
        <v>4</v>
      </c>
      <c r="AG50" s="26">
        <f t="shared" si="9"/>
        <v>100</v>
      </c>
      <c r="AH50" s="7">
        <v>2</v>
      </c>
      <c r="AI50" s="9">
        <v>1</v>
      </c>
      <c r="AJ50" s="26">
        <f t="shared" si="10"/>
        <v>50</v>
      </c>
      <c r="AK50" s="9">
        <v>2</v>
      </c>
      <c r="AL50" s="9">
        <v>1</v>
      </c>
      <c r="AM50" s="26">
        <f t="shared" si="11"/>
        <v>50</v>
      </c>
      <c r="AN50" s="7">
        <v>3</v>
      </c>
      <c r="AO50" s="9">
        <v>2</v>
      </c>
      <c r="AP50" s="26">
        <f t="shared" si="12"/>
        <v>66.666666666666657</v>
      </c>
      <c r="AQ50" s="18">
        <v>3</v>
      </c>
      <c r="AR50" s="9">
        <v>2</v>
      </c>
      <c r="AS50" s="26">
        <f t="shared" si="13"/>
        <v>66.666666666666657</v>
      </c>
      <c r="AT50" s="10">
        <f t="shared" si="14"/>
        <v>21</v>
      </c>
      <c r="AU50" s="10">
        <f t="shared" si="14"/>
        <v>14</v>
      </c>
      <c r="AV50" s="26">
        <f t="shared" si="15"/>
        <v>66.666666666666657</v>
      </c>
      <c r="AW50" s="10">
        <f t="shared" si="16"/>
        <v>21</v>
      </c>
      <c r="AX50" s="10">
        <f t="shared" si="16"/>
        <v>15</v>
      </c>
      <c r="AY50" s="26">
        <f t="shared" si="17"/>
        <v>71.428571428571431</v>
      </c>
      <c r="AZ50" s="10">
        <f t="shared" si="18"/>
        <v>42</v>
      </c>
      <c r="BA50" s="10">
        <f t="shared" si="18"/>
        <v>29</v>
      </c>
      <c r="BB50" s="27">
        <f t="shared" si="19"/>
        <v>69.047619047619051</v>
      </c>
    </row>
    <row r="51" spans="1:54" s="11" customFormat="1">
      <c r="A51" s="12">
        <v>45</v>
      </c>
      <c r="B51" s="13">
        <v>1230321042</v>
      </c>
      <c r="C51" s="14" t="s">
        <v>67</v>
      </c>
      <c r="D51" s="10">
        <v>2</v>
      </c>
      <c r="E51" s="52">
        <v>1</v>
      </c>
      <c r="F51" s="10">
        <f t="shared" si="0"/>
        <v>50</v>
      </c>
      <c r="G51" s="10">
        <v>2</v>
      </c>
      <c r="H51" s="53">
        <v>1</v>
      </c>
      <c r="I51" s="10">
        <f t="shared" si="1"/>
        <v>50</v>
      </c>
      <c r="J51" s="10">
        <v>3</v>
      </c>
      <c r="K51" s="52">
        <v>2</v>
      </c>
      <c r="L51" s="26">
        <f t="shared" si="2"/>
        <v>66.666666666666657</v>
      </c>
      <c r="M51" s="10">
        <v>3</v>
      </c>
      <c r="N51" s="53">
        <v>2</v>
      </c>
      <c r="O51" s="26">
        <f t="shared" si="3"/>
        <v>66.666666666666657</v>
      </c>
      <c r="P51" s="7">
        <v>4</v>
      </c>
      <c r="Q51" s="9">
        <v>4</v>
      </c>
      <c r="R51" s="26">
        <f t="shared" si="4"/>
        <v>100</v>
      </c>
      <c r="S51" s="18">
        <v>4</v>
      </c>
      <c r="T51" s="9">
        <v>4</v>
      </c>
      <c r="U51" s="26">
        <f t="shared" si="5"/>
        <v>100</v>
      </c>
      <c r="V51" s="7">
        <v>3</v>
      </c>
      <c r="W51" s="9">
        <v>3</v>
      </c>
      <c r="X51" s="26">
        <f t="shared" si="6"/>
        <v>100</v>
      </c>
      <c r="Y51" s="9">
        <v>3</v>
      </c>
      <c r="Z51" s="9">
        <v>3</v>
      </c>
      <c r="AA51" s="26">
        <f t="shared" si="7"/>
        <v>100</v>
      </c>
      <c r="AB51" s="7">
        <v>4</v>
      </c>
      <c r="AC51" s="9">
        <v>4</v>
      </c>
      <c r="AD51" s="26">
        <f t="shared" si="8"/>
        <v>100</v>
      </c>
      <c r="AE51" s="9">
        <v>4</v>
      </c>
      <c r="AF51" s="9">
        <v>4</v>
      </c>
      <c r="AG51" s="26">
        <f t="shared" si="9"/>
        <v>100</v>
      </c>
      <c r="AH51" s="7">
        <v>2</v>
      </c>
      <c r="AI51" s="9">
        <v>2</v>
      </c>
      <c r="AJ51" s="26">
        <f t="shared" si="10"/>
        <v>100</v>
      </c>
      <c r="AK51" s="9">
        <v>2</v>
      </c>
      <c r="AL51" s="9">
        <v>2</v>
      </c>
      <c r="AM51" s="26">
        <f t="shared" si="11"/>
        <v>100</v>
      </c>
      <c r="AN51" s="7">
        <v>3</v>
      </c>
      <c r="AO51" s="9">
        <v>3</v>
      </c>
      <c r="AP51" s="26">
        <f t="shared" si="12"/>
        <v>100</v>
      </c>
      <c r="AQ51" s="18">
        <v>3</v>
      </c>
      <c r="AR51" s="9">
        <v>3</v>
      </c>
      <c r="AS51" s="26">
        <f t="shared" si="13"/>
        <v>100</v>
      </c>
      <c r="AT51" s="10">
        <f t="shared" si="14"/>
        <v>21</v>
      </c>
      <c r="AU51" s="10">
        <f t="shared" si="14"/>
        <v>19</v>
      </c>
      <c r="AV51" s="26">
        <f t="shared" si="15"/>
        <v>90.476190476190482</v>
      </c>
      <c r="AW51" s="10">
        <f t="shared" si="16"/>
        <v>21</v>
      </c>
      <c r="AX51" s="10">
        <f t="shared" si="16"/>
        <v>19</v>
      </c>
      <c r="AY51" s="26">
        <f t="shared" si="17"/>
        <v>90.476190476190482</v>
      </c>
      <c r="AZ51" s="10">
        <f t="shared" si="18"/>
        <v>42</v>
      </c>
      <c r="BA51" s="10">
        <f t="shared" si="18"/>
        <v>38</v>
      </c>
      <c r="BB51" s="27">
        <f t="shared" si="19"/>
        <v>90.476190476190482</v>
      </c>
    </row>
    <row r="52" spans="1:54" s="11" customFormat="1">
      <c r="A52" s="12">
        <v>46</v>
      </c>
      <c r="B52" s="13">
        <v>1230321043</v>
      </c>
      <c r="C52" s="14" t="s">
        <v>68</v>
      </c>
      <c r="D52" s="10">
        <v>2</v>
      </c>
      <c r="E52" s="52">
        <v>0</v>
      </c>
      <c r="F52" s="10">
        <f t="shared" si="0"/>
        <v>0</v>
      </c>
      <c r="G52" s="10">
        <v>2</v>
      </c>
      <c r="H52" s="53">
        <v>0</v>
      </c>
      <c r="I52" s="10">
        <f t="shared" si="1"/>
        <v>0</v>
      </c>
      <c r="J52" s="10">
        <v>3</v>
      </c>
      <c r="K52" s="52">
        <v>0</v>
      </c>
      <c r="L52" s="26">
        <f t="shared" si="2"/>
        <v>0</v>
      </c>
      <c r="M52" s="10">
        <v>3</v>
      </c>
      <c r="N52" s="53">
        <v>0</v>
      </c>
      <c r="O52" s="26">
        <f t="shared" si="3"/>
        <v>0</v>
      </c>
      <c r="P52" s="7">
        <v>4</v>
      </c>
      <c r="Q52" s="9">
        <v>3</v>
      </c>
      <c r="R52" s="26">
        <f t="shared" si="4"/>
        <v>75</v>
      </c>
      <c r="S52" s="18">
        <v>4</v>
      </c>
      <c r="T52" s="9">
        <v>3</v>
      </c>
      <c r="U52" s="26">
        <f t="shared" si="5"/>
        <v>75</v>
      </c>
      <c r="V52" s="7">
        <v>3</v>
      </c>
      <c r="W52" s="9">
        <v>1</v>
      </c>
      <c r="X52" s="26">
        <f t="shared" si="6"/>
        <v>33.333333333333329</v>
      </c>
      <c r="Y52" s="9">
        <v>3</v>
      </c>
      <c r="Z52" s="9">
        <v>1</v>
      </c>
      <c r="AA52" s="26">
        <f t="shared" si="7"/>
        <v>33.333333333333329</v>
      </c>
      <c r="AB52" s="7">
        <v>4</v>
      </c>
      <c r="AC52" s="9">
        <v>3</v>
      </c>
      <c r="AD52" s="26">
        <f t="shared" si="8"/>
        <v>75</v>
      </c>
      <c r="AE52" s="9">
        <v>4</v>
      </c>
      <c r="AF52" s="9">
        <v>3</v>
      </c>
      <c r="AG52" s="26">
        <f t="shared" si="9"/>
        <v>75</v>
      </c>
      <c r="AH52" s="7">
        <v>2</v>
      </c>
      <c r="AI52" s="9">
        <v>0</v>
      </c>
      <c r="AJ52" s="26">
        <f t="shared" si="10"/>
        <v>0</v>
      </c>
      <c r="AK52" s="9">
        <v>2</v>
      </c>
      <c r="AL52" s="9">
        <v>0</v>
      </c>
      <c r="AM52" s="26">
        <f t="shared" si="11"/>
        <v>0</v>
      </c>
      <c r="AN52" s="7">
        <v>3</v>
      </c>
      <c r="AO52" s="9">
        <v>2</v>
      </c>
      <c r="AP52" s="26">
        <f t="shared" si="12"/>
        <v>66.666666666666657</v>
      </c>
      <c r="AQ52" s="18">
        <v>3</v>
      </c>
      <c r="AR52" s="9">
        <v>2</v>
      </c>
      <c r="AS52" s="26">
        <f t="shared" si="13"/>
        <v>66.666666666666657</v>
      </c>
      <c r="AT52" s="10">
        <f t="shared" si="14"/>
        <v>21</v>
      </c>
      <c r="AU52" s="10">
        <f t="shared" si="14"/>
        <v>9</v>
      </c>
      <c r="AV52" s="26">
        <f t="shared" si="15"/>
        <v>42.857142857142854</v>
      </c>
      <c r="AW52" s="10">
        <f t="shared" si="16"/>
        <v>21</v>
      </c>
      <c r="AX52" s="10">
        <f t="shared" si="16"/>
        <v>9</v>
      </c>
      <c r="AY52" s="26">
        <f t="shared" si="17"/>
        <v>42.857142857142854</v>
      </c>
      <c r="AZ52" s="10">
        <f t="shared" si="18"/>
        <v>42</v>
      </c>
      <c r="BA52" s="10">
        <f t="shared" si="18"/>
        <v>18</v>
      </c>
      <c r="BB52" s="27">
        <f t="shared" si="19"/>
        <v>42.857142857142854</v>
      </c>
    </row>
    <row r="53" spans="1:54" s="11" customFormat="1">
      <c r="A53" s="12">
        <v>47</v>
      </c>
      <c r="B53" s="13">
        <v>1230321044</v>
      </c>
      <c r="C53" s="14" t="s">
        <v>69</v>
      </c>
      <c r="D53" s="10">
        <v>2</v>
      </c>
      <c r="E53" s="52">
        <v>0</v>
      </c>
      <c r="F53" s="10">
        <f t="shared" si="0"/>
        <v>0</v>
      </c>
      <c r="G53" s="10">
        <v>2</v>
      </c>
      <c r="H53" s="53">
        <v>0</v>
      </c>
      <c r="I53" s="10">
        <f t="shared" si="1"/>
        <v>0</v>
      </c>
      <c r="J53" s="10">
        <v>3</v>
      </c>
      <c r="K53" s="52">
        <v>3</v>
      </c>
      <c r="L53" s="26">
        <f t="shared" si="2"/>
        <v>100</v>
      </c>
      <c r="M53" s="10">
        <v>3</v>
      </c>
      <c r="N53" s="53">
        <v>3</v>
      </c>
      <c r="O53" s="26">
        <f t="shared" si="3"/>
        <v>100</v>
      </c>
      <c r="P53" s="7">
        <v>4</v>
      </c>
      <c r="Q53" s="9">
        <v>2</v>
      </c>
      <c r="R53" s="26">
        <f t="shared" si="4"/>
        <v>50</v>
      </c>
      <c r="S53" s="18">
        <v>4</v>
      </c>
      <c r="T53" s="9">
        <v>2</v>
      </c>
      <c r="U53" s="26">
        <f t="shared" si="5"/>
        <v>50</v>
      </c>
      <c r="V53" s="7">
        <v>3</v>
      </c>
      <c r="W53" s="9">
        <v>2</v>
      </c>
      <c r="X53" s="26">
        <f t="shared" si="6"/>
        <v>66.666666666666657</v>
      </c>
      <c r="Y53" s="9">
        <v>3</v>
      </c>
      <c r="Z53" s="9">
        <v>2</v>
      </c>
      <c r="AA53" s="26">
        <f t="shared" si="7"/>
        <v>66.666666666666657</v>
      </c>
      <c r="AB53" s="7">
        <v>4</v>
      </c>
      <c r="AC53" s="9">
        <v>4</v>
      </c>
      <c r="AD53" s="26">
        <f t="shared" si="8"/>
        <v>100</v>
      </c>
      <c r="AE53" s="9">
        <v>4</v>
      </c>
      <c r="AF53" s="9">
        <v>4</v>
      </c>
      <c r="AG53" s="26">
        <f t="shared" si="9"/>
        <v>100</v>
      </c>
      <c r="AH53" s="7">
        <v>2</v>
      </c>
      <c r="AI53" s="9">
        <v>0</v>
      </c>
      <c r="AJ53" s="26">
        <f t="shared" si="10"/>
        <v>0</v>
      </c>
      <c r="AK53" s="9">
        <v>2</v>
      </c>
      <c r="AL53" s="9">
        <v>0</v>
      </c>
      <c r="AM53" s="26">
        <f t="shared" si="11"/>
        <v>0</v>
      </c>
      <c r="AN53" s="7">
        <v>3</v>
      </c>
      <c r="AO53" s="9">
        <v>2</v>
      </c>
      <c r="AP53" s="26">
        <f t="shared" si="12"/>
        <v>66.666666666666657</v>
      </c>
      <c r="AQ53" s="18">
        <v>3</v>
      </c>
      <c r="AR53" s="9">
        <v>2</v>
      </c>
      <c r="AS53" s="26">
        <f t="shared" si="13"/>
        <v>66.666666666666657</v>
      </c>
      <c r="AT53" s="10">
        <f t="shared" si="14"/>
        <v>21</v>
      </c>
      <c r="AU53" s="10">
        <f t="shared" si="14"/>
        <v>13</v>
      </c>
      <c r="AV53" s="26">
        <f t="shared" si="15"/>
        <v>61.904761904761905</v>
      </c>
      <c r="AW53" s="10">
        <f t="shared" si="16"/>
        <v>21</v>
      </c>
      <c r="AX53" s="10">
        <f t="shared" si="16"/>
        <v>13</v>
      </c>
      <c r="AY53" s="26">
        <f t="shared" si="17"/>
        <v>61.904761904761905</v>
      </c>
      <c r="AZ53" s="10">
        <f t="shared" si="18"/>
        <v>42</v>
      </c>
      <c r="BA53" s="10">
        <f t="shared" si="18"/>
        <v>26</v>
      </c>
      <c r="BB53" s="27">
        <f t="shared" si="19"/>
        <v>61.904761904761905</v>
      </c>
    </row>
    <row r="54" spans="1:54" s="11" customFormat="1">
      <c r="A54" s="12">
        <v>48</v>
      </c>
      <c r="B54" s="13">
        <v>1230321045</v>
      </c>
      <c r="C54" s="14" t="s">
        <v>70</v>
      </c>
      <c r="D54" s="10">
        <v>2</v>
      </c>
      <c r="E54" s="52">
        <v>1</v>
      </c>
      <c r="F54" s="10">
        <f t="shared" si="0"/>
        <v>50</v>
      </c>
      <c r="G54" s="10">
        <v>2</v>
      </c>
      <c r="H54" s="53">
        <v>1</v>
      </c>
      <c r="I54" s="10">
        <f t="shared" si="1"/>
        <v>50</v>
      </c>
      <c r="J54" s="10">
        <v>3</v>
      </c>
      <c r="K54" s="52">
        <v>2</v>
      </c>
      <c r="L54" s="26">
        <f t="shared" si="2"/>
        <v>66.666666666666657</v>
      </c>
      <c r="M54" s="10">
        <v>3</v>
      </c>
      <c r="N54" s="53">
        <v>2</v>
      </c>
      <c r="O54" s="26">
        <f t="shared" si="3"/>
        <v>66.666666666666657</v>
      </c>
      <c r="P54" s="7">
        <v>4</v>
      </c>
      <c r="Q54" s="9">
        <v>1</v>
      </c>
      <c r="R54" s="26">
        <f t="shared" si="4"/>
        <v>25</v>
      </c>
      <c r="S54" s="18">
        <v>4</v>
      </c>
      <c r="T54" s="9">
        <v>1</v>
      </c>
      <c r="U54" s="26">
        <f t="shared" si="5"/>
        <v>25</v>
      </c>
      <c r="V54" s="7">
        <v>3</v>
      </c>
      <c r="W54" s="9">
        <v>3</v>
      </c>
      <c r="X54" s="26">
        <f t="shared" si="6"/>
        <v>100</v>
      </c>
      <c r="Y54" s="9">
        <v>3</v>
      </c>
      <c r="Z54" s="9">
        <v>3</v>
      </c>
      <c r="AA54" s="26">
        <f t="shared" si="7"/>
        <v>100</v>
      </c>
      <c r="AB54" s="7">
        <v>4</v>
      </c>
      <c r="AC54" s="9">
        <v>3</v>
      </c>
      <c r="AD54" s="26">
        <f t="shared" si="8"/>
        <v>75</v>
      </c>
      <c r="AE54" s="9">
        <v>4</v>
      </c>
      <c r="AF54" s="9">
        <v>3</v>
      </c>
      <c r="AG54" s="26">
        <f t="shared" si="9"/>
        <v>75</v>
      </c>
      <c r="AH54" s="7">
        <v>2</v>
      </c>
      <c r="AI54" s="9">
        <v>1</v>
      </c>
      <c r="AJ54" s="26">
        <f t="shared" si="10"/>
        <v>50</v>
      </c>
      <c r="AK54" s="9">
        <v>2</v>
      </c>
      <c r="AL54" s="9">
        <v>1</v>
      </c>
      <c r="AM54" s="26">
        <f t="shared" si="11"/>
        <v>50</v>
      </c>
      <c r="AN54" s="7">
        <v>3</v>
      </c>
      <c r="AO54" s="9">
        <v>2</v>
      </c>
      <c r="AP54" s="26">
        <f t="shared" si="12"/>
        <v>66.666666666666657</v>
      </c>
      <c r="AQ54" s="18">
        <v>3</v>
      </c>
      <c r="AR54" s="9">
        <v>2</v>
      </c>
      <c r="AS54" s="26">
        <f t="shared" si="13"/>
        <v>66.666666666666657</v>
      </c>
      <c r="AT54" s="10">
        <f t="shared" si="14"/>
        <v>21</v>
      </c>
      <c r="AU54" s="10">
        <f t="shared" si="14"/>
        <v>13</v>
      </c>
      <c r="AV54" s="26">
        <f t="shared" si="15"/>
        <v>61.904761904761905</v>
      </c>
      <c r="AW54" s="10">
        <f t="shared" si="16"/>
        <v>21</v>
      </c>
      <c r="AX54" s="10">
        <f t="shared" si="16"/>
        <v>13</v>
      </c>
      <c r="AY54" s="26">
        <f t="shared" si="17"/>
        <v>61.904761904761905</v>
      </c>
      <c r="AZ54" s="10">
        <f t="shared" si="18"/>
        <v>42</v>
      </c>
      <c r="BA54" s="10">
        <f t="shared" si="18"/>
        <v>26</v>
      </c>
      <c r="BB54" s="27">
        <f t="shared" si="19"/>
        <v>61.904761904761905</v>
      </c>
    </row>
    <row r="55" spans="1:54" s="11" customFormat="1">
      <c r="A55" s="12">
        <v>49</v>
      </c>
      <c r="B55" s="13">
        <v>1230321046</v>
      </c>
      <c r="C55" s="14" t="s">
        <v>71</v>
      </c>
      <c r="D55" s="10">
        <v>2</v>
      </c>
      <c r="E55" s="52">
        <v>2</v>
      </c>
      <c r="F55" s="10">
        <f t="shared" si="0"/>
        <v>100</v>
      </c>
      <c r="G55" s="10">
        <v>2</v>
      </c>
      <c r="H55" s="53">
        <v>2</v>
      </c>
      <c r="I55" s="10">
        <f t="shared" si="1"/>
        <v>100</v>
      </c>
      <c r="J55" s="10">
        <v>3</v>
      </c>
      <c r="K55" s="52">
        <v>2</v>
      </c>
      <c r="L55" s="26">
        <f t="shared" si="2"/>
        <v>66.666666666666657</v>
      </c>
      <c r="M55" s="10">
        <v>3</v>
      </c>
      <c r="N55" s="53">
        <v>2</v>
      </c>
      <c r="O55" s="26">
        <f t="shared" si="3"/>
        <v>66.666666666666657</v>
      </c>
      <c r="P55" s="7">
        <v>4</v>
      </c>
      <c r="Q55" s="9">
        <v>2</v>
      </c>
      <c r="R55" s="26">
        <f t="shared" si="4"/>
        <v>50</v>
      </c>
      <c r="S55" s="18">
        <v>4</v>
      </c>
      <c r="T55" s="9">
        <v>2</v>
      </c>
      <c r="U55" s="26">
        <f t="shared" si="5"/>
        <v>50</v>
      </c>
      <c r="V55" s="7">
        <v>3</v>
      </c>
      <c r="W55" s="9">
        <v>3</v>
      </c>
      <c r="X55" s="26">
        <f t="shared" si="6"/>
        <v>100</v>
      </c>
      <c r="Y55" s="9">
        <v>3</v>
      </c>
      <c r="Z55" s="9">
        <v>3</v>
      </c>
      <c r="AA55" s="26">
        <f t="shared" si="7"/>
        <v>100</v>
      </c>
      <c r="AB55" s="7">
        <v>4</v>
      </c>
      <c r="AC55" s="9">
        <v>4</v>
      </c>
      <c r="AD55" s="26">
        <f t="shared" si="8"/>
        <v>100</v>
      </c>
      <c r="AE55" s="9">
        <v>4</v>
      </c>
      <c r="AF55" s="9">
        <v>4</v>
      </c>
      <c r="AG55" s="26">
        <f t="shared" si="9"/>
        <v>100</v>
      </c>
      <c r="AH55" s="7">
        <v>2</v>
      </c>
      <c r="AI55" s="9">
        <v>1</v>
      </c>
      <c r="AJ55" s="26">
        <f t="shared" si="10"/>
        <v>50</v>
      </c>
      <c r="AK55" s="9">
        <v>2</v>
      </c>
      <c r="AL55" s="9">
        <v>1</v>
      </c>
      <c r="AM55" s="26">
        <f t="shared" si="11"/>
        <v>50</v>
      </c>
      <c r="AN55" s="7">
        <v>3</v>
      </c>
      <c r="AO55" s="9">
        <v>3</v>
      </c>
      <c r="AP55" s="26">
        <f t="shared" si="12"/>
        <v>100</v>
      </c>
      <c r="AQ55" s="18">
        <v>3</v>
      </c>
      <c r="AR55" s="9">
        <v>3</v>
      </c>
      <c r="AS55" s="26">
        <f t="shared" si="13"/>
        <v>100</v>
      </c>
      <c r="AT55" s="10">
        <f t="shared" si="14"/>
        <v>21</v>
      </c>
      <c r="AU55" s="10">
        <f t="shared" si="14"/>
        <v>17</v>
      </c>
      <c r="AV55" s="26">
        <f t="shared" si="15"/>
        <v>80.952380952380949</v>
      </c>
      <c r="AW55" s="10">
        <f t="shared" si="16"/>
        <v>21</v>
      </c>
      <c r="AX55" s="10">
        <f t="shared" si="16"/>
        <v>17</v>
      </c>
      <c r="AY55" s="26">
        <f t="shared" si="17"/>
        <v>80.952380952380949</v>
      </c>
      <c r="AZ55" s="10">
        <f t="shared" si="18"/>
        <v>42</v>
      </c>
      <c r="BA55" s="10">
        <f t="shared" si="18"/>
        <v>34</v>
      </c>
      <c r="BB55" s="27">
        <f t="shared" si="19"/>
        <v>80.952380952380949</v>
      </c>
    </row>
    <row r="56" spans="1:54" s="11" customFormat="1">
      <c r="A56" s="12">
        <v>50</v>
      </c>
      <c r="B56" s="13">
        <v>1230321047</v>
      </c>
      <c r="C56" s="14" t="s">
        <v>72</v>
      </c>
      <c r="D56" s="10">
        <v>2</v>
      </c>
      <c r="E56" s="52">
        <v>1</v>
      </c>
      <c r="F56" s="10">
        <f t="shared" si="0"/>
        <v>50</v>
      </c>
      <c r="G56" s="10">
        <v>2</v>
      </c>
      <c r="H56" s="53">
        <v>1</v>
      </c>
      <c r="I56" s="10">
        <f t="shared" si="1"/>
        <v>50</v>
      </c>
      <c r="J56" s="10">
        <v>3</v>
      </c>
      <c r="K56" s="52">
        <v>3</v>
      </c>
      <c r="L56" s="26">
        <f t="shared" si="2"/>
        <v>100</v>
      </c>
      <c r="M56" s="10">
        <v>3</v>
      </c>
      <c r="N56" s="53">
        <v>3</v>
      </c>
      <c r="O56" s="26">
        <f t="shared" si="3"/>
        <v>100</v>
      </c>
      <c r="P56" s="7">
        <v>4</v>
      </c>
      <c r="Q56" s="9">
        <v>4</v>
      </c>
      <c r="R56" s="26">
        <f t="shared" si="4"/>
        <v>100</v>
      </c>
      <c r="S56" s="18">
        <v>4</v>
      </c>
      <c r="T56" s="9">
        <v>4</v>
      </c>
      <c r="U56" s="26">
        <f t="shared" si="5"/>
        <v>100</v>
      </c>
      <c r="V56" s="7">
        <v>3</v>
      </c>
      <c r="W56" s="9">
        <v>2</v>
      </c>
      <c r="X56" s="26">
        <f t="shared" si="6"/>
        <v>66.666666666666657</v>
      </c>
      <c r="Y56" s="9">
        <v>3</v>
      </c>
      <c r="Z56" s="9">
        <v>2</v>
      </c>
      <c r="AA56" s="26">
        <f t="shared" si="7"/>
        <v>66.666666666666657</v>
      </c>
      <c r="AB56" s="7">
        <v>4</v>
      </c>
      <c r="AC56" s="9">
        <v>2</v>
      </c>
      <c r="AD56" s="26">
        <f>AC56/AB56*100</f>
        <v>50</v>
      </c>
      <c r="AE56" s="9">
        <v>4</v>
      </c>
      <c r="AF56" s="9">
        <v>2</v>
      </c>
      <c r="AG56" s="26">
        <f t="shared" si="9"/>
        <v>50</v>
      </c>
      <c r="AH56" s="7">
        <v>2</v>
      </c>
      <c r="AI56" s="9">
        <v>2</v>
      </c>
      <c r="AJ56" s="26">
        <f t="shared" si="10"/>
        <v>100</v>
      </c>
      <c r="AK56" s="9">
        <v>2</v>
      </c>
      <c r="AL56" s="9">
        <v>2</v>
      </c>
      <c r="AM56" s="26">
        <f t="shared" si="11"/>
        <v>100</v>
      </c>
      <c r="AN56" s="7">
        <v>3</v>
      </c>
      <c r="AO56" s="9">
        <v>2</v>
      </c>
      <c r="AP56" s="26">
        <f t="shared" si="12"/>
        <v>66.666666666666657</v>
      </c>
      <c r="AQ56" s="18">
        <v>3</v>
      </c>
      <c r="AR56" s="9">
        <v>2</v>
      </c>
      <c r="AS56" s="26">
        <f t="shared" si="13"/>
        <v>66.666666666666657</v>
      </c>
      <c r="AT56" s="10">
        <f t="shared" si="14"/>
        <v>21</v>
      </c>
      <c r="AU56" s="10">
        <f t="shared" si="14"/>
        <v>16</v>
      </c>
      <c r="AV56" s="26">
        <f t="shared" si="15"/>
        <v>76.19047619047619</v>
      </c>
      <c r="AW56" s="10">
        <f t="shared" si="16"/>
        <v>21</v>
      </c>
      <c r="AX56" s="10">
        <f t="shared" si="16"/>
        <v>16</v>
      </c>
      <c r="AY56" s="26">
        <f t="shared" si="17"/>
        <v>76.19047619047619</v>
      </c>
      <c r="AZ56" s="10">
        <f t="shared" si="18"/>
        <v>42</v>
      </c>
      <c r="BA56" s="10">
        <f t="shared" si="18"/>
        <v>32</v>
      </c>
      <c r="BB56" s="27">
        <f t="shared" si="19"/>
        <v>76.19047619047619</v>
      </c>
    </row>
    <row r="57" spans="1:54" s="11" customFormat="1">
      <c r="A57" s="12">
        <v>51</v>
      </c>
      <c r="B57" s="13">
        <v>1230321048</v>
      </c>
      <c r="C57" s="14" t="s">
        <v>73</v>
      </c>
      <c r="D57" s="10">
        <v>2</v>
      </c>
      <c r="E57" s="52">
        <v>2</v>
      </c>
      <c r="F57" s="10">
        <f t="shared" si="0"/>
        <v>100</v>
      </c>
      <c r="G57" s="10">
        <v>2</v>
      </c>
      <c r="H57" s="53">
        <v>2</v>
      </c>
      <c r="I57" s="10">
        <f t="shared" si="1"/>
        <v>100</v>
      </c>
      <c r="J57" s="10">
        <v>3</v>
      </c>
      <c r="K57" s="52">
        <v>2</v>
      </c>
      <c r="L57" s="26">
        <f t="shared" si="2"/>
        <v>66.666666666666657</v>
      </c>
      <c r="M57" s="10">
        <v>3</v>
      </c>
      <c r="N57" s="53">
        <v>2</v>
      </c>
      <c r="O57" s="26">
        <f t="shared" si="3"/>
        <v>66.666666666666657</v>
      </c>
      <c r="P57" s="7">
        <v>4</v>
      </c>
      <c r="Q57" s="9">
        <v>3</v>
      </c>
      <c r="R57" s="26">
        <f t="shared" si="4"/>
        <v>75</v>
      </c>
      <c r="S57" s="18">
        <v>4</v>
      </c>
      <c r="T57" s="9">
        <v>3</v>
      </c>
      <c r="U57" s="26">
        <f t="shared" si="5"/>
        <v>75</v>
      </c>
      <c r="V57" s="7">
        <v>3</v>
      </c>
      <c r="W57" s="9">
        <v>3</v>
      </c>
      <c r="X57" s="26">
        <f t="shared" si="6"/>
        <v>100</v>
      </c>
      <c r="Y57" s="9">
        <v>3</v>
      </c>
      <c r="Z57" s="9">
        <v>3</v>
      </c>
      <c r="AA57" s="26">
        <f t="shared" si="7"/>
        <v>100</v>
      </c>
      <c r="AB57" s="7">
        <v>4</v>
      </c>
      <c r="AC57" s="9">
        <v>3</v>
      </c>
      <c r="AD57" s="26">
        <f t="shared" si="8"/>
        <v>75</v>
      </c>
      <c r="AE57" s="9">
        <v>4</v>
      </c>
      <c r="AF57" s="9">
        <v>3</v>
      </c>
      <c r="AG57" s="26">
        <f t="shared" si="9"/>
        <v>75</v>
      </c>
      <c r="AH57" s="7">
        <v>2</v>
      </c>
      <c r="AI57" s="9">
        <v>1</v>
      </c>
      <c r="AJ57" s="26">
        <f t="shared" si="10"/>
        <v>50</v>
      </c>
      <c r="AK57" s="9">
        <v>2</v>
      </c>
      <c r="AL57" s="9">
        <v>1</v>
      </c>
      <c r="AM57" s="26">
        <f t="shared" si="11"/>
        <v>50</v>
      </c>
      <c r="AN57" s="7">
        <v>3</v>
      </c>
      <c r="AO57" s="9">
        <v>1</v>
      </c>
      <c r="AP57" s="26">
        <f t="shared" si="12"/>
        <v>33.333333333333329</v>
      </c>
      <c r="AQ57" s="18">
        <v>3</v>
      </c>
      <c r="AR57" s="9">
        <v>1</v>
      </c>
      <c r="AS57" s="26">
        <f t="shared" si="13"/>
        <v>33.333333333333329</v>
      </c>
      <c r="AT57" s="10">
        <f t="shared" si="14"/>
        <v>21</v>
      </c>
      <c r="AU57" s="10">
        <f t="shared" si="14"/>
        <v>15</v>
      </c>
      <c r="AV57" s="26">
        <f t="shared" si="15"/>
        <v>71.428571428571431</v>
      </c>
      <c r="AW57" s="10">
        <f t="shared" si="16"/>
        <v>21</v>
      </c>
      <c r="AX57" s="10">
        <f t="shared" si="16"/>
        <v>15</v>
      </c>
      <c r="AY57" s="26">
        <f t="shared" si="17"/>
        <v>71.428571428571431</v>
      </c>
      <c r="AZ57" s="10">
        <f t="shared" si="18"/>
        <v>42</v>
      </c>
      <c r="BA57" s="10">
        <f t="shared" si="18"/>
        <v>30</v>
      </c>
      <c r="BB57" s="27">
        <f t="shared" si="19"/>
        <v>71.428571428571431</v>
      </c>
    </row>
    <row r="58" spans="1:54" s="11" customFormat="1">
      <c r="A58" s="12">
        <v>52</v>
      </c>
      <c r="B58" s="13">
        <v>1230321049</v>
      </c>
      <c r="C58" s="14" t="s">
        <v>74</v>
      </c>
      <c r="D58" s="10">
        <v>2</v>
      </c>
      <c r="E58" s="52">
        <v>1</v>
      </c>
      <c r="F58" s="10">
        <f t="shared" si="0"/>
        <v>50</v>
      </c>
      <c r="G58" s="10">
        <v>2</v>
      </c>
      <c r="H58" s="53">
        <v>1</v>
      </c>
      <c r="I58" s="10">
        <f t="shared" si="1"/>
        <v>50</v>
      </c>
      <c r="J58" s="10">
        <v>3</v>
      </c>
      <c r="K58" s="52">
        <v>2</v>
      </c>
      <c r="L58" s="26">
        <f t="shared" si="2"/>
        <v>66.666666666666657</v>
      </c>
      <c r="M58" s="10">
        <v>3</v>
      </c>
      <c r="N58" s="53">
        <v>2</v>
      </c>
      <c r="O58" s="26">
        <f t="shared" si="3"/>
        <v>66.666666666666657</v>
      </c>
      <c r="P58" s="7">
        <v>4</v>
      </c>
      <c r="Q58" s="9">
        <v>3</v>
      </c>
      <c r="R58" s="26">
        <f t="shared" si="4"/>
        <v>75</v>
      </c>
      <c r="S58" s="18">
        <v>4</v>
      </c>
      <c r="T58" s="9">
        <v>4</v>
      </c>
      <c r="U58" s="26">
        <f t="shared" si="5"/>
        <v>100</v>
      </c>
      <c r="V58" s="7">
        <v>3</v>
      </c>
      <c r="W58" s="9">
        <v>2</v>
      </c>
      <c r="X58" s="26">
        <f t="shared" si="6"/>
        <v>66.666666666666657</v>
      </c>
      <c r="Y58" s="9">
        <v>3</v>
      </c>
      <c r="Z58" s="9">
        <v>2</v>
      </c>
      <c r="AA58" s="26">
        <f t="shared" si="7"/>
        <v>66.666666666666657</v>
      </c>
      <c r="AB58" s="7">
        <v>4</v>
      </c>
      <c r="AC58" s="9">
        <v>3</v>
      </c>
      <c r="AD58" s="26">
        <f t="shared" si="8"/>
        <v>75</v>
      </c>
      <c r="AE58" s="9">
        <v>4</v>
      </c>
      <c r="AF58" s="9">
        <v>3</v>
      </c>
      <c r="AG58" s="26">
        <f t="shared" si="9"/>
        <v>75</v>
      </c>
      <c r="AH58" s="7">
        <v>2</v>
      </c>
      <c r="AI58" s="9">
        <v>1</v>
      </c>
      <c r="AJ58" s="26">
        <f t="shared" si="10"/>
        <v>50</v>
      </c>
      <c r="AK58" s="9">
        <v>2</v>
      </c>
      <c r="AL58" s="9">
        <v>1</v>
      </c>
      <c r="AM58" s="26">
        <f t="shared" si="11"/>
        <v>50</v>
      </c>
      <c r="AN58" s="7">
        <v>3</v>
      </c>
      <c r="AO58" s="9">
        <v>1</v>
      </c>
      <c r="AP58" s="26">
        <f t="shared" si="12"/>
        <v>33.333333333333329</v>
      </c>
      <c r="AQ58" s="18">
        <v>3</v>
      </c>
      <c r="AR58" s="9">
        <v>1</v>
      </c>
      <c r="AS58" s="26">
        <f t="shared" si="13"/>
        <v>33.333333333333329</v>
      </c>
      <c r="AT58" s="10">
        <f t="shared" si="14"/>
        <v>21</v>
      </c>
      <c r="AU58" s="10">
        <f t="shared" si="14"/>
        <v>13</v>
      </c>
      <c r="AV58" s="26">
        <f t="shared" si="15"/>
        <v>61.904761904761905</v>
      </c>
      <c r="AW58" s="10">
        <f t="shared" si="16"/>
        <v>21</v>
      </c>
      <c r="AX58" s="10">
        <f t="shared" si="16"/>
        <v>14</v>
      </c>
      <c r="AY58" s="26">
        <f t="shared" si="17"/>
        <v>66.666666666666657</v>
      </c>
      <c r="AZ58" s="10">
        <f t="shared" si="18"/>
        <v>42</v>
      </c>
      <c r="BA58" s="10">
        <f t="shared" si="18"/>
        <v>27</v>
      </c>
      <c r="BB58" s="27">
        <f t="shared" si="19"/>
        <v>64.285714285714292</v>
      </c>
    </row>
    <row r="59" spans="1:54" s="11" customFormat="1">
      <c r="A59" s="12">
        <v>53</v>
      </c>
      <c r="B59" s="13">
        <v>1230321050</v>
      </c>
      <c r="C59" s="14" t="s">
        <v>75</v>
      </c>
      <c r="D59" s="10">
        <v>2</v>
      </c>
      <c r="E59" s="10">
        <v>2</v>
      </c>
      <c r="F59" s="10">
        <f t="shared" si="0"/>
        <v>100</v>
      </c>
      <c r="G59" s="10">
        <v>2</v>
      </c>
      <c r="H59" s="10">
        <v>2</v>
      </c>
      <c r="I59" s="10">
        <f t="shared" si="1"/>
        <v>100</v>
      </c>
      <c r="J59" s="10">
        <v>3</v>
      </c>
      <c r="K59" s="10">
        <v>2</v>
      </c>
      <c r="L59" s="26">
        <f t="shared" si="2"/>
        <v>66.666666666666657</v>
      </c>
      <c r="M59" s="10">
        <v>3</v>
      </c>
      <c r="N59" s="10">
        <v>2</v>
      </c>
      <c r="O59" s="26">
        <f t="shared" si="3"/>
        <v>66.666666666666657</v>
      </c>
      <c r="P59" s="7">
        <v>4</v>
      </c>
      <c r="Q59" s="9">
        <v>4</v>
      </c>
      <c r="R59" s="26">
        <f t="shared" si="4"/>
        <v>100</v>
      </c>
      <c r="S59" s="18">
        <v>4</v>
      </c>
      <c r="T59" s="9">
        <v>4</v>
      </c>
      <c r="U59" s="26">
        <f t="shared" si="5"/>
        <v>100</v>
      </c>
      <c r="V59" s="7">
        <v>3</v>
      </c>
      <c r="W59" s="9">
        <v>2</v>
      </c>
      <c r="X59" s="26">
        <f t="shared" si="6"/>
        <v>66.666666666666657</v>
      </c>
      <c r="Y59" s="9">
        <v>3</v>
      </c>
      <c r="Z59" s="9">
        <v>2</v>
      </c>
      <c r="AA59" s="26">
        <f t="shared" si="7"/>
        <v>66.666666666666657</v>
      </c>
      <c r="AB59" s="7">
        <v>4</v>
      </c>
      <c r="AC59" s="9">
        <v>3</v>
      </c>
      <c r="AD59" s="26">
        <f t="shared" si="8"/>
        <v>75</v>
      </c>
      <c r="AE59" s="9">
        <v>4</v>
      </c>
      <c r="AF59" s="9">
        <v>3</v>
      </c>
      <c r="AG59" s="26">
        <f t="shared" si="9"/>
        <v>75</v>
      </c>
      <c r="AH59" s="7">
        <v>2</v>
      </c>
      <c r="AI59" s="9">
        <v>1</v>
      </c>
      <c r="AJ59" s="26">
        <f t="shared" si="10"/>
        <v>50</v>
      </c>
      <c r="AK59" s="9">
        <v>2</v>
      </c>
      <c r="AL59" s="9">
        <v>1</v>
      </c>
      <c r="AM59" s="26">
        <f t="shared" si="11"/>
        <v>50</v>
      </c>
      <c r="AN59" s="7">
        <v>3</v>
      </c>
      <c r="AO59" s="9">
        <v>3</v>
      </c>
      <c r="AP59" s="26">
        <f t="shared" si="12"/>
        <v>100</v>
      </c>
      <c r="AQ59" s="18">
        <v>3</v>
      </c>
      <c r="AR59" s="9">
        <v>3</v>
      </c>
      <c r="AS59" s="26">
        <f t="shared" si="13"/>
        <v>100</v>
      </c>
      <c r="AT59" s="10">
        <f t="shared" si="14"/>
        <v>21</v>
      </c>
      <c r="AU59" s="10">
        <f t="shared" si="14"/>
        <v>17</v>
      </c>
      <c r="AV59" s="26">
        <f t="shared" si="15"/>
        <v>80.952380952380949</v>
      </c>
      <c r="AW59" s="10">
        <f t="shared" si="16"/>
        <v>21</v>
      </c>
      <c r="AX59" s="10">
        <f t="shared" si="16"/>
        <v>17</v>
      </c>
      <c r="AY59" s="26">
        <f t="shared" si="17"/>
        <v>80.952380952380949</v>
      </c>
      <c r="AZ59" s="10">
        <f t="shared" si="18"/>
        <v>42</v>
      </c>
      <c r="BA59" s="10">
        <f t="shared" si="18"/>
        <v>34</v>
      </c>
      <c r="BB59" s="27">
        <f t="shared" si="19"/>
        <v>80.952380952380949</v>
      </c>
    </row>
    <row r="60" spans="1:54" s="11" customFormat="1">
      <c r="A60" s="12">
        <v>54</v>
      </c>
      <c r="B60" s="13">
        <v>1230321052</v>
      </c>
      <c r="C60" s="14" t="s">
        <v>76</v>
      </c>
      <c r="D60" s="10">
        <v>2</v>
      </c>
      <c r="E60" s="10">
        <v>1</v>
      </c>
      <c r="F60" s="10">
        <f t="shared" si="0"/>
        <v>50</v>
      </c>
      <c r="G60" s="10">
        <v>2</v>
      </c>
      <c r="H60" s="10">
        <v>1</v>
      </c>
      <c r="I60" s="10">
        <f t="shared" si="1"/>
        <v>50</v>
      </c>
      <c r="J60" s="10">
        <v>3</v>
      </c>
      <c r="K60" s="10">
        <v>0</v>
      </c>
      <c r="L60" s="26">
        <f t="shared" si="2"/>
        <v>0</v>
      </c>
      <c r="M60" s="10">
        <v>3</v>
      </c>
      <c r="N60" s="10">
        <v>0</v>
      </c>
      <c r="O60" s="26">
        <f t="shared" si="3"/>
        <v>0</v>
      </c>
      <c r="P60" s="7">
        <v>4</v>
      </c>
      <c r="Q60" s="9">
        <v>3</v>
      </c>
      <c r="R60" s="26">
        <f t="shared" si="4"/>
        <v>75</v>
      </c>
      <c r="S60" s="18">
        <v>4</v>
      </c>
      <c r="T60" s="9">
        <v>3</v>
      </c>
      <c r="U60" s="26">
        <f t="shared" si="5"/>
        <v>75</v>
      </c>
      <c r="V60" s="7">
        <v>3</v>
      </c>
      <c r="W60" s="9">
        <v>2</v>
      </c>
      <c r="X60" s="26">
        <f t="shared" si="6"/>
        <v>66.666666666666657</v>
      </c>
      <c r="Y60" s="9">
        <v>3</v>
      </c>
      <c r="Z60" s="9">
        <v>2</v>
      </c>
      <c r="AA60" s="26">
        <f t="shared" si="7"/>
        <v>66.666666666666657</v>
      </c>
      <c r="AB60" s="7">
        <v>4</v>
      </c>
      <c r="AC60" s="9">
        <v>1</v>
      </c>
      <c r="AD60" s="26">
        <f t="shared" si="8"/>
        <v>25</v>
      </c>
      <c r="AE60" s="9">
        <v>4</v>
      </c>
      <c r="AF60" s="9">
        <v>1</v>
      </c>
      <c r="AG60" s="26">
        <f t="shared" si="9"/>
        <v>25</v>
      </c>
      <c r="AH60" s="7">
        <v>2</v>
      </c>
      <c r="AI60" s="9">
        <v>1</v>
      </c>
      <c r="AJ60" s="26">
        <f t="shared" si="10"/>
        <v>50</v>
      </c>
      <c r="AK60" s="9">
        <v>2</v>
      </c>
      <c r="AL60" s="9">
        <v>1</v>
      </c>
      <c r="AM60" s="26">
        <f t="shared" si="11"/>
        <v>50</v>
      </c>
      <c r="AN60" s="7">
        <v>3</v>
      </c>
      <c r="AO60" s="9">
        <v>2</v>
      </c>
      <c r="AP60" s="26">
        <f t="shared" si="12"/>
        <v>66.666666666666657</v>
      </c>
      <c r="AQ60" s="18">
        <v>3</v>
      </c>
      <c r="AR60" s="9">
        <v>2</v>
      </c>
      <c r="AS60" s="26">
        <f t="shared" si="13"/>
        <v>66.666666666666657</v>
      </c>
      <c r="AT60" s="10">
        <f t="shared" si="14"/>
        <v>21</v>
      </c>
      <c r="AU60" s="10">
        <f t="shared" si="14"/>
        <v>10</v>
      </c>
      <c r="AV60" s="26">
        <f t="shared" si="15"/>
        <v>47.619047619047613</v>
      </c>
      <c r="AW60" s="10">
        <f t="shared" si="16"/>
        <v>21</v>
      </c>
      <c r="AX60" s="10">
        <f t="shared" si="16"/>
        <v>10</v>
      </c>
      <c r="AY60" s="26">
        <f t="shared" si="17"/>
        <v>47.619047619047613</v>
      </c>
      <c r="AZ60" s="10">
        <f t="shared" si="18"/>
        <v>42</v>
      </c>
      <c r="BA60" s="10">
        <f t="shared" si="18"/>
        <v>20</v>
      </c>
      <c r="BB60" s="27">
        <f t="shared" si="19"/>
        <v>47.619047619047613</v>
      </c>
    </row>
    <row r="61" spans="1:54" s="11" customFormat="1">
      <c r="A61" s="12">
        <v>55</v>
      </c>
      <c r="B61" s="13">
        <v>1230321053</v>
      </c>
      <c r="C61" s="14" t="s">
        <v>77</v>
      </c>
      <c r="D61" s="10">
        <v>2</v>
      </c>
      <c r="E61" s="10">
        <v>1</v>
      </c>
      <c r="F61" s="10">
        <f t="shared" si="0"/>
        <v>50</v>
      </c>
      <c r="G61" s="10">
        <v>2</v>
      </c>
      <c r="H61" s="10">
        <v>1</v>
      </c>
      <c r="I61" s="10">
        <f t="shared" si="1"/>
        <v>50</v>
      </c>
      <c r="J61" s="10">
        <v>3</v>
      </c>
      <c r="K61" s="10">
        <v>2</v>
      </c>
      <c r="L61" s="26">
        <f t="shared" si="2"/>
        <v>66.666666666666657</v>
      </c>
      <c r="M61" s="10">
        <v>3</v>
      </c>
      <c r="N61" s="10">
        <v>2</v>
      </c>
      <c r="O61" s="26">
        <f t="shared" si="3"/>
        <v>66.666666666666657</v>
      </c>
      <c r="P61" s="7">
        <v>4</v>
      </c>
      <c r="Q61" s="9">
        <v>3</v>
      </c>
      <c r="R61" s="26">
        <f t="shared" si="4"/>
        <v>75</v>
      </c>
      <c r="S61" s="18">
        <v>4</v>
      </c>
      <c r="T61" s="9">
        <v>3</v>
      </c>
      <c r="U61" s="26">
        <f t="shared" si="5"/>
        <v>75</v>
      </c>
      <c r="V61" s="7">
        <v>3</v>
      </c>
      <c r="W61" s="9">
        <v>2</v>
      </c>
      <c r="X61" s="26">
        <f t="shared" si="6"/>
        <v>66.666666666666657</v>
      </c>
      <c r="Y61" s="9">
        <v>3</v>
      </c>
      <c r="Z61" s="9">
        <v>2</v>
      </c>
      <c r="AA61" s="26">
        <f t="shared" si="7"/>
        <v>66.666666666666657</v>
      </c>
      <c r="AB61" s="7">
        <v>4</v>
      </c>
      <c r="AC61" s="9">
        <v>2</v>
      </c>
      <c r="AD61" s="26">
        <f t="shared" si="8"/>
        <v>50</v>
      </c>
      <c r="AE61" s="9">
        <v>4</v>
      </c>
      <c r="AF61" s="9">
        <v>2</v>
      </c>
      <c r="AG61" s="26">
        <f t="shared" si="9"/>
        <v>50</v>
      </c>
      <c r="AH61" s="7">
        <v>2</v>
      </c>
      <c r="AI61" s="9">
        <v>1</v>
      </c>
      <c r="AJ61" s="26">
        <f t="shared" si="10"/>
        <v>50</v>
      </c>
      <c r="AK61" s="9">
        <v>2</v>
      </c>
      <c r="AL61" s="9">
        <v>1</v>
      </c>
      <c r="AM61" s="26">
        <f t="shared" si="11"/>
        <v>50</v>
      </c>
      <c r="AN61" s="7">
        <v>3</v>
      </c>
      <c r="AO61" s="9">
        <v>3</v>
      </c>
      <c r="AP61" s="26">
        <f t="shared" si="12"/>
        <v>100</v>
      </c>
      <c r="AQ61" s="18">
        <v>3</v>
      </c>
      <c r="AR61" s="9">
        <v>3</v>
      </c>
      <c r="AS61" s="26">
        <f t="shared" si="13"/>
        <v>100</v>
      </c>
      <c r="AT61" s="10">
        <f t="shared" si="14"/>
        <v>21</v>
      </c>
      <c r="AU61" s="10">
        <f t="shared" si="14"/>
        <v>14</v>
      </c>
      <c r="AV61" s="26">
        <f t="shared" si="15"/>
        <v>66.666666666666657</v>
      </c>
      <c r="AW61" s="10">
        <f t="shared" si="16"/>
        <v>21</v>
      </c>
      <c r="AX61" s="10">
        <f t="shared" si="16"/>
        <v>14</v>
      </c>
      <c r="AY61" s="26">
        <f t="shared" si="17"/>
        <v>66.666666666666657</v>
      </c>
      <c r="AZ61" s="10">
        <f t="shared" si="18"/>
        <v>42</v>
      </c>
      <c r="BA61" s="10">
        <f t="shared" si="18"/>
        <v>28</v>
      </c>
      <c r="BB61" s="27">
        <f t="shared" si="19"/>
        <v>66.666666666666657</v>
      </c>
    </row>
    <row r="62" spans="1:54" s="11" customFormat="1">
      <c r="A62" s="12">
        <v>56</v>
      </c>
      <c r="B62" s="13">
        <v>1230321054</v>
      </c>
      <c r="C62" s="14" t="s">
        <v>100</v>
      </c>
      <c r="D62" s="10">
        <v>2</v>
      </c>
      <c r="E62" s="10">
        <v>0</v>
      </c>
      <c r="F62" s="10">
        <f t="shared" si="0"/>
        <v>0</v>
      </c>
      <c r="G62" s="10">
        <v>2</v>
      </c>
      <c r="H62" s="10">
        <v>0</v>
      </c>
      <c r="I62" s="10">
        <f t="shared" si="1"/>
        <v>0</v>
      </c>
      <c r="J62" s="10">
        <v>3</v>
      </c>
      <c r="K62" s="10">
        <v>2</v>
      </c>
      <c r="L62" s="26">
        <f t="shared" si="2"/>
        <v>66.666666666666657</v>
      </c>
      <c r="M62" s="10">
        <v>3</v>
      </c>
      <c r="N62" s="10">
        <v>3</v>
      </c>
      <c r="O62" s="26">
        <f t="shared" si="3"/>
        <v>100</v>
      </c>
      <c r="P62" s="7">
        <v>4</v>
      </c>
      <c r="Q62" s="9">
        <v>0</v>
      </c>
      <c r="R62" s="26">
        <f t="shared" si="4"/>
        <v>0</v>
      </c>
      <c r="S62" s="18">
        <v>4</v>
      </c>
      <c r="T62" s="9">
        <v>0</v>
      </c>
      <c r="U62" s="26">
        <f t="shared" si="5"/>
        <v>0</v>
      </c>
      <c r="V62" s="7">
        <v>3</v>
      </c>
      <c r="W62" s="9">
        <v>1</v>
      </c>
      <c r="X62" s="26">
        <f t="shared" si="6"/>
        <v>33.333333333333329</v>
      </c>
      <c r="Y62" s="9">
        <v>3</v>
      </c>
      <c r="Z62" s="9">
        <v>1</v>
      </c>
      <c r="AA62" s="26">
        <f t="shared" si="7"/>
        <v>33.333333333333329</v>
      </c>
      <c r="AB62" s="7">
        <v>4</v>
      </c>
      <c r="AC62" s="9">
        <v>2</v>
      </c>
      <c r="AD62" s="26">
        <f t="shared" si="8"/>
        <v>50</v>
      </c>
      <c r="AE62" s="9">
        <v>4</v>
      </c>
      <c r="AF62" s="9">
        <v>2</v>
      </c>
      <c r="AG62" s="26">
        <f t="shared" si="9"/>
        <v>50</v>
      </c>
      <c r="AH62" s="7">
        <v>2</v>
      </c>
      <c r="AI62" s="9">
        <v>1</v>
      </c>
      <c r="AJ62" s="26">
        <f t="shared" si="10"/>
        <v>50</v>
      </c>
      <c r="AK62" s="9">
        <v>2</v>
      </c>
      <c r="AL62" s="9">
        <v>1</v>
      </c>
      <c r="AM62" s="26">
        <f t="shared" si="11"/>
        <v>50</v>
      </c>
      <c r="AN62" s="7">
        <v>3</v>
      </c>
      <c r="AO62" s="9">
        <v>2</v>
      </c>
      <c r="AP62" s="26">
        <f t="shared" si="12"/>
        <v>66.666666666666657</v>
      </c>
      <c r="AQ62" s="18">
        <v>3</v>
      </c>
      <c r="AR62" s="9">
        <v>2</v>
      </c>
      <c r="AS62" s="26">
        <f t="shared" si="13"/>
        <v>66.666666666666657</v>
      </c>
      <c r="AT62" s="10">
        <f t="shared" si="14"/>
        <v>21</v>
      </c>
      <c r="AU62" s="10">
        <f t="shared" si="14"/>
        <v>8</v>
      </c>
      <c r="AV62" s="26">
        <f t="shared" si="15"/>
        <v>38.095238095238095</v>
      </c>
      <c r="AW62" s="10">
        <f t="shared" si="16"/>
        <v>21</v>
      </c>
      <c r="AX62" s="10">
        <f t="shared" si="16"/>
        <v>9</v>
      </c>
      <c r="AY62" s="26">
        <f t="shared" si="17"/>
        <v>42.857142857142854</v>
      </c>
      <c r="AZ62" s="10">
        <f t="shared" si="18"/>
        <v>42</v>
      </c>
      <c r="BA62" s="10">
        <f t="shared" si="18"/>
        <v>17</v>
      </c>
      <c r="BB62" s="27">
        <f t="shared" si="19"/>
        <v>40.476190476190474</v>
      </c>
    </row>
    <row r="63" spans="1:54">
      <c r="A63" s="12">
        <v>57</v>
      </c>
      <c r="B63" s="13">
        <v>1230321055</v>
      </c>
      <c r="C63" s="14" t="s">
        <v>78</v>
      </c>
      <c r="D63" s="10">
        <v>2</v>
      </c>
      <c r="E63" s="10">
        <v>0</v>
      </c>
      <c r="F63" s="10">
        <f t="shared" si="0"/>
        <v>0</v>
      </c>
      <c r="G63" s="10">
        <v>2</v>
      </c>
      <c r="H63" s="10">
        <v>0</v>
      </c>
      <c r="I63" s="10">
        <f t="shared" si="1"/>
        <v>0</v>
      </c>
      <c r="J63" s="10">
        <v>3</v>
      </c>
      <c r="K63" s="10">
        <v>3</v>
      </c>
      <c r="L63" s="26">
        <f t="shared" si="2"/>
        <v>100</v>
      </c>
      <c r="M63" s="10">
        <v>3</v>
      </c>
      <c r="N63" s="10">
        <v>3</v>
      </c>
      <c r="O63" s="26">
        <f t="shared" si="3"/>
        <v>100</v>
      </c>
      <c r="P63" s="7">
        <v>4</v>
      </c>
      <c r="Q63" s="7">
        <v>4</v>
      </c>
      <c r="R63" s="26">
        <f t="shared" si="4"/>
        <v>100</v>
      </c>
      <c r="S63" s="18">
        <v>4</v>
      </c>
      <c r="T63" s="7">
        <v>4</v>
      </c>
      <c r="U63" s="26">
        <f t="shared" si="5"/>
        <v>100</v>
      </c>
      <c r="V63" s="7">
        <v>3</v>
      </c>
      <c r="W63" s="7">
        <v>2</v>
      </c>
      <c r="X63" s="26">
        <f t="shared" si="6"/>
        <v>66.666666666666657</v>
      </c>
      <c r="Y63" s="9">
        <v>3</v>
      </c>
      <c r="Z63" s="7">
        <v>2</v>
      </c>
      <c r="AA63" s="26">
        <f t="shared" si="7"/>
        <v>66.666666666666657</v>
      </c>
      <c r="AB63" s="7">
        <v>4</v>
      </c>
      <c r="AC63" s="7">
        <v>4</v>
      </c>
      <c r="AD63" s="26">
        <f t="shared" si="8"/>
        <v>100</v>
      </c>
      <c r="AE63" s="9">
        <v>4</v>
      </c>
      <c r="AF63" s="7">
        <v>4</v>
      </c>
      <c r="AG63" s="26">
        <f t="shared" si="9"/>
        <v>100</v>
      </c>
      <c r="AH63" s="7">
        <v>2</v>
      </c>
      <c r="AI63" s="7">
        <v>2</v>
      </c>
      <c r="AJ63" s="26">
        <f t="shared" si="10"/>
        <v>100</v>
      </c>
      <c r="AK63" s="9">
        <v>2</v>
      </c>
      <c r="AL63" s="7">
        <v>2</v>
      </c>
      <c r="AM63" s="26">
        <f t="shared" si="11"/>
        <v>100</v>
      </c>
      <c r="AN63" s="7">
        <v>3</v>
      </c>
      <c r="AO63" s="7">
        <v>2</v>
      </c>
      <c r="AP63" s="26">
        <f t="shared" si="12"/>
        <v>66.666666666666657</v>
      </c>
      <c r="AQ63" s="18">
        <v>3</v>
      </c>
      <c r="AR63" s="7">
        <v>2</v>
      </c>
      <c r="AS63" s="26">
        <f t="shared" si="13"/>
        <v>66.666666666666657</v>
      </c>
      <c r="AT63" s="10">
        <f t="shared" si="14"/>
        <v>21</v>
      </c>
      <c r="AU63" s="10">
        <f t="shared" si="14"/>
        <v>17</v>
      </c>
      <c r="AV63" s="26">
        <f t="shared" si="15"/>
        <v>80.952380952380949</v>
      </c>
      <c r="AW63" s="10">
        <f t="shared" si="16"/>
        <v>21</v>
      </c>
      <c r="AX63" s="10">
        <f t="shared" si="16"/>
        <v>17</v>
      </c>
      <c r="AY63" s="26">
        <f t="shared" si="17"/>
        <v>80.952380952380949</v>
      </c>
      <c r="AZ63" s="10">
        <f t="shared" si="18"/>
        <v>42</v>
      </c>
      <c r="BA63" s="10">
        <f t="shared" si="18"/>
        <v>34</v>
      </c>
      <c r="BB63" s="27">
        <f t="shared" si="19"/>
        <v>80.952380952380949</v>
      </c>
    </row>
    <row r="64" spans="1:54">
      <c r="A64" s="12">
        <v>58</v>
      </c>
      <c r="B64" s="13">
        <v>1230321056</v>
      </c>
      <c r="C64" s="14" t="s">
        <v>79</v>
      </c>
      <c r="D64" s="10">
        <v>2</v>
      </c>
      <c r="E64" s="10">
        <v>2</v>
      </c>
      <c r="F64" s="10">
        <f t="shared" si="0"/>
        <v>100</v>
      </c>
      <c r="G64" s="10">
        <v>2</v>
      </c>
      <c r="H64" s="10">
        <v>2</v>
      </c>
      <c r="I64" s="10">
        <f t="shared" si="1"/>
        <v>100</v>
      </c>
      <c r="J64" s="10">
        <v>3</v>
      </c>
      <c r="K64" s="10">
        <v>2</v>
      </c>
      <c r="L64" s="26">
        <f t="shared" si="2"/>
        <v>66.666666666666657</v>
      </c>
      <c r="M64" s="10">
        <v>3</v>
      </c>
      <c r="N64" s="10">
        <v>2</v>
      </c>
      <c r="O64" s="26">
        <f t="shared" si="3"/>
        <v>66.666666666666657</v>
      </c>
      <c r="P64" s="7">
        <v>4</v>
      </c>
      <c r="Q64" s="7">
        <v>4</v>
      </c>
      <c r="R64" s="26">
        <f t="shared" si="4"/>
        <v>100</v>
      </c>
      <c r="S64" s="18">
        <v>4</v>
      </c>
      <c r="T64" s="7">
        <v>4</v>
      </c>
      <c r="U64" s="26">
        <f t="shared" si="5"/>
        <v>100</v>
      </c>
      <c r="V64" s="7">
        <v>3</v>
      </c>
      <c r="W64" s="7">
        <v>1</v>
      </c>
      <c r="X64" s="26">
        <f t="shared" si="6"/>
        <v>33.333333333333329</v>
      </c>
      <c r="Y64" s="9">
        <v>3</v>
      </c>
      <c r="Z64" s="7">
        <v>1</v>
      </c>
      <c r="AA64" s="26">
        <f t="shared" si="7"/>
        <v>33.333333333333329</v>
      </c>
      <c r="AB64" s="7">
        <v>4</v>
      </c>
      <c r="AC64" s="7">
        <v>3</v>
      </c>
      <c r="AD64" s="26">
        <f t="shared" si="8"/>
        <v>75</v>
      </c>
      <c r="AE64" s="9">
        <v>4</v>
      </c>
      <c r="AF64" s="7">
        <v>3</v>
      </c>
      <c r="AG64" s="26">
        <f t="shared" si="9"/>
        <v>75</v>
      </c>
      <c r="AH64" s="7">
        <v>2</v>
      </c>
      <c r="AI64" s="7">
        <v>2</v>
      </c>
      <c r="AJ64" s="26">
        <f t="shared" si="10"/>
        <v>100</v>
      </c>
      <c r="AK64" s="9">
        <v>2</v>
      </c>
      <c r="AL64" s="7">
        <v>2</v>
      </c>
      <c r="AM64" s="26">
        <f t="shared" si="11"/>
        <v>100</v>
      </c>
      <c r="AN64" s="7">
        <v>3</v>
      </c>
      <c r="AO64" s="7">
        <v>2</v>
      </c>
      <c r="AP64" s="26">
        <f t="shared" si="12"/>
        <v>66.666666666666657</v>
      </c>
      <c r="AQ64" s="18">
        <v>3</v>
      </c>
      <c r="AR64" s="7">
        <v>2</v>
      </c>
      <c r="AS64" s="26">
        <f t="shared" si="13"/>
        <v>66.666666666666657</v>
      </c>
      <c r="AT64" s="10">
        <f t="shared" si="14"/>
        <v>21</v>
      </c>
      <c r="AU64" s="10">
        <f t="shared" si="14"/>
        <v>16</v>
      </c>
      <c r="AV64" s="26">
        <f t="shared" si="15"/>
        <v>76.19047619047619</v>
      </c>
      <c r="AW64" s="10">
        <f t="shared" si="16"/>
        <v>21</v>
      </c>
      <c r="AX64" s="10">
        <f t="shared" si="16"/>
        <v>16</v>
      </c>
      <c r="AY64" s="26">
        <f t="shared" si="17"/>
        <v>76.19047619047619</v>
      </c>
      <c r="AZ64" s="10">
        <f t="shared" si="18"/>
        <v>42</v>
      </c>
      <c r="BA64" s="10">
        <f t="shared" si="18"/>
        <v>32</v>
      </c>
      <c r="BB64" s="27">
        <f t="shared" si="19"/>
        <v>76.19047619047619</v>
      </c>
    </row>
    <row r="65" spans="1:54">
      <c r="A65" s="12">
        <v>59</v>
      </c>
      <c r="B65" s="13">
        <v>1230321057</v>
      </c>
      <c r="C65" s="14" t="s">
        <v>80</v>
      </c>
      <c r="D65" s="10">
        <v>2</v>
      </c>
      <c r="E65" s="10">
        <v>1</v>
      </c>
      <c r="F65" s="10">
        <f t="shared" si="0"/>
        <v>50</v>
      </c>
      <c r="G65" s="10">
        <v>2</v>
      </c>
      <c r="H65" s="10">
        <v>1</v>
      </c>
      <c r="I65" s="10">
        <f t="shared" si="1"/>
        <v>50</v>
      </c>
      <c r="J65" s="10">
        <v>3</v>
      </c>
      <c r="K65" s="10">
        <v>3</v>
      </c>
      <c r="L65" s="26">
        <f t="shared" si="2"/>
        <v>100</v>
      </c>
      <c r="M65" s="10">
        <v>3</v>
      </c>
      <c r="N65" s="10">
        <v>3</v>
      </c>
      <c r="O65" s="26">
        <f t="shared" si="3"/>
        <v>100</v>
      </c>
      <c r="P65" s="7">
        <v>4</v>
      </c>
      <c r="Q65" s="7">
        <v>4</v>
      </c>
      <c r="R65" s="26">
        <f t="shared" si="4"/>
        <v>100</v>
      </c>
      <c r="S65" s="18">
        <v>4</v>
      </c>
      <c r="T65" s="7">
        <v>4</v>
      </c>
      <c r="U65" s="26">
        <f t="shared" si="5"/>
        <v>100</v>
      </c>
      <c r="V65" s="7">
        <v>3</v>
      </c>
      <c r="W65" s="7">
        <v>2</v>
      </c>
      <c r="X65" s="26">
        <f t="shared" si="6"/>
        <v>66.666666666666657</v>
      </c>
      <c r="Y65" s="9">
        <v>3</v>
      </c>
      <c r="Z65" s="7">
        <v>2</v>
      </c>
      <c r="AA65" s="26">
        <f t="shared" si="7"/>
        <v>66.666666666666657</v>
      </c>
      <c r="AB65" s="7">
        <v>4</v>
      </c>
      <c r="AC65" s="7">
        <v>3</v>
      </c>
      <c r="AD65" s="26">
        <f t="shared" si="8"/>
        <v>75</v>
      </c>
      <c r="AE65" s="9">
        <v>4</v>
      </c>
      <c r="AF65" s="7">
        <v>3</v>
      </c>
      <c r="AG65" s="26">
        <f t="shared" si="9"/>
        <v>75</v>
      </c>
      <c r="AH65" s="7">
        <v>2</v>
      </c>
      <c r="AI65" s="7">
        <v>2</v>
      </c>
      <c r="AJ65" s="26">
        <f t="shared" si="10"/>
        <v>100</v>
      </c>
      <c r="AK65" s="9">
        <v>2</v>
      </c>
      <c r="AL65" s="7">
        <v>2</v>
      </c>
      <c r="AM65" s="26">
        <f t="shared" si="11"/>
        <v>100</v>
      </c>
      <c r="AN65" s="7">
        <v>3</v>
      </c>
      <c r="AO65" s="7">
        <v>1</v>
      </c>
      <c r="AP65" s="26">
        <f t="shared" si="12"/>
        <v>33.333333333333329</v>
      </c>
      <c r="AQ65" s="18">
        <v>3</v>
      </c>
      <c r="AR65" s="7">
        <v>1</v>
      </c>
      <c r="AS65" s="26">
        <f t="shared" si="13"/>
        <v>33.333333333333329</v>
      </c>
      <c r="AT65" s="10">
        <f t="shared" si="14"/>
        <v>21</v>
      </c>
      <c r="AU65" s="10">
        <f t="shared" si="14"/>
        <v>16</v>
      </c>
      <c r="AV65" s="26">
        <f t="shared" si="15"/>
        <v>76.19047619047619</v>
      </c>
      <c r="AW65" s="10">
        <f t="shared" si="16"/>
        <v>21</v>
      </c>
      <c r="AX65" s="10">
        <f t="shared" si="16"/>
        <v>16</v>
      </c>
      <c r="AY65" s="26">
        <f t="shared" si="17"/>
        <v>76.19047619047619</v>
      </c>
      <c r="AZ65" s="10">
        <f t="shared" si="18"/>
        <v>42</v>
      </c>
      <c r="BA65" s="10">
        <f t="shared" si="18"/>
        <v>32</v>
      </c>
      <c r="BB65" s="27">
        <f t="shared" si="19"/>
        <v>76.19047619047619</v>
      </c>
    </row>
    <row r="66" spans="1:54">
      <c r="A66" s="12">
        <v>60</v>
      </c>
      <c r="B66" s="13">
        <v>1230321058</v>
      </c>
      <c r="C66" s="14" t="s">
        <v>81</v>
      </c>
      <c r="D66" s="10">
        <v>2</v>
      </c>
      <c r="E66" s="10">
        <v>2</v>
      </c>
      <c r="F66" s="10">
        <f t="shared" si="0"/>
        <v>100</v>
      </c>
      <c r="G66" s="10">
        <v>2</v>
      </c>
      <c r="H66" s="10">
        <v>2</v>
      </c>
      <c r="I66" s="10">
        <f t="shared" si="1"/>
        <v>100</v>
      </c>
      <c r="J66" s="10">
        <v>3</v>
      </c>
      <c r="K66" s="10">
        <v>0</v>
      </c>
      <c r="L66" s="26">
        <f t="shared" si="2"/>
        <v>0</v>
      </c>
      <c r="M66" s="10">
        <v>3</v>
      </c>
      <c r="N66" s="10">
        <v>0</v>
      </c>
      <c r="O66" s="26">
        <f t="shared" si="3"/>
        <v>0</v>
      </c>
      <c r="P66" s="7">
        <v>4</v>
      </c>
      <c r="Q66" s="7">
        <v>4</v>
      </c>
      <c r="R66" s="26">
        <f t="shared" si="4"/>
        <v>100</v>
      </c>
      <c r="S66" s="18">
        <v>4</v>
      </c>
      <c r="T66" s="7">
        <v>4</v>
      </c>
      <c r="U66" s="26">
        <f t="shared" si="5"/>
        <v>100</v>
      </c>
      <c r="V66" s="7">
        <v>3</v>
      </c>
      <c r="W66" s="7">
        <v>3</v>
      </c>
      <c r="X66" s="26">
        <f t="shared" si="6"/>
        <v>100</v>
      </c>
      <c r="Y66" s="9">
        <v>3</v>
      </c>
      <c r="Z66" s="7">
        <v>3</v>
      </c>
      <c r="AA66" s="26">
        <f t="shared" si="7"/>
        <v>100</v>
      </c>
      <c r="AB66" s="7">
        <v>4</v>
      </c>
      <c r="AC66" s="7">
        <v>2</v>
      </c>
      <c r="AD66" s="26">
        <f t="shared" si="8"/>
        <v>50</v>
      </c>
      <c r="AE66" s="9">
        <v>4</v>
      </c>
      <c r="AF66" s="7">
        <v>2</v>
      </c>
      <c r="AG66" s="26">
        <f t="shared" si="9"/>
        <v>50</v>
      </c>
      <c r="AH66" s="7">
        <v>2</v>
      </c>
      <c r="AI66" s="7">
        <v>2</v>
      </c>
      <c r="AJ66" s="26">
        <f t="shared" si="10"/>
        <v>100</v>
      </c>
      <c r="AK66" s="9">
        <v>2</v>
      </c>
      <c r="AL66" s="7">
        <v>2</v>
      </c>
      <c r="AM66" s="26">
        <f t="shared" si="11"/>
        <v>100</v>
      </c>
      <c r="AN66" s="7">
        <v>3</v>
      </c>
      <c r="AO66" s="7">
        <v>3</v>
      </c>
      <c r="AP66" s="26">
        <f t="shared" si="12"/>
        <v>100</v>
      </c>
      <c r="AQ66" s="18">
        <v>3</v>
      </c>
      <c r="AR66" s="7">
        <v>3</v>
      </c>
      <c r="AS66" s="26">
        <f t="shared" si="13"/>
        <v>100</v>
      </c>
      <c r="AT66" s="10">
        <f t="shared" si="14"/>
        <v>21</v>
      </c>
      <c r="AU66" s="10">
        <f t="shared" si="14"/>
        <v>16</v>
      </c>
      <c r="AV66" s="26">
        <f t="shared" si="15"/>
        <v>76.19047619047619</v>
      </c>
      <c r="AW66" s="10">
        <f t="shared" si="16"/>
        <v>21</v>
      </c>
      <c r="AX66" s="10">
        <f t="shared" si="16"/>
        <v>16</v>
      </c>
      <c r="AY66" s="26">
        <f t="shared" si="17"/>
        <v>76.19047619047619</v>
      </c>
      <c r="AZ66" s="10">
        <f t="shared" si="18"/>
        <v>42</v>
      </c>
      <c r="BA66" s="10">
        <f t="shared" si="18"/>
        <v>32</v>
      </c>
      <c r="BB66" s="27">
        <f t="shared" si="19"/>
        <v>76.19047619047619</v>
      </c>
    </row>
    <row r="67" spans="1:54">
      <c r="A67" s="12">
        <v>61</v>
      </c>
      <c r="B67" s="13">
        <v>1230321060</v>
      </c>
      <c r="C67" s="14" t="s">
        <v>82</v>
      </c>
      <c r="D67" s="10">
        <v>2</v>
      </c>
      <c r="E67" s="10">
        <v>0</v>
      </c>
      <c r="F67" s="10">
        <f t="shared" si="0"/>
        <v>0</v>
      </c>
      <c r="G67" s="10">
        <v>2</v>
      </c>
      <c r="H67" s="10">
        <v>0</v>
      </c>
      <c r="I67" s="10">
        <f t="shared" si="1"/>
        <v>0</v>
      </c>
      <c r="J67" s="10">
        <v>3</v>
      </c>
      <c r="K67" s="10">
        <v>0</v>
      </c>
      <c r="L67" s="26">
        <f t="shared" si="2"/>
        <v>0</v>
      </c>
      <c r="M67" s="10">
        <v>3</v>
      </c>
      <c r="N67" s="10">
        <v>0</v>
      </c>
      <c r="O67" s="26">
        <f t="shared" si="3"/>
        <v>0</v>
      </c>
      <c r="P67" s="7">
        <v>4</v>
      </c>
      <c r="Q67" s="7">
        <v>3</v>
      </c>
      <c r="R67" s="26">
        <f t="shared" si="4"/>
        <v>75</v>
      </c>
      <c r="S67" s="18">
        <v>4</v>
      </c>
      <c r="T67" s="7">
        <v>3</v>
      </c>
      <c r="U67" s="26">
        <f t="shared" si="5"/>
        <v>75</v>
      </c>
      <c r="V67" s="7">
        <v>3</v>
      </c>
      <c r="W67" s="7">
        <v>1</v>
      </c>
      <c r="X67" s="26">
        <f t="shared" si="6"/>
        <v>33.333333333333329</v>
      </c>
      <c r="Y67" s="9">
        <v>3</v>
      </c>
      <c r="Z67" s="7">
        <v>1</v>
      </c>
      <c r="AA67" s="26">
        <f t="shared" si="7"/>
        <v>33.333333333333329</v>
      </c>
      <c r="AB67" s="7">
        <v>4</v>
      </c>
      <c r="AC67" s="7">
        <v>2</v>
      </c>
      <c r="AD67" s="26">
        <f t="shared" si="8"/>
        <v>50</v>
      </c>
      <c r="AE67" s="9">
        <v>4</v>
      </c>
      <c r="AF67" s="7">
        <v>2</v>
      </c>
      <c r="AG67" s="26">
        <f t="shared" si="9"/>
        <v>50</v>
      </c>
      <c r="AH67" s="7">
        <v>2</v>
      </c>
      <c r="AI67" s="7">
        <v>1</v>
      </c>
      <c r="AJ67" s="26">
        <f t="shared" si="10"/>
        <v>50</v>
      </c>
      <c r="AK67" s="9">
        <v>2</v>
      </c>
      <c r="AL67" s="7">
        <v>1</v>
      </c>
      <c r="AM67" s="26">
        <f t="shared" si="11"/>
        <v>50</v>
      </c>
      <c r="AN67" s="7">
        <v>3</v>
      </c>
      <c r="AO67" s="7">
        <v>1</v>
      </c>
      <c r="AP67" s="26">
        <f t="shared" si="12"/>
        <v>33.333333333333329</v>
      </c>
      <c r="AQ67" s="18">
        <v>3</v>
      </c>
      <c r="AR67" s="7">
        <v>1</v>
      </c>
      <c r="AS67" s="26">
        <f t="shared" si="13"/>
        <v>33.333333333333329</v>
      </c>
      <c r="AT67" s="10">
        <f t="shared" si="14"/>
        <v>21</v>
      </c>
      <c r="AU67" s="10">
        <f t="shared" si="14"/>
        <v>8</v>
      </c>
      <c r="AV67" s="26">
        <f t="shared" si="15"/>
        <v>38.095238095238095</v>
      </c>
      <c r="AW67" s="10">
        <f t="shared" si="16"/>
        <v>21</v>
      </c>
      <c r="AX67" s="10">
        <f t="shared" si="16"/>
        <v>8</v>
      </c>
      <c r="AY67" s="26">
        <f t="shared" si="17"/>
        <v>38.095238095238095</v>
      </c>
      <c r="AZ67" s="10">
        <f t="shared" si="18"/>
        <v>42</v>
      </c>
      <c r="BA67" s="10">
        <f t="shared" si="18"/>
        <v>16</v>
      </c>
      <c r="BB67" s="27">
        <f t="shared" si="19"/>
        <v>38.095238095238095</v>
      </c>
    </row>
    <row r="68" spans="1:54">
      <c r="A68" s="12">
        <v>62</v>
      </c>
      <c r="B68" s="13">
        <v>1230321061</v>
      </c>
      <c r="C68" s="14" t="s">
        <v>101</v>
      </c>
      <c r="D68" s="10">
        <v>2</v>
      </c>
      <c r="E68" s="10">
        <v>1</v>
      </c>
      <c r="F68" s="10">
        <f t="shared" si="0"/>
        <v>50</v>
      </c>
      <c r="G68" s="10">
        <v>2</v>
      </c>
      <c r="H68" s="10">
        <v>1</v>
      </c>
      <c r="I68" s="10">
        <f t="shared" si="1"/>
        <v>50</v>
      </c>
      <c r="J68" s="10">
        <v>3</v>
      </c>
      <c r="K68" s="10">
        <v>1</v>
      </c>
      <c r="L68" s="26">
        <f t="shared" si="2"/>
        <v>33.333333333333329</v>
      </c>
      <c r="M68" s="10">
        <v>3</v>
      </c>
      <c r="N68" s="10">
        <v>1</v>
      </c>
      <c r="O68" s="26">
        <f t="shared" si="3"/>
        <v>33.333333333333329</v>
      </c>
      <c r="P68" s="7">
        <v>4</v>
      </c>
      <c r="Q68" s="7">
        <v>0</v>
      </c>
      <c r="R68" s="26">
        <f t="shared" si="4"/>
        <v>0</v>
      </c>
      <c r="S68" s="18">
        <v>4</v>
      </c>
      <c r="T68" s="7">
        <v>0</v>
      </c>
      <c r="U68" s="26">
        <f t="shared" si="5"/>
        <v>0</v>
      </c>
      <c r="V68" s="7">
        <v>3</v>
      </c>
      <c r="W68" s="7">
        <v>1</v>
      </c>
      <c r="X68" s="26">
        <f t="shared" si="6"/>
        <v>33.333333333333329</v>
      </c>
      <c r="Y68" s="9">
        <v>3</v>
      </c>
      <c r="Z68" s="7">
        <v>1</v>
      </c>
      <c r="AA68" s="26">
        <f t="shared" si="7"/>
        <v>33.333333333333329</v>
      </c>
      <c r="AB68" s="7">
        <v>4</v>
      </c>
      <c r="AC68" s="7">
        <v>0</v>
      </c>
      <c r="AD68" s="26">
        <f t="shared" si="8"/>
        <v>0</v>
      </c>
      <c r="AE68" s="9">
        <v>4</v>
      </c>
      <c r="AF68" s="7">
        <v>0</v>
      </c>
      <c r="AG68" s="26">
        <f t="shared" si="9"/>
        <v>0</v>
      </c>
      <c r="AH68" s="7">
        <v>2</v>
      </c>
      <c r="AI68" s="7">
        <v>0</v>
      </c>
      <c r="AJ68" s="26">
        <f t="shared" si="10"/>
        <v>0</v>
      </c>
      <c r="AK68" s="9">
        <v>2</v>
      </c>
      <c r="AL68" s="7">
        <v>0</v>
      </c>
      <c r="AM68" s="26">
        <f t="shared" si="11"/>
        <v>0</v>
      </c>
      <c r="AN68" s="7">
        <v>3</v>
      </c>
      <c r="AO68" s="7">
        <v>3</v>
      </c>
      <c r="AP68" s="26">
        <f t="shared" si="12"/>
        <v>100</v>
      </c>
      <c r="AQ68" s="18">
        <v>3</v>
      </c>
      <c r="AR68" s="7">
        <v>3</v>
      </c>
      <c r="AS68" s="26">
        <f t="shared" si="13"/>
        <v>100</v>
      </c>
      <c r="AT68" s="10">
        <f t="shared" si="14"/>
        <v>21</v>
      </c>
      <c r="AU68" s="10">
        <f t="shared" si="14"/>
        <v>6</v>
      </c>
      <c r="AV68" s="26">
        <f t="shared" si="15"/>
        <v>28.571428571428569</v>
      </c>
      <c r="AW68" s="10">
        <f t="shared" si="16"/>
        <v>21</v>
      </c>
      <c r="AX68" s="10">
        <f t="shared" si="16"/>
        <v>6</v>
      </c>
      <c r="AY68" s="26">
        <f t="shared" si="17"/>
        <v>28.571428571428569</v>
      </c>
      <c r="AZ68" s="10">
        <f t="shared" si="18"/>
        <v>42</v>
      </c>
      <c r="BA68" s="10">
        <f t="shared" si="18"/>
        <v>12</v>
      </c>
      <c r="BB68" s="27">
        <f t="shared" si="19"/>
        <v>28.571428571428569</v>
      </c>
    </row>
    <row r="69" spans="1:54">
      <c r="A69" s="12">
        <v>63</v>
      </c>
      <c r="B69" s="13">
        <v>1230321062</v>
      </c>
      <c r="C69" s="14" t="s">
        <v>83</v>
      </c>
      <c r="D69" s="10">
        <v>2</v>
      </c>
      <c r="E69" s="10">
        <v>0</v>
      </c>
      <c r="F69" s="10">
        <f t="shared" si="0"/>
        <v>0</v>
      </c>
      <c r="G69" s="10">
        <v>2</v>
      </c>
      <c r="H69" s="10">
        <v>0</v>
      </c>
      <c r="I69" s="10">
        <f t="shared" si="1"/>
        <v>0</v>
      </c>
      <c r="J69" s="10">
        <v>3</v>
      </c>
      <c r="K69" s="10">
        <v>1</v>
      </c>
      <c r="L69" s="26">
        <f t="shared" si="2"/>
        <v>33.333333333333329</v>
      </c>
      <c r="M69" s="10">
        <v>3</v>
      </c>
      <c r="N69" s="10">
        <v>1</v>
      </c>
      <c r="O69" s="26">
        <f t="shared" si="3"/>
        <v>33.333333333333329</v>
      </c>
      <c r="P69" s="7">
        <v>4</v>
      </c>
      <c r="Q69" s="7">
        <v>3</v>
      </c>
      <c r="R69" s="26">
        <f t="shared" si="4"/>
        <v>75</v>
      </c>
      <c r="S69" s="18">
        <v>4</v>
      </c>
      <c r="T69" s="7">
        <v>3</v>
      </c>
      <c r="U69" s="26">
        <f t="shared" si="5"/>
        <v>75</v>
      </c>
      <c r="V69" s="7">
        <v>3</v>
      </c>
      <c r="W69" s="7">
        <v>2</v>
      </c>
      <c r="X69" s="26">
        <f t="shared" si="6"/>
        <v>66.666666666666657</v>
      </c>
      <c r="Y69" s="9">
        <v>3</v>
      </c>
      <c r="Z69" s="7">
        <v>2</v>
      </c>
      <c r="AA69" s="26">
        <f t="shared" si="7"/>
        <v>66.666666666666657</v>
      </c>
      <c r="AB69" s="7">
        <v>4</v>
      </c>
      <c r="AC69" s="7">
        <v>4</v>
      </c>
      <c r="AD69" s="26">
        <f t="shared" si="8"/>
        <v>100</v>
      </c>
      <c r="AE69" s="9">
        <v>4</v>
      </c>
      <c r="AF69" s="7">
        <v>4</v>
      </c>
      <c r="AG69" s="26">
        <f t="shared" si="9"/>
        <v>100</v>
      </c>
      <c r="AH69" s="7">
        <v>2</v>
      </c>
      <c r="AI69" s="7">
        <v>1</v>
      </c>
      <c r="AJ69" s="26">
        <f t="shared" si="10"/>
        <v>50</v>
      </c>
      <c r="AK69" s="9">
        <v>2</v>
      </c>
      <c r="AL69" s="7">
        <v>1</v>
      </c>
      <c r="AM69" s="26">
        <f t="shared" si="11"/>
        <v>50</v>
      </c>
      <c r="AN69" s="7">
        <v>3</v>
      </c>
      <c r="AO69" s="7">
        <v>2</v>
      </c>
      <c r="AP69" s="26">
        <f t="shared" si="12"/>
        <v>66.666666666666657</v>
      </c>
      <c r="AQ69" s="18">
        <v>3</v>
      </c>
      <c r="AR69" s="7">
        <v>2</v>
      </c>
      <c r="AS69" s="26">
        <f t="shared" si="13"/>
        <v>66.666666666666657</v>
      </c>
      <c r="AT69" s="10">
        <f t="shared" si="14"/>
        <v>21</v>
      </c>
      <c r="AU69" s="10">
        <f t="shared" si="14"/>
        <v>13</v>
      </c>
      <c r="AV69" s="26">
        <f t="shared" si="15"/>
        <v>61.904761904761905</v>
      </c>
      <c r="AW69" s="10">
        <f t="shared" si="16"/>
        <v>21</v>
      </c>
      <c r="AX69" s="10">
        <f t="shared" si="16"/>
        <v>13</v>
      </c>
      <c r="AY69" s="26">
        <f t="shared" si="17"/>
        <v>61.904761904761905</v>
      </c>
      <c r="AZ69" s="10">
        <f t="shared" si="18"/>
        <v>42</v>
      </c>
      <c r="BA69" s="10">
        <f t="shared" si="18"/>
        <v>26</v>
      </c>
      <c r="BB69" s="27">
        <f t="shared" si="19"/>
        <v>61.904761904761905</v>
      </c>
    </row>
    <row r="70" spans="1:54">
      <c r="A70" s="12">
        <v>64</v>
      </c>
      <c r="B70" s="13">
        <v>1230321063</v>
      </c>
      <c r="C70" s="14" t="s">
        <v>84</v>
      </c>
      <c r="D70" s="10">
        <v>2</v>
      </c>
      <c r="E70" s="10">
        <v>1</v>
      </c>
      <c r="F70" s="10">
        <f t="shared" si="0"/>
        <v>50</v>
      </c>
      <c r="G70" s="10">
        <v>2</v>
      </c>
      <c r="H70" s="10">
        <v>1</v>
      </c>
      <c r="I70" s="10">
        <f t="shared" si="1"/>
        <v>50</v>
      </c>
      <c r="J70" s="10">
        <v>3</v>
      </c>
      <c r="K70" s="10">
        <v>1</v>
      </c>
      <c r="L70" s="26">
        <f t="shared" si="2"/>
        <v>33.333333333333329</v>
      </c>
      <c r="M70" s="10">
        <v>3</v>
      </c>
      <c r="N70" s="10">
        <v>1</v>
      </c>
      <c r="O70" s="26">
        <f t="shared" si="3"/>
        <v>33.333333333333329</v>
      </c>
      <c r="P70" s="7">
        <v>4</v>
      </c>
      <c r="Q70" s="7">
        <v>4</v>
      </c>
      <c r="R70" s="26">
        <f t="shared" si="4"/>
        <v>100</v>
      </c>
      <c r="S70" s="18">
        <v>4</v>
      </c>
      <c r="T70" s="7">
        <v>4</v>
      </c>
      <c r="U70" s="26">
        <f t="shared" si="5"/>
        <v>100</v>
      </c>
      <c r="V70" s="7">
        <v>3</v>
      </c>
      <c r="W70" s="7">
        <v>1</v>
      </c>
      <c r="X70" s="26">
        <f t="shared" si="6"/>
        <v>33.333333333333329</v>
      </c>
      <c r="Y70" s="9">
        <v>3</v>
      </c>
      <c r="Z70" s="7">
        <v>1</v>
      </c>
      <c r="AA70" s="26">
        <f t="shared" si="7"/>
        <v>33.333333333333329</v>
      </c>
      <c r="AB70" s="7">
        <v>4</v>
      </c>
      <c r="AC70" s="7">
        <v>3</v>
      </c>
      <c r="AD70" s="26">
        <f t="shared" si="8"/>
        <v>75</v>
      </c>
      <c r="AE70" s="9">
        <v>4</v>
      </c>
      <c r="AF70" s="7">
        <v>3</v>
      </c>
      <c r="AG70" s="26">
        <f t="shared" si="9"/>
        <v>75</v>
      </c>
      <c r="AH70" s="7">
        <v>2</v>
      </c>
      <c r="AI70" s="7">
        <v>1</v>
      </c>
      <c r="AJ70" s="26">
        <f t="shared" si="10"/>
        <v>50</v>
      </c>
      <c r="AK70" s="9">
        <v>2</v>
      </c>
      <c r="AL70" s="7">
        <v>1</v>
      </c>
      <c r="AM70" s="26">
        <f t="shared" si="11"/>
        <v>50</v>
      </c>
      <c r="AN70" s="7">
        <v>3</v>
      </c>
      <c r="AO70" s="7">
        <v>3</v>
      </c>
      <c r="AP70" s="26">
        <f t="shared" si="12"/>
        <v>100</v>
      </c>
      <c r="AQ70" s="18">
        <v>3</v>
      </c>
      <c r="AR70" s="7">
        <v>3</v>
      </c>
      <c r="AS70" s="26">
        <f t="shared" si="13"/>
        <v>100</v>
      </c>
      <c r="AT70" s="10">
        <f t="shared" si="14"/>
        <v>21</v>
      </c>
      <c r="AU70" s="10">
        <f t="shared" si="14"/>
        <v>14</v>
      </c>
      <c r="AV70" s="26">
        <f t="shared" si="15"/>
        <v>66.666666666666657</v>
      </c>
      <c r="AW70" s="10">
        <f t="shared" si="16"/>
        <v>21</v>
      </c>
      <c r="AX70" s="10">
        <f t="shared" si="16"/>
        <v>14</v>
      </c>
      <c r="AY70" s="26">
        <f t="shared" si="17"/>
        <v>66.666666666666657</v>
      </c>
      <c r="AZ70" s="10">
        <f t="shared" si="18"/>
        <v>42</v>
      </c>
      <c r="BA70" s="10">
        <f t="shared" si="18"/>
        <v>28</v>
      </c>
      <c r="BB70" s="27">
        <f t="shared" si="19"/>
        <v>66.666666666666657</v>
      </c>
    </row>
    <row r="71" spans="1:54">
      <c r="A71" s="12">
        <v>65</v>
      </c>
      <c r="B71" s="13">
        <v>1230321064</v>
      </c>
      <c r="C71" s="14" t="s">
        <v>102</v>
      </c>
      <c r="D71" s="10">
        <v>2</v>
      </c>
      <c r="E71" s="10">
        <v>0</v>
      </c>
      <c r="F71" s="10">
        <f t="shared" si="0"/>
        <v>0</v>
      </c>
      <c r="G71" s="10">
        <v>2</v>
      </c>
      <c r="H71" s="10">
        <v>0</v>
      </c>
      <c r="I71" s="10">
        <f t="shared" si="1"/>
        <v>0</v>
      </c>
      <c r="J71" s="10">
        <v>3</v>
      </c>
      <c r="K71" s="10">
        <v>0</v>
      </c>
      <c r="L71" s="26">
        <f t="shared" si="2"/>
        <v>0</v>
      </c>
      <c r="M71" s="10">
        <v>3</v>
      </c>
      <c r="N71" s="10">
        <v>0</v>
      </c>
      <c r="O71" s="26">
        <f t="shared" si="3"/>
        <v>0</v>
      </c>
      <c r="P71" s="7">
        <v>4</v>
      </c>
      <c r="Q71" s="7">
        <v>2</v>
      </c>
      <c r="R71" s="26">
        <f t="shared" si="4"/>
        <v>50</v>
      </c>
      <c r="S71" s="18">
        <v>4</v>
      </c>
      <c r="T71" s="7">
        <v>2</v>
      </c>
      <c r="U71" s="26">
        <f t="shared" si="5"/>
        <v>50</v>
      </c>
      <c r="V71" s="7">
        <v>3</v>
      </c>
      <c r="W71" s="7">
        <v>3</v>
      </c>
      <c r="X71" s="26">
        <f t="shared" si="6"/>
        <v>100</v>
      </c>
      <c r="Y71" s="9">
        <v>3</v>
      </c>
      <c r="Z71" s="7">
        <v>3</v>
      </c>
      <c r="AA71" s="26">
        <f t="shared" si="7"/>
        <v>100</v>
      </c>
      <c r="AB71" s="7">
        <v>4</v>
      </c>
      <c r="AC71" s="7">
        <v>4</v>
      </c>
      <c r="AD71" s="26">
        <f t="shared" si="8"/>
        <v>100</v>
      </c>
      <c r="AE71" s="9">
        <v>4</v>
      </c>
      <c r="AF71" s="7">
        <v>4</v>
      </c>
      <c r="AG71" s="26">
        <f t="shared" si="9"/>
        <v>100</v>
      </c>
      <c r="AH71" s="7">
        <v>2</v>
      </c>
      <c r="AI71" s="7">
        <v>2</v>
      </c>
      <c r="AJ71" s="26">
        <f t="shared" si="10"/>
        <v>100</v>
      </c>
      <c r="AK71" s="9">
        <v>2</v>
      </c>
      <c r="AL71" s="7">
        <v>2</v>
      </c>
      <c r="AM71" s="26">
        <f t="shared" si="11"/>
        <v>100</v>
      </c>
      <c r="AN71" s="7">
        <v>3</v>
      </c>
      <c r="AO71" s="7">
        <v>2</v>
      </c>
      <c r="AP71" s="26">
        <f t="shared" si="12"/>
        <v>66.666666666666657</v>
      </c>
      <c r="AQ71" s="18">
        <v>3</v>
      </c>
      <c r="AR71" s="7">
        <v>2</v>
      </c>
      <c r="AS71" s="26">
        <f t="shared" si="13"/>
        <v>66.666666666666657</v>
      </c>
      <c r="AT71" s="10">
        <f t="shared" si="14"/>
        <v>21</v>
      </c>
      <c r="AU71" s="10">
        <f t="shared" si="14"/>
        <v>13</v>
      </c>
      <c r="AV71" s="26">
        <f t="shared" si="15"/>
        <v>61.904761904761905</v>
      </c>
      <c r="AW71" s="10">
        <f t="shared" si="16"/>
        <v>21</v>
      </c>
      <c r="AX71" s="10">
        <f t="shared" si="16"/>
        <v>13</v>
      </c>
      <c r="AY71" s="26">
        <f t="shared" si="17"/>
        <v>61.904761904761905</v>
      </c>
      <c r="AZ71" s="10">
        <f t="shared" si="18"/>
        <v>42</v>
      </c>
      <c r="BA71" s="10">
        <f t="shared" si="18"/>
        <v>26</v>
      </c>
      <c r="BB71" s="27">
        <f t="shared" si="19"/>
        <v>61.904761904761905</v>
      </c>
    </row>
    <row r="72" spans="1:54">
      <c r="A72" s="12">
        <v>66</v>
      </c>
      <c r="B72" s="13">
        <v>1230321065</v>
      </c>
      <c r="C72" s="14" t="s">
        <v>85</v>
      </c>
      <c r="D72" s="10">
        <v>2</v>
      </c>
      <c r="E72" s="10">
        <v>1</v>
      </c>
      <c r="F72" s="10">
        <f t="shared" ref="F72:F83" si="20">E72/D72*100</f>
        <v>50</v>
      </c>
      <c r="G72" s="10">
        <v>2</v>
      </c>
      <c r="H72" s="10">
        <v>2</v>
      </c>
      <c r="I72" s="10">
        <f t="shared" ref="I72:I83" si="21">H72/G72*100</f>
        <v>100</v>
      </c>
      <c r="J72" s="10">
        <v>3</v>
      </c>
      <c r="K72" s="10">
        <v>1</v>
      </c>
      <c r="L72" s="26">
        <f t="shared" ref="L72:L88" si="22">K72/J72*100</f>
        <v>33.333333333333329</v>
      </c>
      <c r="M72" s="10">
        <v>3</v>
      </c>
      <c r="N72" s="10">
        <v>0</v>
      </c>
      <c r="O72" s="26">
        <f t="shared" ref="O72:O88" si="23">N72/M72*100</f>
        <v>0</v>
      </c>
      <c r="P72" s="7">
        <v>4</v>
      </c>
      <c r="Q72" s="7">
        <v>4</v>
      </c>
      <c r="R72" s="26">
        <f t="shared" ref="R72:R88" si="24">Q72/P72*100</f>
        <v>100</v>
      </c>
      <c r="S72" s="18">
        <v>4</v>
      </c>
      <c r="T72" s="7">
        <v>4</v>
      </c>
      <c r="U72" s="26">
        <f t="shared" ref="U72:U88" si="25">T72/S72*100</f>
        <v>100</v>
      </c>
      <c r="V72" s="7">
        <v>3</v>
      </c>
      <c r="W72" s="7">
        <v>2</v>
      </c>
      <c r="X72" s="26">
        <f t="shared" ref="X72:X83" si="26">W72/V72*100</f>
        <v>66.666666666666657</v>
      </c>
      <c r="Y72" s="9">
        <v>3</v>
      </c>
      <c r="Z72" s="7">
        <v>2</v>
      </c>
      <c r="AA72" s="26">
        <f t="shared" ref="AA72:AA83" si="27">Z72/Y72*100</f>
        <v>66.666666666666657</v>
      </c>
      <c r="AB72" s="7">
        <v>4</v>
      </c>
      <c r="AC72" s="7">
        <v>0</v>
      </c>
      <c r="AD72" s="26">
        <f t="shared" ref="AD72:AD83" si="28">AC72/AB72*100</f>
        <v>0</v>
      </c>
      <c r="AE72" s="9">
        <v>4</v>
      </c>
      <c r="AF72" s="7">
        <v>0</v>
      </c>
      <c r="AG72" s="26">
        <f t="shared" ref="AG72:AG83" si="29">AF72/AE72*100</f>
        <v>0</v>
      </c>
      <c r="AH72" s="7">
        <v>2</v>
      </c>
      <c r="AI72" s="7">
        <v>1</v>
      </c>
      <c r="AJ72" s="26">
        <f t="shared" ref="AJ72:AJ88" si="30">AI72/AH72*100</f>
        <v>50</v>
      </c>
      <c r="AK72" s="9">
        <v>2</v>
      </c>
      <c r="AL72" s="7">
        <v>1</v>
      </c>
      <c r="AM72" s="26">
        <f t="shared" ref="AM72:AM88" si="31">AL72/AK72*100</f>
        <v>50</v>
      </c>
      <c r="AN72" s="7">
        <v>3</v>
      </c>
      <c r="AO72" s="7">
        <v>2</v>
      </c>
      <c r="AP72" s="26">
        <f t="shared" ref="AP72:AP83" si="32">AO72/AN72*100</f>
        <v>66.666666666666657</v>
      </c>
      <c r="AQ72" s="18">
        <v>3</v>
      </c>
      <c r="AR72" s="7">
        <v>2</v>
      </c>
      <c r="AS72" s="26">
        <f t="shared" ref="AS72:AS83" si="33">AR72/AQ72*100</f>
        <v>66.666666666666657</v>
      </c>
      <c r="AT72" s="10">
        <f t="shared" ref="AT72:AU83" si="34">SUM(D72,J72,P72,V72,AB72,AH72,AN72)</f>
        <v>21</v>
      </c>
      <c r="AU72" s="10">
        <f t="shared" si="34"/>
        <v>11</v>
      </c>
      <c r="AV72" s="26">
        <f t="shared" ref="AV72:AV83" si="35">AU72/AT72*100</f>
        <v>52.380952380952387</v>
      </c>
      <c r="AW72" s="10">
        <f t="shared" ref="AW72:AX83" si="36">SUM(G72,M72,S72,Y72,AE72,AK72,AQ72)</f>
        <v>21</v>
      </c>
      <c r="AX72" s="10">
        <f t="shared" si="36"/>
        <v>11</v>
      </c>
      <c r="AY72" s="26">
        <f t="shared" ref="AY72:AY83" si="37">AX72/AW72*100</f>
        <v>52.380952380952387</v>
      </c>
      <c r="AZ72" s="10">
        <f t="shared" ref="AZ72:BA83" si="38">SUM(AT72,AW72)</f>
        <v>42</v>
      </c>
      <c r="BA72" s="10">
        <f t="shared" si="38"/>
        <v>22</v>
      </c>
      <c r="BB72" s="27">
        <f t="shared" ref="BB72:BB83" si="39">BA72/AZ72*100</f>
        <v>52.380952380952387</v>
      </c>
    </row>
    <row r="73" spans="1:54">
      <c r="A73" s="12">
        <v>67</v>
      </c>
      <c r="B73" s="13">
        <v>1230321066</v>
      </c>
      <c r="C73" s="14" t="s">
        <v>86</v>
      </c>
      <c r="D73" s="10">
        <v>2</v>
      </c>
      <c r="E73" s="10">
        <v>2</v>
      </c>
      <c r="F73" s="10">
        <f t="shared" si="20"/>
        <v>100</v>
      </c>
      <c r="G73" s="10">
        <v>2</v>
      </c>
      <c r="H73" s="10">
        <v>2</v>
      </c>
      <c r="I73" s="10">
        <f t="shared" si="21"/>
        <v>100</v>
      </c>
      <c r="J73" s="10">
        <v>3</v>
      </c>
      <c r="K73" s="10">
        <v>3</v>
      </c>
      <c r="L73" s="26">
        <f t="shared" si="22"/>
        <v>100</v>
      </c>
      <c r="M73" s="10">
        <v>3</v>
      </c>
      <c r="N73" s="10">
        <v>3</v>
      </c>
      <c r="O73" s="26">
        <f t="shared" si="23"/>
        <v>100</v>
      </c>
      <c r="P73" s="7">
        <v>4</v>
      </c>
      <c r="Q73" s="7">
        <v>3</v>
      </c>
      <c r="R73" s="26">
        <f t="shared" si="24"/>
        <v>75</v>
      </c>
      <c r="S73" s="18">
        <v>4</v>
      </c>
      <c r="T73" s="7">
        <v>3</v>
      </c>
      <c r="U73" s="26">
        <f t="shared" si="25"/>
        <v>75</v>
      </c>
      <c r="V73" s="7">
        <v>3</v>
      </c>
      <c r="W73" s="7">
        <v>2</v>
      </c>
      <c r="X73" s="26">
        <f t="shared" si="26"/>
        <v>66.666666666666657</v>
      </c>
      <c r="Y73" s="9">
        <v>3</v>
      </c>
      <c r="Z73" s="7">
        <v>2</v>
      </c>
      <c r="AA73" s="26">
        <f t="shared" si="27"/>
        <v>66.666666666666657</v>
      </c>
      <c r="AB73" s="7">
        <v>4</v>
      </c>
      <c r="AC73" s="7">
        <v>2</v>
      </c>
      <c r="AD73" s="26">
        <f t="shared" si="28"/>
        <v>50</v>
      </c>
      <c r="AE73" s="9">
        <v>4</v>
      </c>
      <c r="AF73" s="7">
        <v>2</v>
      </c>
      <c r="AG73" s="26">
        <f t="shared" si="29"/>
        <v>50</v>
      </c>
      <c r="AH73" s="7">
        <v>2</v>
      </c>
      <c r="AI73" s="7">
        <v>1</v>
      </c>
      <c r="AJ73" s="26">
        <f t="shared" si="30"/>
        <v>50</v>
      </c>
      <c r="AK73" s="9">
        <v>2</v>
      </c>
      <c r="AL73" s="7">
        <v>1</v>
      </c>
      <c r="AM73" s="26">
        <f t="shared" si="31"/>
        <v>50</v>
      </c>
      <c r="AN73" s="7">
        <v>3</v>
      </c>
      <c r="AO73" s="7">
        <v>3</v>
      </c>
      <c r="AP73" s="26">
        <f t="shared" si="32"/>
        <v>100</v>
      </c>
      <c r="AQ73" s="18">
        <v>3</v>
      </c>
      <c r="AR73" s="7">
        <v>3</v>
      </c>
      <c r="AS73" s="26">
        <f t="shared" si="33"/>
        <v>100</v>
      </c>
      <c r="AT73" s="10">
        <f t="shared" si="34"/>
        <v>21</v>
      </c>
      <c r="AU73" s="10">
        <f t="shared" si="34"/>
        <v>16</v>
      </c>
      <c r="AV73" s="26">
        <f t="shared" si="35"/>
        <v>76.19047619047619</v>
      </c>
      <c r="AW73" s="10">
        <f t="shared" si="36"/>
        <v>21</v>
      </c>
      <c r="AX73" s="10">
        <f t="shared" si="36"/>
        <v>16</v>
      </c>
      <c r="AY73" s="26">
        <f t="shared" si="37"/>
        <v>76.19047619047619</v>
      </c>
      <c r="AZ73" s="10">
        <f t="shared" si="38"/>
        <v>42</v>
      </c>
      <c r="BA73" s="10">
        <f t="shared" si="38"/>
        <v>32</v>
      </c>
      <c r="BB73" s="27">
        <f t="shared" si="39"/>
        <v>76.19047619047619</v>
      </c>
    </row>
    <row r="74" spans="1:54">
      <c r="A74" s="12">
        <v>68</v>
      </c>
      <c r="B74" s="13">
        <v>1230321067</v>
      </c>
      <c r="C74" s="14" t="s">
        <v>87</v>
      </c>
      <c r="D74" s="10">
        <v>2</v>
      </c>
      <c r="E74" s="10">
        <v>2</v>
      </c>
      <c r="F74" s="10">
        <f t="shared" si="20"/>
        <v>100</v>
      </c>
      <c r="G74" s="10">
        <v>2</v>
      </c>
      <c r="H74" s="10">
        <v>2</v>
      </c>
      <c r="I74" s="10">
        <f t="shared" si="21"/>
        <v>100</v>
      </c>
      <c r="J74" s="10">
        <v>3</v>
      </c>
      <c r="K74" s="10">
        <v>2</v>
      </c>
      <c r="L74" s="26">
        <f t="shared" si="22"/>
        <v>66.666666666666657</v>
      </c>
      <c r="M74" s="10">
        <v>3</v>
      </c>
      <c r="N74" s="10">
        <v>2</v>
      </c>
      <c r="O74" s="26">
        <f t="shared" si="23"/>
        <v>66.666666666666657</v>
      </c>
      <c r="P74" s="7">
        <v>4</v>
      </c>
      <c r="Q74" s="7">
        <v>4</v>
      </c>
      <c r="R74" s="26">
        <f t="shared" si="24"/>
        <v>100</v>
      </c>
      <c r="S74" s="18">
        <v>4</v>
      </c>
      <c r="T74" s="7">
        <v>4</v>
      </c>
      <c r="U74" s="26">
        <f t="shared" si="25"/>
        <v>100</v>
      </c>
      <c r="V74" s="7">
        <v>3</v>
      </c>
      <c r="W74" s="7">
        <v>2</v>
      </c>
      <c r="X74" s="26">
        <f t="shared" si="26"/>
        <v>66.666666666666657</v>
      </c>
      <c r="Y74" s="9">
        <v>3</v>
      </c>
      <c r="Z74" s="7">
        <v>2</v>
      </c>
      <c r="AA74" s="26">
        <f t="shared" si="27"/>
        <v>66.666666666666657</v>
      </c>
      <c r="AB74" s="7">
        <v>4</v>
      </c>
      <c r="AC74" s="7">
        <v>4</v>
      </c>
      <c r="AD74" s="26">
        <f t="shared" si="28"/>
        <v>100</v>
      </c>
      <c r="AE74" s="9">
        <v>4</v>
      </c>
      <c r="AF74" s="7">
        <v>4</v>
      </c>
      <c r="AG74" s="26">
        <f t="shared" si="29"/>
        <v>100</v>
      </c>
      <c r="AH74" s="7">
        <v>2</v>
      </c>
      <c r="AI74" s="7">
        <v>2</v>
      </c>
      <c r="AJ74" s="26">
        <f t="shared" si="30"/>
        <v>100</v>
      </c>
      <c r="AK74" s="9">
        <v>2</v>
      </c>
      <c r="AL74" s="7">
        <v>2</v>
      </c>
      <c r="AM74" s="26">
        <f t="shared" si="31"/>
        <v>100</v>
      </c>
      <c r="AN74" s="7">
        <v>3</v>
      </c>
      <c r="AO74" s="7">
        <v>3</v>
      </c>
      <c r="AP74" s="26">
        <f t="shared" si="32"/>
        <v>100</v>
      </c>
      <c r="AQ74" s="18">
        <v>3</v>
      </c>
      <c r="AR74" s="7">
        <v>3</v>
      </c>
      <c r="AS74" s="26">
        <f t="shared" si="33"/>
        <v>100</v>
      </c>
      <c r="AT74" s="10">
        <f t="shared" si="34"/>
        <v>21</v>
      </c>
      <c r="AU74" s="10">
        <f t="shared" si="34"/>
        <v>19</v>
      </c>
      <c r="AV74" s="26">
        <f t="shared" si="35"/>
        <v>90.476190476190482</v>
      </c>
      <c r="AW74" s="10">
        <f t="shared" si="36"/>
        <v>21</v>
      </c>
      <c r="AX74" s="10">
        <f t="shared" si="36"/>
        <v>19</v>
      </c>
      <c r="AY74" s="26">
        <f t="shared" si="37"/>
        <v>90.476190476190482</v>
      </c>
      <c r="AZ74" s="10">
        <f t="shared" si="38"/>
        <v>42</v>
      </c>
      <c r="BA74" s="10">
        <f t="shared" si="38"/>
        <v>38</v>
      </c>
      <c r="BB74" s="27">
        <f t="shared" si="39"/>
        <v>90.476190476190482</v>
      </c>
    </row>
    <row r="75" spans="1:54">
      <c r="A75" s="12">
        <v>69</v>
      </c>
      <c r="B75" s="13">
        <v>1230321068</v>
      </c>
      <c r="C75" s="14" t="s">
        <v>88</v>
      </c>
      <c r="D75" s="10">
        <v>2</v>
      </c>
      <c r="E75" s="10">
        <v>0</v>
      </c>
      <c r="F75" s="10">
        <f t="shared" si="20"/>
        <v>0</v>
      </c>
      <c r="G75" s="10">
        <v>2</v>
      </c>
      <c r="H75" s="10">
        <v>0</v>
      </c>
      <c r="I75" s="10">
        <f t="shared" si="21"/>
        <v>0</v>
      </c>
      <c r="J75" s="10">
        <v>3</v>
      </c>
      <c r="K75" s="10">
        <v>3</v>
      </c>
      <c r="L75" s="26">
        <f t="shared" si="22"/>
        <v>100</v>
      </c>
      <c r="M75" s="10">
        <v>3</v>
      </c>
      <c r="N75" s="10">
        <v>3</v>
      </c>
      <c r="O75" s="26">
        <f t="shared" si="23"/>
        <v>100</v>
      </c>
      <c r="P75" s="7">
        <v>4</v>
      </c>
      <c r="Q75" s="7">
        <v>3</v>
      </c>
      <c r="R75" s="26">
        <f t="shared" si="24"/>
        <v>75</v>
      </c>
      <c r="S75" s="18">
        <v>4</v>
      </c>
      <c r="T75" s="7">
        <v>3</v>
      </c>
      <c r="U75" s="26">
        <f t="shared" si="25"/>
        <v>75</v>
      </c>
      <c r="V75" s="7">
        <v>3</v>
      </c>
      <c r="W75" s="7">
        <v>2</v>
      </c>
      <c r="X75" s="26">
        <f t="shared" si="26"/>
        <v>66.666666666666657</v>
      </c>
      <c r="Y75" s="9">
        <v>3</v>
      </c>
      <c r="Z75" s="7">
        <v>2</v>
      </c>
      <c r="AA75" s="26">
        <f t="shared" si="27"/>
        <v>66.666666666666657</v>
      </c>
      <c r="AB75" s="7">
        <v>4</v>
      </c>
      <c r="AC75" s="7">
        <v>3</v>
      </c>
      <c r="AD75" s="26">
        <f t="shared" si="28"/>
        <v>75</v>
      </c>
      <c r="AE75" s="9">
        <v>4</v>
      </c>
      <c r="AF75" s="7">
        <v>3</v>
      </c>
      <c r="AG75" s="26">
        <f t="shared" si="29"/>
        <v>75</v>
      </c>
      <c r="AH75" s="7">
        <v>2</v>
      </c>
      <c r="AI75" s="7">
        <v>1</v>
      </c>
      <c r="AJ75" s="26">
        <f t="shared" si="30"/>
        <v>50</v>
      </c>
      <c r="AK75" s="9">
        <v>2</v>
      </c>
      <c r="AL75" s="7">
        <v>1</v>
      </c>
      <c r="AM75" s="26">
        <f t="shared" si="31"/>
        <v>50</v>
      </c>
      <c r="AN75" s="7">
        <v>3</v>
      </c>
      <c r="AO75" s="7">
        <v>2</v>
      </c>
      <c r="AP75" s="26">
        <f t="shared" si="32"/>
        <v>66.666666666666657</v>
      </c>
      <c r="AQ75" s="18">
        <v>3</v>
      </c>
      <c r="AR75" s="7">
        <v>2</v>
      </c>
      <c r="AS75" s="26">
        <f t="shared" si="33"/>
        <v>66.666666666666657</v>
      </c>
      <c r="AT75" s="10">
        <f t="shared" si="34"/>
        <v>21</v>
      </c>
      <c r="AU75" s="10">
        <f t="shared" si="34"/>
        <v>14</v>
      </c>
      <c r="AV75" s="26">
        <f t="shared" si="35"/>
        <v>66.666666666666657</v>
      </c>
      <c r="AW75" s="10">
        <f t="shared" si="36"/>
        <v>21</v>
      </c>
      <c r="AX75" s="10">
        <f t="shared" si="36"/>
        <v>14</v>
      </c>
      <c r="AY75" s="26">
        <f t="shared" si="37"/>
        <v>66.666666666666657</v>
      </c>
      <c r="AZ75" s="10">
        <f t="shared" si="38"/>
        <v>42</v>
      </c>
      <c r="BA75" s="10">
        <f t="shared" si="38"/>
        <v>28</v>
      </c>
      <c r="BB75" s="27">
        <f t="shared" si="39"/>
        <v>66.666666666666657</v>
      </c>
    </row>
    <row r="76" spans="1:54">
      <c r="A76" s="12">
        <v>70</v>
      </c>
      <c r="B76" s="13">
        <v>1230321069</v>
      </c>
      <c r="C76" s="14" t="s">
        <v>89</v>
      </c>
      <c r="D76" s="10">
        <v>2</v>
      </c>
      <c r="E76" s="10">
        <v>1</v>
      </c>
      <c r="F76" s="10">
        <f t="shared" si="20"/>
        <v>50</v>
      </c>
      <c r="G76" s="10">
        <v>2</v>
      </c>
      <c r="H76" s="10">
        <v>1</v>
      </c>
      <c r="I76" s="10">
        <f t="shared" si="21"/>
        <v>50</v>
      </c>
      <c r="J76" s="10">
        <v>3</v>
      </c>
      <c r="K76" s="10">
        <v>2</v>
      </c>
      <c r="L76" s="26">
        <f t="shared" si="22"/>
        <v>66.666666666666657</v>
      </c>
      <c r="M76" s="10">
        <v>3</v>
      </c>
      <c r="N76" s="10">
        <v>2</v>
      </c>
      <c r="O76" s="26">
        <f t="shared" si="23"/>
        <v>66.666666666666657</v>
      </c>
      <c r="P76" s="7">
        <v>4</v>
      </c>
      <c r="Q76" s="7">
        <v>3</v>
      </c>
      <c r="R76" s="26">
        <f t="shared" si="24"/>
        <v>75</v>
      </c>
      <c r="S76" s="18">
        <v>4</v>
      </c>
      <c r="T76" s="7">
        <v>3</v>
      </c>
      <c r="U76" s="26">
        <f t="shared" si="25"/>
        <v>75</v>
      </c>
      <c r="V76" s="7">
        <v>3</v>
      </c>
      <c r="W76" s="7">
        <v>2</v>
      </c>
      <c r="X76" s="26">
        <f t="shared" si="26"/>
        <v>66.666666666666657</v>
      </c>
      <c r="Y76" s="9">
        <v>3</v>
      </c>
      <c r="Z76" s="7">
        <v>2</v>
      </c>
      <c r="AA76" s="26">
        <f t="shared" si="27"/>
        <v>66.666666666666657</v>
      </c>
      <c r="AB76" s="7">
        <v>4</v>
      </c>
      <c r="AC76" s="7">
        <v>1</v>
      </c>
      <c r="AD76" s="26">
        <f t="shared" si="28"/>
        <v>25</v>
      </c>
      <c r="AE76" s="9">
        <v>4</v>
      </c>
      <c r="AF76" s="7">
        <v>1</v>
      </c>
      <c r="AG76" s="26">
        <f t="shared" si="29"/>
        <v>25</v>
      </c>
      <c r="AH76" s="7">
        <v>2</v>
      </c>
      <c r="AI76" s="7">
        <v>1</v>
      </c>
      <c r="AJ76" s="26">
        <f t="shared" si="30"/>
        <v>50</v>
      </c>
      <c r="AK76" s="9">
        <v>2</v>
      </c>
      <c r="AL76" s="7">
        <v>1</v>
      </c>
      <c r="AM76" s="26">
        <f t="shared" si="31"/>
        <v>50</v>
      </c>
      <c r="AN76" s="7">
        <v>3</v>
      </c>
      <c r="AO76" s="7">
        <v>3</v>
      </c>
      <c r="AP76" s="26">
        <f t="shared" si="32"/>
        <v>100</v>
      </c>
      <c r="AQ76" s="18">
        <v>3</v>
      </c>
      <c r="AR76" s="7">
        <v>3</v>
      </c>
      <c r="AS76" s="26">
        <f t="shared" si="33"/>
        <v>100</v>
      </c>
      <c r="AT76" s="10">
        <f t="shared" si="34"/>
        <v>21</v>
      </c>
      <c r="AU76" s="10">
        <f t="shared" si="34"/>
        <v>13</v>
      </c>
      <c r="AV76" s="26">
        <f t="shared" si="35"/>
        <v>61.904761904761905</v>
      </c>
      <c r="AW76" s="10">
        <f t="shared" si="36"/>
        <v>21</v>
      </c>
      <c r="AX76" s="10">
        <f t="shared" si="36"/>
        <v>13</v>
      </c>
      <c r="AY76" s="26">
        <f t="shared" si="37"/>
        <v>61.904761904761905</v>
      </c>
      <c r="AZ76" s="10">
        <f t="shared" si="38"/>
        <v>42</v>
      </c>
      <c r="BA76" s="10">
        <f t="shared" si="38"/>
        <v>26</v>
      </c>
      <c r="BB76" s="27">
        <f t="shared" si="39"/>
        <v>61.904761904761905</v>
      </c>
    </row>
    <row r="77" spans="1:54">
      <c r="A77" s="12">
        <v>71</v>
      </c>
      <c r="B77" s="13">
        <v>1230321070</v>
      </c>
      <c r="C77" s="14" t="s">
        <v>90</v>
      </c>
      <c r="D77" s="10">
        <v>2</v>
      </c>
      <c r="E77" s="10">
        <v>1</v>
      </c>
      <c r="F77" s="10">
        <f t="shared" si="20"/>
        <v>50</v>
      </c>
      <c r="G77" s="10">
        <v>2</v>
      </c>
      <c r="H77" s="10">
        <v>1</v>
      </c>
      <c r="I77" s="10">
        <f t="shared" si="21"/>
        <v>50</v>
      </c>
      <c r="J77" s="10">
        <v>3</v>
      </c>
      <c r="K77" s="10">
        <v>2</v>
      </c>
      <c r="L77" s="26">
        <f t="shared" si="22"/>
        <v>66.666666666666657</v>
      </c>
      <c r="M77" s="10">
        <v>3</v>
      </c>
      <c r="N77" s="10">
        <v>2</v>
      </c>
      <c r="O77" s="26">
        <f t="shared" si="23"/>
        <v>66.666666666666657</v>
      </c>
      <c r="P77" s="7">
        <v>4</v>
      </c>
      <c r="Q77" s="7">
        <v>2</v>
      </c>
      <c r="R77" s="26">
        <f t="shared" si="24"/>
        <v>50</v>
      </c>
      <c r="S77" s="18">
        <v>4</v>
      </c>
      <c r="T77" s="7">
        <v>2</v>
      </c>
      <c r="U77" s="26">
        <f t="shared" si="25"/>
        <v>50</v>
      </c>
      <c r="V77" s="7">
        <v>3</v>
      </c>
      <c r="W77" s="7">
        <v>1</v>
      </c>
      <c r="X77" s="26">
        <f t="shared" si="26"/>
        <v>33.333333333333329</v>
      </c>
      <c r="Y77" s="9">
        <v>3</v>
      </c>
      <c r="Z77" s="7">
        <v>1</v>
      </c>
      <c r="AA77" s="26">
        <f t="shared" si="27"/>
        <v>33.333333333333329</v>
      </c>
      <c r="AB77" s="7">
        <v>4</v>
      </c>
      <c r="AC77" s="7">
        <v>2</v>
      </c>
      <c r="AD77" s="26">
        <f t="shared" si="28"/>
        <v>50</v>
      </c>
      <c r="AE77" s="9">
        <v>4</v>
      </c>
      <c r="AF77" s="7">
        <v>2</v>
      </c>
      <c r="AG77" s="26">
        <f t="shared" si="29"/>
        <v>50</v>
      </c>
      <c r="AH77" s="7">
        <v>2</v>
      </c>
      <c r="AI77" s="7">
        <v>1</v>
      </c>
      <c r="AJ77" s="26">
        <f t="shared" si="30"/>
        <v>50</v>
      </c>
      <c r="AK77" s="9">
        <v>2</v>
      </c>
      <c r="AL77" s="7">
        <v>1</v>
      </c>
      <c r="AM77" s="26">
        <f t="shared" si="31"/>
        <v>50</v>
      </c>
      <c r="AN77" s="7">
        <v>3</v>
      </c>
      <c r="AO77" s="7">
        <v>2</v>
      </c>
      <c r="AP77" s="26">
        <f t="shared" si="32"/>
        <v>66.666666666666657</v>
      </c>
      <c r="AQ77" s="18">
        <v>3</v>
      </c>
      <c r="AR77" s="7">
        <v>2</v>
      </c>
      <c r="AS77" s="26">
        <f t="shared" si="33"/>
        <v>66.666666666666657</v>
      </c>
      <c r="AT77" s="10">
        <f t="shared" si="34"/>
        <v>21</v>
      </c>
      <c r="AU77" s="10">
        <f t="shared" si="34"/>
        <v>11</v>
      </c>
      <c r="AV77" s="26">
        <f t="shared" si="35"/>
        <v>52.380952380952387</v>
      </c>
      <c r="AW77" s="10">
        <f t="shared" si="36"/>
        <v>21</v>
      </c>
      <c r="AX77" s="10">
        <f t="shared" si="36"/>
        <v>11</v>
      </c>
      <c r="AY77" s="26">
        <f t="shared" si="37"/>
        <v>52.380952380952387</v>
      </c>
      <c r="AZ77" s="10">
        <f t="shared" si="38"/>
        <v>42</v>
      </c>
      <c r="BA77" s="10">
        <f t="shared" si="38"/>
        <v>22</v>
      </c>
      <c r="BB77" s="27">
        <f t="shared" si="39"/>
        <v>52.380952380952387</v>
      </c>
    </row>
    <row r="78" spans="1:54">
      <c r="A78" s="12">
        <v>72</v>
      </c>
      <c r="B78" s="13">
        <v>1230321071</v>
      </c>
      <c r="C78" s="14" t="s">
        <v>91</v>
      </c>
      <c r="D78" s="10">
        <v>2</v>
      </c>
      <c r="E78" s="10">
        <v>1</v>
      </c>
      <c r="F78" s="10">
        <f t="shared" si="20"/>
        <v>50</v>
      </c>
      <c r="G78" s="10">
        <v>2</v>
      </c>
      <c r="H78" s="10">
        <v>1</v>
      </c>
      <c r="I78" s="10">
        <f t="shared" si="21"/>
        <v>50</v>
      </c>
      <c r="J78" s="10">
        <v>3</v>
      </c>
      <c r="K78" s="10">
        <v>2</v>
      </c>
      <c r="L78" s="26">
        <f t="shared" si="22"/>
        <v>66.666666666666657</v>
      </c>
      <c r="M78" s="10">
        <v>3</v>
      </c>
      <c r="N78" s="10">
        <v>2</v>
      </c>
      <c r="O78" s="26">
        <f t="shared" si="23"/>
        <v>66.666666666666657</v>
      </c>
      <c r="P78" s="7">
        <v>4</v>
      </c>
      <c r="Q78" s="7">
        <v>3</v>
      </c>
      <c r="R78" s="26">
        <f t="shared" si="24"/>
        <v>75</v>
      </c>
      <c r="S78" s="18">
        <v>4</v>
      </c>
      <c r="T78" s="7">
        <v>3</v>
      </c>
      <c r="U78" s="26">
        <f t="shared" si="25"/>
        <v>75</v>
      </c>
      <c r="V78" s="7">
        <v>3</v>
      </c>
      <c r="W78" s="7">
        <v>2</v>
      </c>
      <c r="X78" s="26">
        <f t="shared" si="26"/>
        <v>66.666666666666657</v>
      </c>
      <c r="Y78" s="9">
        <v>3</v>
      </c>
      <c r="Z78" s="7">
        <v>2</v>
      </c>
      <c r="AA78" s="26">
        <f t="shared" si="27"/>
        <v>66.666666666666657</v>
      </c>
      <c r="AB78" s="7">
        <v>4</v>
      </c>
      <c r="AC78" s="7">
        <v>1</v>
      </c>
      <c r="AD78" s="26">
        <f t="shared" si="28"/>
        <v>25</v>
      </c>
      <c r="AE78" s="9">
        <v>4</v>
      </c>
      <c r="AF78" s="7">
        <v>1</v>
      </c>
      <c r="AG78" s="26">
        <f t="shared" si="29"/>
        <v>25</v>
      </c>
      <c r="AH78" s="7">
        <v>2</v>
      </c>
      <c r="AI78" s="7">
        <v>1</v>
      </c>
      <c r="AJ78" s="26">
        <f t="shared" si="30"/>
        <v>50</v>
      </c>
      <c r="AK78" s="9">
        <v>2</v>
      </c>
      <c r="AL78" s="7">
        <v>1</v>
      </c>
      <c r="AM78" s="26">
        <f t="shared" si="31"/>
        <v>50</v>
      </c>
      <c r="AN78" s="7">
        <v>3</v>
      </c>
      <c r="AO78" s="7">
        <v>2</v>
      </c>
      <c r="AP78" s="26">
        <f t="shared" si="32"/>
        <v>66.666666666666657</v>
      </c>
      <c r="AQ78" s="18">
        <v>3</v>
      </c>
      <c r="AR78" s="7">
        <v>2</v>
      </c>
      <c r="AS78" s="26">
        <f t="shared" si="33"/>
        <v>66.666666666666657</v>
      </c>
      <c r="AT78" s="10">
        <f t="shared" si="34"/>
        <v>21</v>
      </c>
      <c r="AU78" s="10">
        <f t="shared" si="34"/>
        <v>12</v>
      </c>
      <c r="AV78" s="26">
        <f t="shared" si="35"/>
        <v>57.142857142857139</v>
      </c>
      <c r="AW78" s="10">
        <f t="shared" si="36"/>
        <v>21</v>
      </c>
      <c r="AX78" s="10">
        <f t="shared" si="36"/>
        <v>12</v>
      </c>
      <c r="AY78" s="26">
        <f t="shared" si="37"/>
        <v>57.142857142857139</v>
      </c>
      <c r="AZ78" s="10">
        <f t="shared" si="38"/>
        <v>42</v>
      </c>
      <c r="BA78" s="10">
        <f t="shared" si="38"/>
        <v>24</v>
      </c>
      <c r="BB78" s="27">
        <f t="shared" si="39"/>
        <v>57.142857142857139</v>
      </c>
    </row>
    <row r="79" spans="1:54">
      <c r="A79" s="12">
        <v>73</v>
      </c>
      <c r="B79" s="13">
        <v>1230321072</v>
      </c>
      <c r="C79" s="14" t="s">
        <v>92</v>
      </c>
      <c r="D79" s="10">
        <v>2</v>
      </c>
      <c r="E79" s="10">
        <v>0</v>
      </c>
      <c r="F79" s="10">
        <f t="shared" si="20"/>
        <v>0</v>
      </c>
      <c r="G79" s="10">
        <v>2</v>
      </c>
      <c r="H79" s="10">
        <v>0</v>
      </c>
      <c r="I79" s="10">
        <f t="shared" si="21"/>
        <v>0</v>
      </c>
      <c r="J79" s="10">
        <v>3</v>
      </c>
      <c r="K79" s="10">
        <v>1</v>
      </c>
      <c r="L79" s="26">
        <f t="shared" si="22"/>
        <v>33.333333333333329</v>
      </c>
      <c r="M79" s="10">
        <v>3</v>
      </c>
      <c r="N79" s="10">
        <v>1</v>
      </c>
      <c r="O79" s="26">
        <f t="shared" si="23"/>
        <v>33.333333333333329</v>
      </c>
      <c r="P79" s="7">
        <v>4</v>
      </c>
      <c r="Q79" s="7">
        <v>3</v>
      </c>
      <c r="R79" s="26">
        <f t="shared" si="24"/>
        <v>75</v>
      </c>
      <c r="S79" s="18">
        <v>4</v>
      </c>
      <c r="T79" s="7">
        <v>3</v>
      </c>
      <c r="U79" s="26">
        <f t="shared" si="25"/>
        <v>75</v>
      </c>
      <c r="V79" s="7">
        <v>3</v>
      </c>
      <c r="W79" s="7">
        <v>0</v>
      </c>
      <c r="X79" s="26">
        <f t="shared" si="26"/>
        <v>0</v>
      </c>
      <c r="Y79" s="9">
        <v>3</v>
      </c>
      <c r="Z79" s="7">
        <v>0</v>
      </c>
      <c r="AA79" s="26">
        <f t="shared" si="27"/>
        <v>0</v>
      </c>
      <c r="AB79" s="7">
        <v>4</v>
      </c>
      <c r="AC79" s="7">
        <v>1</v>
      </c>
      <c r="AD79" s="26">
        <f t="shared" si="28"/>
        <v>25</v>
      </c>
      <c r="AE79" s="9">
        <v>4</v>
      </c>
      <c r="AF79" s="7">
        <v>1</v>
      </c>
      <c r="AG79" s="26">
        <f t="shared" si="29"/>
        <v>25</v>
      </c>
      <c r="AH79" s="7">
        <v>2</v>
      </c>
      <c r="AI79" s="7">
        <v>2</v>
      </c>
      <c r="AJ79" s="26">
        <f t="shared" si="30"/>
        <v>100</v>
      </c>
      <c r="AK79" s="9">
        <v>2</v>
      </c>
      <c r="AL79" s="7">
        <v>2</v>
      </c>
      <c r="AM79" s="26">
        <f t="shared" si="31"/>
        <v>100</v>
      </c>
      <c r="AN79" s="7">
        <v>3</v>
      </c>
      <c r="AO79" s="7">
        <v>3</v>
      </c>
      <c r="AP79" s="26">
        <f t="shared" si="32"/>
        <v>100</v>
      </c>
      <c r="AQ79" s="18">
        <v>3</v>
      </c>
      <c r="AR79" s="7">
        <v>3</v>
      </c>
      <c r="AS79" s="26">
        <f t="shared" si="33"/>
        <v>100</v>
      </c>
      <c r="AT79" s="10">
        <f t="shared" si="34"/>
        <v>21</v>
      </c>
      <c r="AU79" s="10">
        <f t="shared" si="34"/>
        <v>10</v>
      </c>
      <c r="AV79" s="26">
        <f t="shared" si="35"/>
        <v>47.619047619047613</v>
      </c>
      <c r="AW79" s="10">
        <f t="shared" si="36"/>
        <v>21</v>
      </c>
      <c r="AX79" s="10">
        <f t="shared" si="36"/>
        <v>10</v>
      </c>
      <c r="AY79" s="26">
        <f t="shared" si="37"/>
        <v>47.619047619047613</v>
      </c>
      <c r="AZ79" s="10">
        <f t="shared" si="38"/>
        <v>42</v>
      </c>
      <c r="BA79" s="10">
        <f t="shared" si="38"/>
        <v>20</v>
      </c>
      <c r="BB79" s="27">
        <f t="shared" si="39"/>
        <v>47.619047619047613</v>
      </c>
    </row>
    <row r="80" spans="1:54">
      <c r="A80" s="12">
        <v>74</v>
      </c>
      <c r="B80" s="13">
        <v>1230321073</v>
      </c>
      <c r="C80" s="14" t="s">
        <v>93</v>
      </c>
      <c r="D80" s="10">
        <v>2</v>
      </c>
      <c r="E80" s="10">
        <v>0</v>
      </c>
      <c r="F80" s="10">
        <f t="shared" si="20"/>
        <v>0</v>
      </c>
      <c r="G80" s="10">
        <v>2</v>
      </c>
      <c r="H80" s="10">
        <v>0</v>
      </c>
      <c r="I80" s="10">
        <f t="shared" si="21"/>
        <v>0</v>
      </c>
      <c r="J80" s="10">
        <v>3</v>
      </c>
      <c r="K80" s="10">
        <v>1</v>
      </c>
      <c r="L80" s="26">
        <f t="shared" si="22"/>
        <v>33.333333333333329</v>
      </c>
      <c r="M80" s="10">
        <v>3</v>
      </c>
      <c r="N80" s="10">
        <v>1</v>
      </c>
      <c r="O80" s="26">
        <f t="shared" si="23"/>
        <v>33.333333333333329</v>
      </c>
      <c r="P80" s="7">
        <v>4</v>
      </c>
      <c r="Q80" s="7">
        <v>3</v>
      </c>
      <c r="R80" s="26">
        <f t="shared" si="24"/>
        <v>75</v>
      </c>
      <c r="S80" s="18">
        <v>4</v>
      </c>
      <c r="T80" s="7">
        <v>4</v>
      </c>
      <c r="U80" s="26">
        <f t="shared" si="25"/>
        <v>100</v>
      </c>
      <c r="V80" s="7">
        <v>3</v>
      </c>
      <c r="W80" s="7">
        <v>2</v>
      </c>
      <c r="X80" s="26">
        <f t="shared" si="26"/>
        <v>66.666666666666657</v>
      </c>
      <c r="Y80" s="9">
        <v>3</v>
      </c>
      <c r="Z80" s="7">
        <v>2</v>
      </c>
      <c r="AA80" s="26">
        <f t="shared" si="27"/>
        <v>66.666666666666657</v>
      </c>
      <c r="AB80" s="7">
        <v>4</v>
      </c>
      <c r="AC80" s="7">
        <v>2</v>
      </c>
      <c r="AD80" s="26">
        <f t="shared" si="28"/>
        <v>50</v>
      </c>
      <c r="AE80" s="9">
        <v>4</v>
      </c>
      <c r="AF80" s="7">
        <v>2</v>
      </c>
      <c r="AG80" s="26">
        <f t="shared" si="29"/>
        <v>50</v>
      </c>
      <c r="AH80" s="7">
        <v>2</v>
      </c>
      <c r="AI80" s="7">
        <v>2</v>
      </c>
      <c r="AJ80" s="26">
        <f t="shared" si="30"/>
        <v>100</v>
      </c>
      <c r="AK80" s="9">
        <v>2</v>
      </c>
      <c r="AL80" s="7">
        <v>2</v>
      </c>
      <c r="AM80" s="26">
        <f t="shared" si="31"/>
        <v>100</v>
      </c>
      <c r="AN80" s="7">
        <v>3</v>
      </c>
      <c r="AO80" s="7">
        <v>3</v>
      </c>
      <c r="AP80" s="26">
        <f t="shared" si="32"/>
        <v>100</v>
      </c>
      <c r="AQ80" s="18">
        <v>3</v>
      </c>
      <c r="AR80" s="7">
        <v>3</v>
      </c>
      <c r="AS80" s="26">
        <f t="shared" si="33"/>
        <v>100</v>
      </c>
      <c r="AT80" s="10">
        <f t="shared" si="34"/>
        <v>21</v>
      </c>
      <c r="AU80" s="10">
        <f t="shared" si="34"/>
        <v>13</v>
      </c>
      <c r="AV80" s="26">
        <f t="shared" si="35"/>
        <v>61.904761904761905</v>
      </c>
      <c r="AW80" s="10">
        <f t="shared" si="36"/>
        <v>21</v>
      </c>
      <c r="AX80" s="10">
        <f t="shared" si="36"/>
        <v>14</v>
      </c>
      <c r="AY80" s="26">
        <f t="shared" si="37"/>
        <v>66.666666666666657</v>
      </c>
      <c r="AZ80" s="10">
        <f t="shared" si="38"/>
        <v>42</v>
      </c>
      <c r="BA80" s="10">
        <f t="shared" si="38"/>
        <v>27</v>
      </c>
      <c r="BB80" s="27">
        <f t="shared" si="39"/>
        <v>64.285714285714292</v>
      </c>
    </row>
    <row r="81" spans="1:54">
      <c r="A81" s="12">
        <v>75</v>
      </c>
      <c r="B81" s="13">
        <v>1230321074</v>
      </c>
      <c r="C81" s="14" t="s">
        <v>94</v>
      </c>
      <c r="D81" s="10">
        <v>2</v>
      </c>
      <c r="E81" s="10">
        <v>0</v>
      </c>
      <c r="F81" s="10">
        <f t="shared" si="20"/>
        <v>0</v>
      </c>
      <c r="G81" s="10">
        <v>2</v>
      </c>
      <c r="H81" s="10">
        <v>0</v>
      </c>
      <c r="I81" s="10">
        <f t="shared" si="21"/>
        <v>0</v>
      </c>
      <c r="J81" s="10">
        <v>3</v>
      </c>
      <c r="K81" s="10">
        <v>1</v>
      </c>
      <c r="L81" s="26">
        <f t="shared" si="22"/>
        <v>33.333333333333329</v>
      </c>
      <c r="M81" s="10">
        <v>3</v>
      </c>
      <c r="N81" s="10">
        <v>1</v>
      </c>
      <c r="O81" s="26">
        <f t="shared" si="23"/>
        <v>33.333333333333329</v>
      </c>
      <c r="P81" s="7">
        <v>4</v>
      </c>
      <c r="Q81" s="7">
        <v>3</v>
      </c>
      <c r="R81" s="26">
        <f t="shared" si="24"/>
        <v>75</v>
      </c>
      <c r="S81" s="18">
        <v>4</v>
      </c>
      <c r="T81" s="7">
        <v>3</v>
      </c>
      <c r="U81" s="26">
        <f t="shared" si="25"/>
        <v>75</v>
      </c>
      <c r="V81" s="7">
        <v>3</v>
      </c>
      <c r="W81" s="7">
        <v>2</v>
      </c>
      <c r="X81" s="26">
        <f t="shared" si="26"/>
        <v>66.666666666666657</v>
      </c>
      <c r="Y81" s="9">
        <v>3</v>
      </c>
      <c r="Z81" s="7">
        <v>2</v>
      </c>
      <c r="AA81" s="26">
        <f t="shared" si="27"/>
        <v>66.666666666666657</v>
      </c>
      <c r="AB81" s="7">
        <v>4</v>
      </c>
      <c r="AC81" s="7">
        <v>1</v>
      </c>
      <c r="AD81" s="26">
        <f t="shared" si="28"/>
        <v>25</v>
      </c>
      <c r="AE81" s="9">
        <v>4</v>
      </c>
      <c r="AF81" s="7">
        <v>1</v>
      </c>
      <c r="AG81" s="26">
        <f t="shared" si="29"/>
        <v>25</v>
      </c>
      <c r="AH81" s="7">
        <v>2</v>
      </c>
      <c r="AI81" s="7">
        <v>1</v>
      </c>
      <c r="AJ81" s="26">
        <f t="shared" si="30"/>
        <v>50</v>
      </c>
      <c r="AK81" s="9">
        <v>2</v>
      </c>
      <c r="AL81" s="7">
        <v>1</v>
      </c>
      <c r="AM81" s="26">
        <f t="shared" si="31"/>
        <v>50</v>
      </c>
      <c r="AN81" s="7">
        <v>3</v>
      </c>
      <c r="AO81" s="7">
        <v>2</v>
      </c>
      <c r="AP81" s="26">
        <f t="shared" si="32"/>
        <v>66.666666666666657</v>
      </c>
      <c r="AQ81" s="18">
        <v>3</v>
      </c>
      <c r="AR81" s="7">
        <v>2</v>
      </c>
      <c r="AS81" s="26">
        <f t="shared" si="33"/>
        <v>66.666666666666657</v>
      </c>
      <c r="AT81" s="10">
        <f t="shared" si="34"/>
        <v>21</v>
      </c>
      <c r="AU81" s="10">
        <f t="shared" si="34"/>
        <v>10</v>
      </c>
      <c r="AV81" s="26">
        <f t="shared" si="35"/>
        <v>47.619047619047613</v>
      </c>
      <c r="AW81" s="10">
        <f t="shared" si="36"/>
        <v>21</v>
      </c>
      <c r="AX81" s="10">
        <f t="shared" si="36"/>
        <v>10</v>
      </c>
      <c r="AY81" s="26">
        <f t="shared" si="37"/>
        <v>47.619047619047613</v>
      </c>
      <c r="AZ81" s="10">
        <f t="shared" si="38"/>
        <v>42</v>
      </c>
      <c r="BA81" s="10">
        <f t="shared" si="38"/>
        <v>20</v>
      </c>
      <c r="BB81" s="27">
        <f t="shared" si="39"/>
        <v>47.619047619047613</v>
      </c>
    </row>
    <row r="82" spans="1:54">
      <c r="A82" s="12">
        <v>76</v>
      </c>
      <c r="B82" s="13">
        <v>1230321075</v>
      </c>
      <c r="C82" s="14" t="s">
        <v>95</v>
      </c>
      <c r="D82" s="10">
        <v>2</v>
      </c>
      <c r="E82" s="10">
        <v>1</v>
      </c>
      <c r="F82" s="10">
        <f t="shared" si="20"/>
        <v>50</v>
      </c>
      <c r="G82" s="10">
        <v>2</v>
      </c>
      <c r="H82" s="10">
        <v>1</v>
      </c>
      <c r="I82" s="10">
        <f t="shared" si="21"/>
        <v>50</v>
      </c>
      <c r="J82" s="10">
        <v>3</v>
      </c>
      <c r="K82" s="10">
        <v>2</v>
      </c>
      <c r="L82" s="26">
        <f t="shared" si="22"/>
        <v>66.666666666666657</v>
      </c>
      <c r="M82" s="10">
        <v>3</v>
      </c>
      <c r="N82" s="10">
        <v>2</v>
      </c>
      <c r="O82" s="26">
        <f t="shared" si="23"/>
        <v>66.666666666666657</v>
      </c>
      <c r="P82" s="7">
        <v>4</v>
      </c>
      <c r="Q82" s="7">
        <v>4</v>
      </c>
      <c r="R82" s="26">
        <f t="shared" si="24"/>
        <v>100</v>
      </c>
      <c r="S82" s="18">
        <v>4</v>
      </c>
      <c r="T82" s="7">
        <v>4</v>
      </c>
      <c r="U82" s="26">
        <f t="shared" si="25"/>
        <v>100</v>
      </c>
      <c r="V82" s="7">
        <v>3</v>
      </c>
      <c r="W82" s="7">
        <v>1</v>
      </c>
      <c r="X82" s="26">
        <f t="shared" si="26"/>
        <v>33.333333333333329</v>
      </c>
      <c r="Y82" s="9">
        <v>3</v>
      </c>
      <c r="Z82" s="7">
        <v>0</v>
      </c>
      <c r="AA82" s="26">
        <f t="shared" si="27"/>
        <v>0</v>
      </c>
      <c r="AB82" s="7">
        <v>4</v>
      </c>
      <c r="AC82" s="7">
        <v>1</v>
      </c>
      <c r="AD82" s="26">
        <f t="shared" si="28"/>
        <v>25</v>
      </c>
      <c r="AE82" s="9">
        <v>4</v>
      </c>
      <c r="AF82" s="7">
        <v>0</v>
      </c>
      <c r="AG82" s="26">
        <f t="shared" si="29"/>
        <v>0</v>
      </c>
      <c r="AH82" s="7">
        <v>2</v>
      </c>
      <c r="AI82" s="7">
        <v>1</v>
      </c>
      <c r="AJ82" s="26">
        <f t="shared" si="30"/>
        <v>50</v>
      </c>
      <c r="AK82" s="9">
        <v>2</v>
      </c>
      <c r="AL82" s="7">
        <v>1</v>
      </c>
      <c r="AM82" s="26">
        <f t="shared" si="31"/>
        <v>50</v>
      </c>
      <c r="AN82" s="7">
        <v>3</v>
      </c>
      <c r="AO82" s="7">
        <v>3</v>
      </c>
      <c r="AP82" s="26">
        <f t="shared" si="32"/>
        <v>100</v>
      </c>
      <c r="AQ82" s="18">
        <v>3</v>
      </c>
      <c r="AR82" s="7">
        <v>3</v>
      </c>
      <c r="AS82" s="26">
        <f t="shared" si="33"/>
        <v>100</v>
      </c>
      <c r="AT82" s="10">
        <f t="shared" si="34"/>
        <v>21</v>
      </c>
      <c r="AU82" s="10">
        <f t="shared" si="34"/>
        <v>13</v>
      </c>
      <c r="AV82" s="26">
        <f t="shared" si="35"/>
        <v>61.904761904761905</v>
      </c>
      <c r="AW82" s="10">
        <f t="shared" si="36"/>
        <v>21</v>
      </c>
      <c r="AX82" s="10">
        <f t="shared" si="36"/>
        <v>11</v>
      </c>
      <c r="AY82" s="26">
        <f t="shared" si="37"/>
        <v>52.380952380952387</v>
      </c>
      <c r="AZ82" s="10">
        <f t="shared" si="38"/>
        <v>42</v>
      </c>
      <c r="BA82" s="10">
        <f t="shared" si="38"/>
        <v>24</v>
      </c>
      <c r="BB82" s="27">
        <f t="shared" si="39"/>
        <v>57.142857142857139</v>
      </c>
    </row>
    <row r="83" spans="1:54">
      <c r="A83" s="12">
        <v>77</v>
      </c>
      <c r="B83" s="13">
        <v>1230321076</v>
      </c>
      <c r="C83" s="14" t="s">
        <v>96</v>
      </c>
      <c r="D83" s="10">
        <v>2</v>
      </c>
      <c r="E83" s="10">
        <v>2</v>
      </c>
      <c r="F83" s="10">
        <f t="shared" si="20"/>
        <v>100</v>
      </c>
      <c r="G83" s="10">
        <v>2</v>
      </c>
      <c r="H83" s="10">
        <v>2</v>
      </c>
      <c r="I83" s="10">
        <f t="shared" si="21"/>
        <v>100</v>
      </c>
      <c r="J83" s="10">
        <v>3</v>
      </c>
      <c r="K83" s="10">
        <v>3</v>
      </c>
      <c r="L83" s="26">
        <f t="shared" si="22"/>
        <v>100</v>
      </c>
      <c r="M83" s="10">
        <v>3</v>
      </c>
      <c r="N83" s="10">
        <v>3</v>
      </c>
      <c r="O83" s="26">
        <f t="shared" si="23"/>
        <v>100</v>
      </c>
      <c r="P83" s="7">
        <v>4</v>
      </c>
      <c r="Q83" s="7">
        <v>4</v>
      </c>
      <c r="R83" s="26">
        <f t="shared" si="24"/>
        <v>100</v>
      </c>
      <c r="S83" s="18">
        <v>4</v>
      </c>
      <c r="T83" s="7">
        <v>4</v>
      </c>
      <c r="U83" s="26">
        <f t="shared" si="25"/>
        <v>100</v>
      </c>
      <c r="V83" s="7">
        <v>3</v>
      </c>
      <c r="W83" s="7">
        <v>2</v>
      </c>
      <c r="X83" s="26">
        <f t="shared" si="26"/>
        <v>66.666666666666657</v>
      </c>
      <c r="Y83" s="9">
        <v>3</v>
      </c>
      <c r="Z83" s="7">
        <v>2</v>
      </c>
      <c r="AA83" s="26">
        <f t="shared" si="27"/>
        <v>66.666666666666657</v>
      </c>
      <c r="AB83" s="7">
        <v>4</v>
      </c>
      <c r="AC83" s="7">
        <v>3</v>
      </c>
      <c r="AD83" s="26">
        <f t="shared" si="28"/>
        <v>75</v>
      </c>
      <c r="AE83" s="9">
        <v>4</v>
      </c>
      <c r="AF83" s="7">
        <v>3</v>
      </c>
      <c r="AG83" s="26">
        <f t="shared" si="29"/>
        <v>75</v>
      </c>
      <c r="AH83" s="7">
        <v>2</v>
      </c>
      <c r="AI83" s="7">
        <v>2</v>
      </c>
      <c r="AJ83" s="26">
        <f t="shared" si="30"/>
        <v>100</v>
      </c>
      <c r="AK83" s="9">
        <v>2</v>
      </c>
      <c r="AL83" s="7">
        <v>2</v>
      </c>
      <c r="AM83" s="26">
        <f t="shared" si="31"/>
        <v>100</v>
      </c>
      <c r="AN83" s="7">
        <v>3</v>
      </c>
      <c r="AO83" s="7">
        <v>3</v>
      </c>
      <c r="AP83" s="26">
        <f t="shared" si="32"/>
        <v>100</v>
      </c>
      <c r="AQ83" s="18">
        <v>3</v>
      </c>
      <c r="AR83" s="7">
        <v>3</v>
      </c>
      <c r="AS83" s="26">
        <f t="shared" si="33"/>
        <v>100</v>
      </c>
      <c r="AT83" s="10">
        <f t="shared" si="34"/>
        <v>21</v>
      </c>
      <c r="AU83" s="10">
        <f t="shared" si="34"/>
        <v>19</v>
      </c>
      <c r="AV83" s="26">
        <f t="shared" si="35"/>
        <v>90.476190476190482</v>
      </c>
      <c r="AW83" s="10">
        <f t="shared" si="36"/>
        <v>21</v>
      </c>
      <c r="AX83" s="10">
        <f t="shared" si="36"/>
        <v>19</v>
      </c>
      <c r="AY83" s="26">
        <f t="shared" si="37"/>
        <v>90.476190476190482</v>
      </c>
      <c r="AZ83" s="10">
        <f t="shared" si="38"/>
        <v>42</v>
      </c>
      <c r="BA83" s="10">
        <f t="shared" si="38"/>
        <v>38</v>
      </c>
      <c r="BB83" s="27">
        <f t="shared" si="39"/>
        <v>90.476190476190482</v>
      </c>
    </row>
    <row r="84" spans="1:54" ht="16.5" customHeight="1">
      <c r="A84" s="65" t="s">
        <v>97</v>
      </c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7"/>
    </row>
    <row r="85" spans="1:54">
      <c r="A85" s="12">
        <v>78</v>
      </c>
      <c r="B85" s="13" t="s">
        <v>0</v>
      </c>
      <c r="C85" s="14" t="s">
        <v>103</v>
      </c>
      <c r="D85" s="7">
        <v>2</v>
      </c>
      <c r="E85" s="7">
        <v>0</v>
      </c>
      <c r="F85" s="7">
        <v>0</v>
      </c>
      <c r="G85" s="7">
        <v>2</v>
      </c>
      <c r="H85" s="7">
        <v>0</v>
      </c>
      <c r="I85" s="7">
        <v>0</v>
      </c>
      <c r="J85" s="7">
        <v>3</v>
      </c>
      <c r="K85" s="7">
        <v>0</v>
      </c>
      <c r="L85" s="26">
        <f t="shared" si="22"/>
        <v>0</v>
      </c>
      <c r="M85" s="7">
        <v>3</v>
      </c>
      <c r="N85" s="7">
        <v>0</v>
      </c>
      <c r="O85" s="26">
        <f t="shared" si="23"/>
        <v>0</v>
      </c>
      <c r="P85" s="7">
        <v>4</v>
      </c>
      <c r="Q85" s="7">
        <v>0</v>
      </c>
      <c r="R85" s="26">
        <f t="shared" si="24"/>
        <v>0</v>
      </c>
      <c r="S85" s="7">
        <v>4</v>
      </c>
      <c r="T85" s="7">
        <v>0</v>
      </c>
      <c r="U85" s="26">
        <f t="shared" si="25"/>
        <v>0</v>
      </c>
      <c r="V85" s="7">
        <v>3</v>
      </c>
      <c r="W85" s="7">
        <v>0</v>
      </c>
      <c r="X85" s="7">
        <v>0</v>
      </c>
      <c r="Y85" s="7">
        <v>3</v>
      </c>
      <c r="Z85" s="7">
        <v>0</v>
      </c>
      <c r="AA85" s="7">
        <v>0</v>
      </c>
      <c r="AB85" s="7">
        <v>4</v>
      </c>
      <c r="AC85" s="7">
        <v>0</v>
      </c>
      <c r="AD85" s="7">
        <v>0</v>
      </c>
      <c r="AE85" s="7">
        <v>4</v>
      </c>
      <c r="AF85" s="7">
        <v>0</v>
      </c>
      <c r="AG85" s="7">
        <v>0</v>
      </c>
      <c r="AH85" s="7">
        <v>2</v>
      </c>
      <c r="AI85" s="7">
        <v>0</v>
      </c>
      <c r="AJ85" s="26">
        <f t="shared" si="30"/>
        <v>0</v>
      </c>
      <c r="AK85" s="7">
        <v>2</v>
      </c>
      <c r="AL85" s="7">
        <v>0</v>
      </c>
      <c r="AM85" s="26">
        <f t="shared" si="31"/>
        <v>0</v>
      </c>
      <c r="AN85" s="7">
        <v>3</v>
      </c>
      <c r="AO85" s="7">
        <v>0</v>
      </c>
      <c r="AP85" s="7">
        <v>0</v>
      </c>
      <c r="AQ85" s="7">
        <v>3</v>
      </c>
      <c r="AR85" s="7">
        <v>3</v>
      </c>
      <c r="AS85" s="7">
        <v>0</v>
      </c>
      <c r="AT85" s="10">
        <f t="shared" ref="AT85:AT88" si="40">SUM(D85,J85,P85,V85,AB85,AH85,AN85)</f>
        <v>21</v>
      </c>
      <c r="AU85" s="10">
        <f t="shared" ref="AU85:AU88" si="41">SUM(E85,K85,Q85,W85,AC85,AI85,AO85)</f>
        <v>0</v>
      </c>
      <c r="AV85" s="26">
        <f t="shared" ref="AV85:AV88" si="42">AU85/AT85*100</f>
        <v>0</v>
      </c>
      <c r="AW85" s="10">
        <f t="shared" ref="AW85:AW88" si="43">SUM(G85,M85,S85,Y85,AE85,AK85,AQ85)</f>
        <v>21</v>
      </c>
      <c r="AX85" s="10">
        <f t="shared" ref="AX85:AX88" si="44">SUM(H85,N85,T85,Z85,AF85,AL85,AR85)</f>
        <v>3</v>
      </c>
      <c r="AY85" s="26">
        <f t="shared" ref="AY85:AY88" si="45">AX85/AW85*100</f>
        <v>14.285714285714285</v>
      </c>
      <c r="AZ85" s="10">
        <f t="shared" ref="AZ85:AZ88" si="46">SUM(AT85,AW85)</f>
        <v>42</v>
      </c>
      <c r="BA85" s="10">
        <f t="shared" ref="BA85:BA88" si="47">SUM(AU85,AX85)</f>
        <v>3</v>
      </c>
      <c r="BB85" s="27">
        <f t="shared" ref="BB85:BB88" si="48">BA85/AZ85*100</f>
        <v>7.1428571428571423</v>
      </c>
    </row>
    <row r="86" spans="1:54">
      <c r="A86" s="65" t="s">
        <v>98</v>
      </c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7"/>
    </row>
    <row r="87" spans="1:54">
      <c r="A87" s="12">
        <v>1</v>
      </c>
      <c r="B87" s="15">
        <v>1220321025</v>
      </c>
      <c r="C87" s="15" t="s">
        <v>99</v>
      </c>
      <c r="D87" s="7">
        <v>2</v>
      </c>
      <c r="E87" s="7">
        <v>0</v>
      </c>
      <c r="F87" s="7">
        <v>0</v>
      </c>
      <c r="G87" s="7">
        <v>2</v>
      </c>
      <c r="H87" s="7">
        <v>0</v>
      </c>
      <c r="I87" s="7">
        <v>0</v>
      </c>
      <c r="J87" s="7">
        <v>3</v>
      </c>
      <c r="K87" s="7">
        <v>0</v>
      </c>
      <c r="L87" s="26">
        <f t="shared" si="22"/>
        <v>0</v>
      </c>
      <c r="M87" s="7">
        <v>3</v>
      </c>
      <c r="N87" s="7">
        <v>0</v>
      </c>
      <c r="O87" s="26">
        <f t="shared" si="23"/>
        <v>0</v>
      </c>
      <c r="P87" s="7">
        <v>4</v>
      </c>
      <c r="Q87" s="7">
        <v>0</v>
      </c>
      <c r="R87" s="26">
        <f t="shared" si="24"/>
        <v>0</v>
      </c>
      <c r="S87" s="7">
        <v>4</v>
      </c>
      <c r="T87" s="7">
        <v>0</v>
      </c>
      <c r="U87" s="26">
        <f t="shared" si="25"/>
        <v>0</v>
      </c>
      <c r="V87" s="7">
        <v>3</v>
      </c>
      <c r="W87" s="7">
        <v>0</v>
      </c>
      <c r="X87" s="7">
        <v>0</v>
      </c>
      <c r="Y87" s="7">
        <v>3</v>
      </c>
      <c r="Z87" s="7">
        <v>0</v>
      </c>
      <c r="AA87" s="7">
        <v>0</v>
      </c>
      <c r="AB87" s="7">
        <v>4</v>
      </c>
      <c r="AC87" s="7">
        <v>0</v>
      </c>
      <c r="AD87" s="7">
        <v>0</v>
      </c>
      <c r="AE87" s="7">
        <v>4</v>
      </c>
      <c r="AF87" s="7">
        <v>0</v>
      </c>
      <c r="AG87" s="7">
        <v>0</v>
      </c>
      <c r="AH87" s="7">
        <v>2</v>
      </c>
      <c r="AI87" s="7">
        <v>0</v>
      </c>
      <c r="AJ87" s="26">
        <f t="shared" si="30"/>
        <v>0</v>
      </c>
      <c r="AK87" s="7">
        <v>2</v>
      </c>
      <c r="AL87" s="7">
        <v>0</v>
      </c>
      <c r="AM87" s="26">
        <f t="shared" si="31"/>
        <v>0</v>
      </c>
      <c r="AN87" s="7">
        <v>3</v>
      </c>
      <c r="AO87" s="7">
        <v>1</v>
      </c>
      <c r="AP87" s="7">
        <v>0</v>
      </c>
      <c r="AQ87" s="7">
        <v>3</v>
      </c>
      <c r="AR87" s="7">
        <v>1</v>
      </c>
      <c r="AS87" s="7">
        <v>0</v>
      </c>
      <c r="AT87" s="10">
        <f t="shared" si="40"/>
        <v>21</v>
      </c>
      <c r="AU87" s="10">
        <f t="shared" si="41"/>
        <v>1</v>
      </c>
      <c r="AV87" s="26">
        <f t="shared" si="42"/>
        <v>4.7619047619047619</v>
      </c>
      <c r="AW87" s="10">
        <f t="shared" si="43"/>
        <v>21</v>
      </c>
      <c r="AX87" s="10">
        <f t="shared" si="44"/>
        <v>1</v>
      </c>
      <c r="AY87" s="26">
        <f t="shared" si="45"/>
        <v>4.7619047619047619</v>
      </c>
      <c r="AZ87" s="10">
        <f t="shared" si="46"/>
        <v>42</v>
      </c>
      <c r="BA87" s="10">
        <f t="shared" si="47"/>
        <v>2</v>
      </c>
      <c r="BB87" s="27">
        <f t="shared" si="48"/>
        <v>4.7619047619047619</v>
      </c>
    </row>
    <row r="88" spans="1:54">
      <c r="A88" s="12">
        <v>2</v>
      </c>
      <c r="B88" s="15">
        <v>1230321051</v>
      </c>
      <c r="C88" s="15" t="s">
        <v>104</v>
      </c>
      <c r="D88" s="7">
        <v>2</v>
      </c>
      <c r="E88" s="7">
        <v>0</v>
      </c>
      <c r="F88" s="7">
        <v>0</v>
      </c>
      <c r="G88" s="7">
        <v>2</v>
      </c>
      <c r="H88" s="7">
        <v>0</v>
      </c>
      <c r="I88" s="7">
        <v>0</v>
      </c>
      <c r="J88" s="7">
        <v>3</v>
      </c>
      <c r="K88" s="7">
        <v>3</v>
      </c>
      <c r="L88" s="26">
        <f t="shared" si="22"/>
        <v>100</v>
      </c>
      <c r="M88" s="7">
        <v>3</v>
      </c>
      <c r="N88" s="7">
        <v>3</v>
      </c>
      <c r="O88" s="26">
        <f t="shared" si="23"/>
        <v>100</v>
      </c>
      <c r="P88" s="7">
        <v>4</v>
      </c>
      <c r="Q88" s="7">
        <v>2</v>
      </c>
      <c r="R88" s="26">
        <f t="shared" si="24"/>
        <v>50</v>
      </c>
      <c r="S88" s="7">
        <v>4</v>
      </c>
      <c r="T88" s="7">
        <v>2</v>
      </c>
      <c r="U88" s="26">
        <f t="shared" si="25"/>
        <v>50</v>
      </c>
      <c r="V88" s="7">
        <v>3</v>
      </c>
      <c r="W88" s="7">
        <v>2</v>
      </c>
      <c r="X88" s="7">
        <v>0</v>
      </c>
      <c r="Y88" s="7">
        <v>3</v>
      </c>
      <c r="Z88" s="7">
        <v>2</v>
      </c>
      <c r="AA88" s="7">
        <v>0</v>
      </c>
      <c r="AB88" s="7">
        <v>4</v>
      </c>
      <c r="AC88" s="7">
        <v>1</v>
      </c>
      <c r="AD88" s="7">
        <v>0</v>
      </c>
      <c r="AE88" s="7">
        <v>4</v>
      </c>
      <c r="AF88" s="7">
        <v>1</v>
      </c>
      <c r="AG88" s="7">
        <v>0</v>
      </c>
      <c r="AH88" s="7">
        <v>2</v>
      </c>
      <c r="AI88" s="7">
        <v>1</v>
      </c>
      <c r="AJ88" s="26">
        <f t="shared" si="30"/>
        <v>50</v>
      </c>
      <c r="AK88" s="7">
        <v>2</v>
      </c>
      <c r="AL88" s="7">
        <v>1</v>
      </c>
      <c r="AM88" s="26">
        <f t="shared" si="31"/>
        <v>50</v>
      </c>
      <c r="AN88" s="7">
        <v>3</v>
      </c>
      <c r="AO88" s="7">
        <v>3</v>
      </c>
      <c r="AP88" s="7">
        <v>0</v>
      </c>
      <c r="AQ88" s="7">
        <v>3</v>
      </c>
      <c r="AR88" s="7">
        <v>3</v>
      </c>
      <c r="AS88" s="7">
        <v>0</v>
      </c>
      <c r="AT88" s="10">
        <f t="shared" si="40"/>
        <v>21</v>
      </c>
      <c r="AU88" s="10">
        <f t="shared" si="41"/>
        <v>12</v>
      </c>
      <c r="AV88" s="26">
        <f t="shared" si="42"/>
        <v>57.142857142857139</v>
      </c>
      <c r="AW88" s="10">
        <f t="shared" si="43"/>
        <v>21</v>
      </c>
      <c r="AX88" s="10">
        <f t="shared" si="44"/>
        <v>12</v>
      </c>
      <c r="AY88" s="26">
        <f t="shared" si="45"/>
        <v>57.142857142857139</v>
      </c>
      <c r="AZ88" s="10">
        <f t="shared" si="46"/>
        <v>42</v>
      </c>
      <c r="BA88" s="10">
        <f t="shared" si="47"/>
        <v>24</v>
      </c>
      <c r="BB88" s="27">
        <f t="shared" si="48"/>
        <v>57.142857142857139</v>
      </c>
    </row>
  </sheetData>
  <mergeCells count="17">
    <mergeCell ref="D5:I5"/>
    <mergeCell ref="A84:BB84"/>
    <mergeCell ref="A86:BB86"/>
    <mergeCell ref="AT5:BB5"/>
    <mergeCell ref="A1:BB1"/>
    <mergeCell ref="A2:BB2"/>
    <mergeCell ref="A3:BB3"/>
    <mergeCell ref="A4:BB4"/>
    <mergeCell ref="J5:O5"/>
    <mergeCell ref="P5:U5"/>
    <mergeCell ref="V5:AA5"/>
    <mergeCell ref="AB5:AG5"/>
    <mergeCell ref="AH5:AM5"/>
    <mergeCell ref="AN5:AS5"/>
    <mergeCell ref="A5:A6"/>
    <mergeCell ref="B5:B6"/>
    <mergeCell ref="C5:C6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BB88"/>
  <sheetViews>
    <sheetView topLeftCell="AG55" workbookViewId="0">
      <selection activeCell="BB71" sqref="BB71"/>
    </sheetView>
  </sheetViews>
  <sheetFormatPr defaultRowHeight="16.5"/>
  <cols>
    <col min="1" max="1" width="6.42578125" style="6" bestFit="1" customWidth="1"/>
    <col min="2" max="2" width="12.42578125" style="6" bestFit="1" customWidth="1"/>
    <col min="3" max="3" width="51.140625" style="6" bestFit="1" customWidth="1"/>
    <col min="4" max="4" width="8.42578125" style="6" bestFit="1" customWidth="1"/>
    <col min="5" max="5" width="10.28515625" style="6" bestFit="1" customWidth="1"/>
    <col min="6" max="6" width="6.140625" style="6" bestFit="1" customWidth="1"/>
    <col min="7" max="7" width="8.85546875" style="6" bestFit="1" customWidth="1"/>
    <col min="8" max="8" width="10.28515625" style="6" bestFit="1" customWidth="1"/>
    <col min="9" max="9" width="6.140625" style="6" bestFit="1" customWidth="1"/>
    <col min="10" max="10" width="8.42578125" style="6" bestFit="1" customWidth="1"/>
    <col min="11" max="11" width="10.28515625" style="6" bestFit="1" customWidth="1"/>
    <col min="12" max="12" width="6.140625" style="6" bestFit="1" customWidth="1"/>
    <col min="13" max="13" width="8.85546875" style="6" bestFit="1" customWidth="1"/>
    <col min="14" max="14" width="10.28515625" style="6" bestFit="1" customWidth="1"/>
    <col min="15" max="15" width="6.140625" style="6" bestFit="1" customWidth="1"/>
    <col min="16" max="16" width="8.42578125" style="6" customWidth="1"/>
    <col min="17" max="17" width="10.28515625" style="6" customWidth="1"/>
    <col min="18" max="18" width="6.140625" style="6" bestFit="1" customWidth="1"/>
    <col min="19" max="19" width="8.85546875" style="6" customWidth="1"/>
    <col min="20" max="20" width="10.28515625" style="6" customWidth="1"/>
    <col min="21" max="21" width="6.140625" style="6" bestFit="1" customWidth="1"/>
    <col min="22" max="22" width="8.42578125" style="6" bestFit="1" customWidth="1"/>
    <col min="23" max="23" width="10.28515625" style="6" bestFit="1" customWidth="1"/>
    <col min="24" max="24" width="6.140625" style="6" bestFit="1" customWidth="1"/>
    <col min="25" max="25" width="8.85546875" style="6" bestFit="1" customWidth="1"/>
    <col min="26" max="26" width="10.28515625" style="6" bestFit="1" customWidth="1"/>
    <col min="27" max="27" width="6.140625" style="6" bestFit="1" customWidth="1"/>
    <col min="28" max="28" width="8.42578125" style="6" bestFit="1" customWidth="1"/>
    <col min="29" max="29" width="10.28515625" style="6" bestFit="1" customWidth="1"/>
    <col min="30" max="30" width="5.5703125" style="6" bestFit="1" customWidth="1"/>
    <col min="31" max="31" width="8.85546875" style="6" bestFit="1" customWidth="1"/>
    <col min="32" max="32" width="10.28515625" style="6" bestFit="1" customWidth="1"/>
    <col min="33" max="33" width="5.5703125" style="6" bestFit="1" customWidth="1"/>
    <col min="34" max="34" width="8.42578125" style="6" bestFit="1" customWidth="1"/>
    <col min="35" max="35" width="10.28515625" style="6" bestFit="1" customWidth="1"/>
    <col min="36" max="36" width="6.140625" style="6" bestFit="1" customWidth="1"/>
    <col min="37" max="37" width="8.85546875" style="6" bestFit="1" customWidth="1"/>
    <col min="38" max="38" width="10.28515625" style="6" bestFit="1" customWidth="1"/>
    <col min="39" max="39" width="6.140625" style="6" bestFit="1" customWidth="1"/>
    <col min="40" max="40" width="8.42578125" style="6" bestFit="1" customWidth="1"/>
    <col min="41" max="41" width="10.28515625" style="6" bestFit="1" customWidth="1"/>
    <col min="42" max="42" width="2.85546875" style="6" bestFit="1" customWidth="1"/>
    <col min="43" max="43" width="8.85546875" style="6" bestFit="1" customWidth="1"/>
    <col min="44" max="44" width="10.28515625" style="6" bestFit="1" customWidth="1"/>
    <col min="45" max="45" width="2.85546875" style="6" bestFit="1" customWidth="1"/>
    <col min="46" max="16384" width="9.140625" style="6"/>
  </cols>
  <sheetData>
    <row r="1" spans="1:54" ht="18.75">
      <c r="A1" s="68" t="s">
        <v>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</row>
    <row r="2" spans="1:54" ht="18.75">
      <c r="A2" s="68" t="s">
        <v>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</row>
    <row r="3" spans="1:54" ht="18.75">
      <c r="A3" s="68" t="s">
        <v>22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</row>
    <row r="4" spans="1:54">
      <c r="A4" s="69" t="s">
        <v>110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</row>
    <row r="5" spans="1:54" ht="45.75" customHeight="1">
      <c r="A5" s="71" t="s">
        <v>3</v>
      </c>
      <c r="B5" s="71" t="s">
        <v>4</v>
      </c>
      <c r="C5" s="71" t="s">
        <v>5</v>
      </c>
      <c r="D5" s="70" t="s">
        <v>112</v>
      </c>
      <c r="E5" s="70"/>
      <c r="F5" s="70"/>
      <c r="G5" s="70"/>
      <c r="H5" s="70"/>
      <c r="I5" s="70"/>
      <c r="J5" s="70" t="s">
        <v>113</v>
      </c>
      <c r="K5" s="70"/>
      <c r="L5" s="70"/>
      <c r="M5" s="70"/>
      <c r="N5" s="70"/>
      <c r="O5" s="70"/>
      <c r="P5" s="70" t="s">
        <v>114</v>
      </c>
      <c r="Q5" s="70"/>
      <c r="R5" s="70"/>
      <c r="S5" s="70"/>
      <c r="T5" s="70"/>
      <c r="U5" s="70"/>
      <c r="V5" s="70" t="s">
        <v>115</v>
      </c>
      <c r="W5" s="70"/>
      <c r="X5" s="70"/>
      <c r="Y5" s="70"/>
      <c r="Z5" s="70"/>
      <c r="AA5" s="70"/>
      <c r="AB5" s="70" t="s">
        <v>116</v>
      </c>
      <c r="AC5" s="70"/>
      <c r="AD5" s="70"/>
      <c r="AE5" s="70"/>
      <c r="AF5" s="70"/>
      <c r="AG5" s="70"/>
      <c r="AH5" s="70" t="s">
        <v>117</v>
      </c>
      <c r="AI5" s="70"/>
      <c r="AJ5" s="70"/>
      <c r="AK5" s="70"/>
      <c r="AL5" s="70"/>
      <c r="AM5" s="70"/>
      <c r="AN5" s="70" t="s">
        <v>118</v>
      </c>
      <c r="AO5" s="70"/>
      <c r="AP5" s="70"/>
      <c r="AQ5" s="70"/>
      <c r="AR5" s="70"/>
      <c r="AS5" s="70"/>
      <c r="AT5" s="64" t="s">
        <v>127</v>
      </c>
      <c r="AU5" s="64"/>
      <c r="AV5" s="64"/>
      <c r="AW5" s="64"/>
      <c r="AX5" s="64"/>
      <c r="AY5" s="64"/>
      <c r="AZ5" s="64"/>
      <c r="BA5" s="64"/>
      <c r="BB5" s="64"/>
    </row>
    <row r="6" spans="1:54" ht="30">
      <c r="A6" s="71"/>
      <c r="B6" s="71"/>
      <c r="C6" s="71"/>
      <c r="D6" s="17" t="s">
        <v>6</v>
      </c>
      <c r="E6" s="17" t="s">
        <v>7</v>
      </c>
      <c r="F6" s="17" t="s">
        <v>8</v>
      </c>
      <c r="G6" s="17" t="s">
        <v>9</v>
      </c>
      <c r="H6" s="17" t="s">
        <v>10</v>
      </c>
      <c r="I6" s="17" t="s">
        <v>8</v>
      </c>
      <c r="J6" s="17" t="s">
        <v>6</v>
      </c>
      <c r="K6" s="17" t="s">
        <v>7</v>
      </c>
      <c r="L6" s="17" t="s">
        <v>8</v>
      </c>
      <c r="M6" s="17" t="s">
        <v>9</v>
      </c>
      <c r="N6" s="17" t="s">
        <v>10</v>
      </c>
      <c r="O6" s="17" t="s">
        <v>8</v>
      </c>
      <c r="P6" s="17" t="s">
        <v>6</v>
      </c>
      <c r="Q6" s="17" t="s">
        <v>7</v>
      </c>
      <c r="R6" s="17" t="s">
        <v>8</v>
      </c>
      <c r="S6" s="17" t="s">
        <v>9</v>
      </c>
      <c r="T6" s="17" t="s">
        <v>10</v>
      </c>
      <c r="U6" s="17" t="s">
        <v>8</v>
      </c>
      <c r="V6" s="17" t="s">
        <v>6</v>
      </c>
      <c r="W6" s="17" t="s">
        <v>7</v>
      </c>
      <c r="X6" s="17" t="s">
        <v>8</v>
      </c>
      <c r="Y6" s="17" t="s">
        <v>9</v>
      </c>
      <c r="Z6" s="17" t="s">
        <v>10</v>
      </c>
      <c r="AA6" s="17" t="s">
        <v>8</v>
      </c>
      <c r="AB6" s="17" t="s">
        <v>6</v>
      </c>
      <c r="AC6" s="17" t="s">
        <v>7</v>
      </c>
      <c r="AD6" s="17" t="s">
        <v>8</v>
      </c>
      <c r="AE6" s="17" t="s">
        <v>9</v>
      </c>
      <c r="AF6" s="17" t="s">
        <v>10</v>
      </c>
      <c r="AG6" s="17" t="s">
        <v>8</v>
      </c>
      <c r="AH6" s="17" t="s">
        <v>6</v>
      </c>
      <c r="AI6" s="17" t="s">
        <v>7</v>
      </c>
      <c r="AJ6" s="17" t="s">
        <v>8</v>
      </c>
      <c r="AK6" s="17" t="s">
        <v>9</v>
      </c>
      <c r="AL6" s="17" t="s">
        <v>10</v>
      </c>
      <c r="AM6" s="17" t="s">
        <v>8</v>
      </c>
      <c r="AN6" s="17" t="s">
        <v>6</v>
      </c>
      <c r="AO6" s="17" t="s">
        <v>7</v>
      </c>
      <c r="AP6" s="17" t="s">
        <v>8</v>
      </c>
      <c r="AQ6" s="17" t="s">
        <v>9</v>
      </c>
      <c r="AR6" s="17" t="s">
        <v>10</v>
      </c>
      <c r="AS6" s="17" t="s">
        <v>8</v>
      </c>
      <c r="AT6" s="24" t="s">
        <v>119</v>
      </c>
      <c r="AU6" s="24" t="s">
        <v>120</v>
      </c>
      <c r="AV6" s="24" t="s">
        <v>121</v>
      </c>
      <c r="AW6" s="24" t="s">
        <v>122</v>
      </c>
      <c r="AX6" s="24" t="s">
        <v>123</v>
      </c>
      <c r="AY6" s="25" t="s">
        <v>121</v>
      </c>
      <c r="AZ6" s="17" t="s">
        <v>124</v>
      </c>
      <c r="BA6" s="17" t="s">
        <v>125</v>
      </c>
      <c r="BB6" s="17" t="s">
        <v>126</v>
      </c>
    </row>
    <row r="7" spans="1:54">
      <c r="A7" s="12">
        <v>1</v>
      </c>
      <c r="B7" s="13">
        <v>1220321013</v>
      </c>
      <c r="C7" s="14" t="s">
        <v>23</v>
      </c>
      <c r="D7" s="7">
        <v>4</v>
      </c>
      <c r="E7" s="7">
        <v>4</v>
      </c>
      <c r="F7" s="8">
        <f>E7/D7*100</f>
        <v>100</v>
      </c>
      <c r="G7" s="7">
        <v>2</v>
      </c>
      <c r="H7" s="7">
        <v>2</v>
      </c>
      <c r="I7" s="8">
        <f>H7/G7*100</f>
        <v>100</v>
      </c>
      <c r="J7" s="7">
        <v>8</v>
      </c>
      <c r="K7" s="7">
        <v>3</v>
      </c>
      <c r="L7" s="8">
        <f>K7/J7*100</f>
        <v>37.5</v>
      </c>
      <c r="M7" s="9">
        <v>5</v>
      </c>
      <c r="N7" s="9">
        <v>0</v>
      </c>
      <c r="O7" s="8">
        <f>N7/M7*100</f>
        <v>0</v>
      </c>
      <c r="P7" s="7">
        <v>4</v>
      </c>
      <c r="Q7" s="7">
        <v>0</v>
      </c>
      <c r="R7" s="26">
        <f>Q7/P7*100</f>
        <v>0</v>
      </c>
      <c r="S7" s="18">
        <v>4</v>
      </c>
      <c r="T7" s="9">
        <v>0</v>
      </c>
      <c r="U7" s="26">
        <f>T7/S7*100</f>
        <v>0</v>
      </c>
      <c r="V7" s="7">
        <v>6</v>
      </c>
      <c r="W7" s="7">
        <v>0</v>
      </c>
      <c r="X7" s="8">
        <f>W7/V7*100</f>
        <v>0</v>
      </c>
      <c r="Y7" s="9">
        <v>3</v>
      </c>
      <c r="Z7" s="9">
        <v>0</v>
      </c>
      <c r="AA7" s="8">
        <f>Z7/Y7*100</f>
        <v>0</v>
      </c>
      <c r="AB7" s="40">
        <v>4</v>
      </c>
      <c r="AC7" s="40">
        <v>2</v>
      </c>
      <c r="AD7" s="41">
        <f t="shared" ref="AD7:AD70" si="0">AC7/AB7*100</f>
        <v>50</v>
      </c>
      <c r="AE7" s="42">
        <v>4</v>
      </c>
      <c r="AF7" s="42">
        <v>1</v>
      </c>
      <c r="AG7" s="41">
        <f t="shared" ref="AG7:AG70" si="1">AF7/AE7*100</f>
        <v>25</v>
      </c>
      <c r="AH7" s="7">
        <v>8</v>
      </c>
      <c r="AI7" s="7">
        <v>2</v>
      </c>
      <c r="AJ7" s="8">
        <f>AI7/AH7*100</f>
        <v>25</v>
      </c>
      <c r="AK7" s="9">
        <v>6</v>
      </c>
      <c r="AL7" s="9">
        <v>0</v>
      </c>
      <c r="AM7" s="8">
        <f>AL7/AK7*100</f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10">
        <f>SUM(D7,J7,P7,V7,AB7,AH7,AN7)</f>
        <v>34</v>
      </c>
      <c r="AU7" s="10">
        <f>SUM(E7,K7,Q7,W7,AC7,AI7,AO7)</f>
        <v>11</v>
      </c>
      <c r="AV7" s="26">
        <f>AU7/AT7*100</f>
        <v>32.352941176470587</v>
      </c>
      <c r="AW7" s="10">
        <f>SUM(G7,M7,S7,Y7,AE7,AK7,AQ7)</f>
        <v>24</v>
      </c>
      <c r="AX7" s="10">
        <f>SUM(H7,N7,T7,Z7,AF7,AL7,AR7)</f>
        <v>3</v>
      </c>
      <c r="AY7" s="26">
        <f>AX7/AW7*100</f>
        <v>12.5</v>
      </c>
      <c r="AZ7" s="10">
        <f>SUM(AT7,AW7)</f>
        <v>58</v>
      </c>
      <c r="BA7" s="10">
        <f>SUM(AU7,AX7)</f>
        <v>14</v>
      </c>
      <c r="BB7" s="27">
        <f>BA7/AZ7*100</f>
        <v>24.137931034482758</v>
      </c>
    </row>
    <row r="8" spans="1:54">
      <c r="A8" s="12">
        <v>2</v>
      </c>
      <c r="B8" s="13">
        <v>1220321039</v>
      </c>
      <c r="C8" s="14" t="s">
        <v>24</v>
      </c>
      <c r="D8" s="7">
        <v>4</v>
      </c>
      <c r="E8" s="7">
        <v>2</v>
      </c>
      <c r="F8" s="8">
        <f t="shared" ref="F8:F71" si="2">E8/D8*100</f>
        <v>50</v>
      </c>
      <c r="G8" s="7">
        <v>2</v>
      </c>
      <c r="H8" s="7">
        <v>1</v>
      </c>
      <c r="I8" s="8">
        <f t="shared" ref="I8:I71" si="3">H8/G8*100</f>
        <v>50</v>
      </c>
      <c r="J8" s="7">
        <v>8</v>
      </c>
      <c r="K8" s="7">
        <v>6</v>
      </c>
      <c r="L8" s="8">
        <f t="shared" ref="L8:L71" si="4">K8/J8*100</f>
        <v>75</v>
      </c>
      <c r="M8" s="9">
        <v>5</v>
      </c>
      <c r="N8" s="9">
        <v>3</v>
      </c>
      <c r="O8" s="8">
        <f t="shared" ref="O8:O71" si="5">N8/M8*100</f>
        <v>60</v>
      </c>
      <c r="P8" s="7">
        <v>4</v>
      </c>
      <c r="Q8" s="7">
        <v>2</v>
      </c>
      <c r="R8" s="26">
        <f t="shared" ref="R8:R71" si="6">Q8/P8*100</f>
        <v>50</v>
      </c>
      <c r="S8" s="18">
        <v>4</v>
      </c>
      <c r="T8" s="9">
        <v>2</v>
      </c>
      <c r="U8" s="26">
        <f t="shared" ref="U8:U71" si="7">T8/S8*100</f>
        <v>50</v>
      </c>
      <c r="V8" s="7">
        <v>6</v>
      </c>
      <c r="W8" s="7">
        <v>3</v>
      </c>
      <c r="X8" s="8">
        <f t="shared" ref="X8:X71" si="8">W8/V8*100</f>
        <v>50</v>
      </c>
      <c r="Y8" s="9">
        <v>3</v>
      </c>
      <c r="Z8" s="9">
        <v>2</v>
      </c>
      <c r="AA8" s="8">
        <f t="shared" ref="AA8:AA71" si="9">Z8/Y8*100</f>
        <v>66.666666666666657</v>
      </c>
      <c r="AB8" s="40">
        <v>4</v>
      </c>
      <c r="AC8" s="40">
        <v>2</v>
      </c>
      <c r="AD8" s="41">
        <f t="shared" si="0"/>
        <v>50</v>
      </c>
      <c r="AE8" s="42">
        <v>4</v>
      </c>
      <c r="AF8" s="42">
        <v>2</v>
      </c>
      <c r="AG8" s="41">
        <f t="shared" si="1"/>
        <v>50</v>
      </c>
      <c r="AH8" s="7">
        <v>8</v>
      </c>
      <c r="AI8" s="7">
        <v>4</v>
      </c>
      <c r="AJ8" s="8">
        <f t="shared" ref="AJ8:AJ71" si="10">AI8/AH8*100</f>
        <v>50</v>
      </c>
      <c r="AK8" s="9">
        <v>6</v>
      </c>
      <c r="AL8" s="9">
        <v>4</v>
      </c>
      <c r="AM8" s="8">
        <f t="shared" ref="AM8:AM71" si="11">AL8/AK8*100</f>
        <v>66.666666666666657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9">
        <v>0</v>
      </c>
      <c r="AT8" s="10">
        <f t="shared" ref="AT8:AU71" si="12">SUM(D8,J8,P8,V8,AB8,AH8,AN8)</f>
        <v>34</v>
      </c>
      <c r="AU8" s="10">
        <f t="shared" si="12"/>
        <v>19</v>
      </c>
      <c r="AV8" s="26">
        <f t="shared" ref="AV8:AV71" si="13">AU8/AT8*100</f>
        <v>55.882352941176471</v>
      </c>
      <c r="AW8" s="10">
        <f t="shared" ref="AW8:AX71" si="14">SUM(G8,M8,S8,Y8,AE8,AK8,AQ8)</f>
        <v>24</v>
      </c>
      <c r="AX8" s="10">
        <f t="shared" si="14"/>
        <v>14</v>
      </c>
      <c r="AY8" s="26">
        <f t="shared" ref="AY8:AY71" si="15">AX8/AW8*100</f>
        <v>58.333333333333336</v>
      </c>
      <c r="AZ8" s="10">
        <f t="shared" ref="AZ8:BA71" si="16">SUM(AT8,AW8)</f>
        <v>58</v>
      </c>
      <c r="BA8" s="10">
        <f t="shared" si="16"/>
        <v>33</v>
      </c>
      <c r="BB8" s="27">
        <f t="shared" ref="BB8:BB71" si="17">BA8/AZ8*100</f>
        <v>56.896551724137936</v>
      </c>
    </row>
    <row r="9" spans="1:54">
      <c r="A9" s="12">
        <v>3</v>
      </c>
      <c r="B9" s="13">
        <v>1220321040</v>
      </c>
      <c r="C9" s="14" t="s">
        <v>25</v>
      </c>
      <c r="D9" s="7">
        <v>4</v>
      </c>
      <c r="E9" s="7">
        <v>0</v>
      </c>
      <c r="F9" s="8">
        <f t="shared" si="2"/>
        <v>0</v>
      </c>
      <c r="G9" s="7">
        <v>2</v>
      </c>
      <c r="H9" s="7">
        <v>0</v>
      </c>
      <c r="I9" s="8">
        <f t="shared" si="3"/>
        <v>0</v>
      </c>
      <c r="J9" s="7">
        <v>8</v>
      </c>
      <c r="K9" s="7">
        <v>4</v>
      </c>
      <c r="L9" s="8">
        <f t="shared" si="4"/>
        <v>50</v>
      </c>
      <c r="M9" s="9">
        <v>5</v>
      </c>
      <c r="N9" s="9">
        <v>0</v>
      </c>
      <c r="O9" s="8">
        <f t="shared" si="5"/>
        <v>0</v>
      </c>
      <c r="P9" s="7">
        <v>4</v>
      </c>
      <c r="Q9" s="7">
        <v>2</v>
      </c>
      <c r="R9" s="26">
        <f t="shared" si="6"/>
        <v>50</v>
      </c>
      <c r="S9" s="18">
        <v>4</v>
      </c>
      <c r="T9" s="9">
        <v>2</v>
      </c>
      <c r="U9" s="26">
        <f t="shared" si="7"/>
        <v>50</v>
      </c>
      <c r="V9" s="7">
        <v>6</v>
      </c>
      <c r="W9" s="7">
        <v>0</v>
      </c>
      <c r="X9" s="8">
        <f t="shared" si="8"/>
        <v>0</v>
      </c>
      <c r="Y9" s="9">
        <v>3</v>
      </c>
      <c r="Z9" s="9">
        <v>0</v>
      </c>
      <c r="AA9" s="8">
        <f t="shared" si="9"/>
        <v>0</v>
      </c>
      <c r="AB9" s="40">
        <v>4</v>
      </c>
      <c r="AC9" s="40">
        <v>2</v>
      </c>
      <c r="AD9" s="41">
        <f t="shared" si="0"/>
        <v>50</v>
      </c>
      <c r="AE9" s="42">
        <v>4</v>
      </c>
      <c r="AF9" s="42">
        <v>2</v>
      </c>
      <c r="AG9" s="41">
        <f t="shared" si="1"/>
        <v>50</v>
      </c>
      <c r="AH9" s="7">
        <v>8</v>
      </c>
      <c r="AI9" s="7">
        <v>3</v>
      </c>
      <c r="AJ9" s="8">
        <f t="shared" si="10"/>
        <v>37.5</v>
      </c>
      <c r="AK9" s="9">
        <v>6</v>
      </c>
      <c r="AL9" s="9">
        <v>2</v>
      </c>
      <c r="AM9" s="8">
        <f t="shared" si="11"/>
        <v>33.333333333333329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10">
        <f t="shared" si="12"/>
        <v>34</v>
      </c>
      <c r="AU9" s="10">
        <f t="shared" si="12"/>
        <v>11</v>
      </c>
      <c r="AV9" s="26">
        <f t="shared" si="13"/>
        <v>32.352941176470587</v>
      </c>
      <c r="AW9" s="10">
        <f t="shared" si="14"/>
        <v>24</v>
      </c>
      <c r="AX9" s="10">
        <f t="shared" si="14"/>
        <v>6</v>
      </c>
      <c r="AY9" s="26">
        <f t="shared" si="15"/>
        <v>25</v>
      </c>
      <c r="AZ9" s="10">
        <f t="shared" si="16"/>
        <v>58</v>
      </c>
      <c r="BA9" s="10">
        <f t="shared" si="16"/>
        <v>17</v>
      </c>
      <c r="BB9" s="27">
        <f t="shared" si="17"/>
        <v>29.310344827586203</v>
      </c>
    </row>
    <row r="10" spans="1:54">
      <c r="A10" s="12">
        <v>4</v>
      </c>
      <c r="B10" s="13">
        <v>1220321049</v>
      </c>
      <c r="C10" s="14" t="s">
        <v>26</v>
      </c>
      <c r="D10" s="7">
        <v>4</v>
      </c>
      <c r="E10" s="7">
        <v>2</v>
      </c>
      <c r="F10" s="8">
        <f t="shared" si="2"/>
        <v>50</v>
      </c>
      <c r="G10" s="7">
        <v>2</v>
      </c>
      <c r="H10" s="7">
        <v>1</v>
      </c>
      <c r="I10" s="8">
        <f t="shared" si="3"/>
        <v>50</v>
      </c>
      <c r="J10" s="7">
        <v>8</v>
      </c>
      <c r="K10" s="7">
        <v>2</v>
      </c>
      <c r="L10" s="8">
        <f t="shared" si="4"/>
        <v>25</v>
      </c>
      <c r="M10" s="9">
        <v>5</v>
      </c>
      <c r="N10" s="9">
        <v>2</v>
      </c>
      <c r="O10" s="8">
        <f t="shared" si="5"/>
        <v>40</v>
      </c>
      <c r="P10" s="7">
        <v>4</v>
      </c>
      <c r="Q10" s="7">
        <v>3</v>
      </c>
      <c r="R10" s="26">
        <f t="shared" si="6"/>
        <v>75</v>
      </c>
      <c r="S10" s="18">
        <v>4</v>
      </c>
      <c r="T10" s="9">
        <v>3</v>
      </c>
      <c r="U10" s="26">
        <f t="shared" si="7"/>
        <v>75</v>
      </c>
      <c r="V10" s="7">
        <v>6</v>
      </c>
      <c r="W10" s="7">
        <v>0</v>
      </c>
      <c r="X10" s="8">
        <f t="shared" si="8"/>
        <v>0</v>
      </c>
      <c r="Y10" s="9">
        <v>3</v>
      </c>
      <c r="Z10" s="9">
        <v>0</v>
      </c>
      <c r="AA10" s="8">
        <f t="shared" si="9"/>
        <v>0</v>
      </c>
      <c r="AB10" s="40">
        <v>4</v>
      </c>
      <c r="AC10" s="40">
        <v>0</v>
      </c>
      <c r="AD10" s="41">
        <f t="shared" si="0"/>
        <v>0</v>
      </c>
      <c r="AE10" s="42">
        <v>4</v>
      </c>
      <c r="AF10" s="42">
        <v>0</v>
      </c>
      <c r="AG10" s="41">
        <f t="shared" si="1"/>
        <v>0</v>
      </c>
      <c r="AH10" s="7">
        <v>8</v>
      </c>
      <c r="AI10" s="7">
        <v>4</v>
      </c>
      <c r="AJ10" s="8">
        <f t="shared" si="10"/>
        <v>50</v>
      </c>
      <c r="AK10" s="9">
        <v>6</v>
      </c>
      <c r="AL10" s="9">
        <v>1</v>
      </c>
      <c r="AM10" s="8">
        <f t="shared" si="11"/>
        <v>16.666666666666664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10">
        <f t="shared" si="12"/>
        <v>34</v>
      </c>
      <c r="AU10" s="10">
        <f t="shared" si="12"/>
        <v>11</v>
      </c>
      <c r="AV10" s="26">
        <f t="shared" si="13"/>
        <v>32.352941176470587</v>
      </c>
      <c r="AW10" s="10">
        <f t="shared" si="14"/>
        <v>24</v>
      </c>
      <c r="AX10" s="10">
        <f t="shared" si="14"/>
        <v>7</v>
      </c>
      <c r="AY10" s="26">
        <f t="shared" si="15"/>
        <v>29.166666666666668</v>
      </c>
      <c r="AZ10" s="10">
        <f t="shared" si="16"/>
        <v>58</v>
      </c>
      <c r="BA10" s="10">
        <f t="shared" si="16"/>
        <v>18</v>
      </c>
      <c r="BB10" s="27">
        <f t="shared" si="17"/>
        <v>31.03448275862069</v>
      </c>
    </row>
    <row r="11" spans="1:54">
      <c r="A11" s="12">
        <v>5</v>
      </c>
      <c r="B11" s="13">
        <v>1230321002</v>
      </c>
      <c r="C11" s="14" t="s">
        <v>27</v>
      </c>
      <c r="D11" s="7">
        <v>4</v>
      </c>
      <c r="E11" s="7">
        <v>1</v>
      </c>
      <c r="F11" s="8">
        <f t="shared" si="2"/>
        <v>25</v>
      </c>
      <c r="G11" s="7">
        <v>2</v>
      </c>
      <c r="H11" s="7">
        <v>1</v>
      </c>
      <c r="I11" s="8">
        <f t="shared" si="3"/>
        <v>50</v>
      </c>
      <c r="J11" s="7">
        <v>8</v>
      </c>
      <c r="K11" s="7">
        <v>6</v>
      </c>
      <c r="L11" s="8">
        <f t="shared" si="4"/>
        <v>75</v>
      </c>
      <c r="M11" s="9">
        <v>5</v>
      </c>
      <c r="N11" s="9">
        <v>0</v>
      </c>
      <c r="O11" s="8">
        <f t="shared" si="5"/>
        <v>0</v>
      </c>
      <c r="P11" s="7">
        <v>4</v>
      </c>
      <c r="Q11" s="7">
        <v>3</v>
      </c>
      <c r="R11" s="26">
        <f t="shared" si="6"/>
        <v>75</v>
      </c>
      <c r="S11" s="18">
        <v>4</v>
      </c>
      <c r="T11" s="9">
        <v>3</v>
      </c>
      <c r="U11" s="26">
        <f t="shared" si="7"/>
        <v>75</v>
      </c>
      <c r="V11" s="7">
        <v>6</v>
      </c>
      <c r="W11" s="7">
        <v>5</v>
      </c>
      <c r="X11" s="8">
        <f t="shared" si="8"/>
        <v>83.333333333333343</v>
      </c>
      <c r="Y11" s="9">
        <v>3</v>
      </c>
      <c r="Z11" s="9">
        <v>1</v>
      </c>
      <c r="AA11" s="8">
        <f t="shared" si="9"/>
        <v>33.333333333333329</v>
      </c>
      <c r="AB11" s="40">
        <v>4</v>
      </c>
      <c r="AC11" s="40">
        <v>3</v>
      </c>
      <c r="AD11" s="41">
        <f t="shared" si="0"/>
        <v>75</v>
      </c>
      <c r="AE11" s="42">
        <v>4</v>
      </c>
      <c r="AF11" s="42">
        <v>4</v>
      </c>
      <c r="AG11" s="41">
        <f t="shared" si="1"/>
        <v>100</v>
      </c>
      <c r="AH11" s="7">
        <v>8</v>
      </c>
      <c r="AI11" s="7">
        <v>7</v>
      </c>
      <c r="AJ11" s="8">
        <f t="shared" si="10"/>
        <v>87.5</v>
      </c>
      <c r="AK11" s="9">
        <v>6</v>
      </c>
      <c r="AL11" s="9">
        <v>3</v>
      </c>
      <c r="AM11" s="8">
        <f t="shared" si="11"/>
        <v>50</v>
      </c>
      <c r="AN11" s="9">
        <v>0</v>
      </c>
      <c r="AO11" s="9">
        <v>0</v>
      </c>
      <c r="AP11" s="9">
        <v>0</v>
      </c>
      <c r="AQ11" s="9">
        <v>0</v>
      </c>
      <c r="AR11" s="9">
        <v>0</v>
      </c>
      <c r="AS11" s="9">
        <v>0</v>
      </c>
      <c r="AT11" s="10">
        <f t="shared" si="12"/>
        <v>34</v>
      </c>
      <c r="AU11" s="10">
        <f t="shared" si="12"/>
        <v>25</v>
      </c>
      <c r="AV11" s="26">
        <f t="shared" si="13"/>
        <v>73.529411764705884</v>
      </c>
      <c r="AW11" s="10">
        <f t="shared" si="14"/>
        <v>24</v>
      </c>
      <c r="AX11" s="10">
        <f t="shared" si="14"/>
        <v>12</v>
      </c>
      <c r="AY11" s="26">
        <f t="shared" si="15"/>
        <v>50</v>
      </c>
      <c r="AZ11" s="10">
        <f t="shared" si="16"/>
        <v>58</v>
      </c>
      <c r="BA11" s="10">
        <f t="shared" si="16"/>
        <v>37</v>
      </c>
      <c r="BB11" s="27">
        <f t="shared" si="17"/>
        <v>63.793103448275865</v>
      </c>
    </row>
    <row r="12" spans="1:54">
      <c r="A12" s="12">
        <v>6</v>
      </c>
      <c r="B12" s="13">
        <v>1230321003</v>
      </c>
      <c r="C12" s="14" t="s">
        <v>28</v>
      </c>
      <c r="D12" s="7">
        <v>4</v>
      </c>
      <c r="E12" s="7">
        <v>0</v>
      </c>
      <c r="F12" s="8">
        <f t="shared" si="2"/>
        <v>0</v>
      </c>
      <c r="G12" s="7">
        <v>2</v>
      </c>
      <c r="H12" s="7">
        <v>0</v>
      </c>
      <c r="I12" s="8">
        <f t="shared" si="3"/>
        <v>0</v>
      </c>
      <c r="J12" s="7">
        <v>8</v>
      </c>
      <c r="K12" s="7">
        <v>4</v>
      </c>
      <c r="L12" s="8">
        <f t="shared" si="4"/>
        <v>50</v>
      </c>
      <c r="M12" s="9">
        <v>5</v>
      </c>
      <c r="N12" s="9">
        <v>0</v>
      </c>
      <c r="O12" s="8">
        <f t="shared" si="5"/>
        <v>0</v>
      </c>
      <c r="P12" s="7">
        <v>4</v>
      </c>
      <c r="Q12" s="7">
        <v>3</v>
      </c>
      <c r="R12" s="26">
        <f t="shared" si="6"/>
        <v>75</v>
      </c>
      <c r="S12" s="18">
        <v>4</v>
      </c>
      <c r="T12" s="9">
        <v>3</v>
      </c>
      <c r="U12" s="26">
        <f t="shared" si="7"/>
        <v>75</v>
      </c>
      <c r="V12" s="7">
        <v>6</v>
      </c>
      <c r="W12" s="7">
        <v>2</v>
      </c>
      <c r="X12" s="8">
        <f t="shared" si="8"/>
        <v>33.333333333333329</v>
      </c>
      <c r="Y12" s="9">
        <v>3</v>
      </c>
      <c r="Z12" s="9">
        <v>1</v>
      </c>
      <c r="AA12" s="8">
        <f t="shared" si="9"/>
        <v>33.333333333333329</v>
      </c>
      <c r="AB12" s="40">
        <v>4</v>
      </c>
      <c r="AC12" s="40">
        <v>3</v>
      </c>
      <c r="AD12" s="41">
        <f t="shared" si="0"/>
        <v>75</v>
      </c>
      <c r="AE12" s="42">
        <v>4</v>
      </c>
      <c r="AF12" s="42">
        <v>3</v>
      </c>
      <c r="AG12" s="41">
        <f t="shared" si="1"/>
        <v>75</v>
      </c>
      <c r="AH12" s="7">
        <v>8</v>
      </c>
      <c r="AI12" s="7">
        <v>4</v>
      </c>
      <c r="AJ12" s="8">
        <f t="shared" si="10"/>
        <v>50</v>
      </c>
      <c r="AK12" s="9">
        <v>6</v>
      </c>
      <c r="AL12" s="9">
        <v>1</v>
      </c>
      <c r="AM12" s="8">
        <f t="shared" si="11"/>
        <v>16.666666666666664</v>
      </c>
      <c r="AN12" s="9">
        <v>0</v>
      </c>
      <c r="AO12" s="9">
        <v>0</v>
      </c>
      <c r="AP12" s="9">
        <v>0</v>
      </c>
      <c r="AQ12" s="9">
        <v>0</v>
      </c>
      <c r="AR12" s="9">
        <v>0</v>
      </c>
      <c r="AS12" s="9">
        <v>0</v>
      </c>
      <c r="AT12" s="10">
        <f t="shared" si="12"/>
        <v>34</v>
      </c>
      <c r="AU12" s="10">
        <f t="shared" si="12"/>
        <v>16</v>
      </c>
      <c r="AV12" s="26">
        <f t="shared" si="13"/>
        <v>47.058823529411761</v>
      </c>
      <c r="AW12" s="10">
        <f t="shared" si="14"/>
        <v>24</v>
      </c>
      <c r="AX12" s="10">
        <f t="shared" si="14"/>
        <v>8</v>
      </c>
      <c r="AY12" s="26">
        <f t="shared" si="15"/>
        <v>33.333333333333329</v>
      </c>
      <c r="AZ12" s="10">
        <f t="shared" si="16"/>
        <v>58</v>
      </c>
      <c r="BA12" s="10">
        <f t="shared" si="16"/>
        <v>24</v>
      </c>
      <c r="BB12" s="27">
        <f t="shared" si="17"/>
        <v>41.379310344827587</v>
      </c>
    </row>
    <row r="13" spans="1:54">
      <c r="A13" s="12">
        <v>7</v>
      </c>
      <c r="B13" s="13">
        <v>1230321004</v>
      </c>
      <c r="C13" s="14" t="s">
        <v>29</v>
      </c>
      <c r="D13" s="7">
        <v>4</v>
      </c>
      <c r="E13" s="7">
        <v>0</v>
      </c>
      <c r="F13" s="8">
        <f t="shared" si="2"/>
        <v>0</v>
      </c>
      <c r="G13" s="7">
        <v>2</v>
      </c>
      <c r="H13" s="7">
        <v>0</v>
      </c>
      <c r="I13" s="8">
        <f t="shared" si="3"/>
        <v>0</v>
      </c>
      <c r="J13" s="7">
        <v>8</v>
      </c>
      <c r="K13" s="7">
        <v>2</v>
      </c>
      <c r="L13" s="8">
        <f t="shared" si="4"/>
        <v>25</v>
      </c>
      <c r="M13" s="9">
        <v>5</v>
      </c>
      <c r="N13" s="9">
        <v>0</v>
      </c>
      <c r="O13" s="8">
        <f t="shared" si="5"/>
        <v>0</v>
      </c>
      <c r="P13" s="7">
        <v>4</v>
      </c>
      <c r="Q13" s="7">
        <v>1</v>
      </c>
      <c r="R13" s="26">
        <f t="shared" si="6"/>
        <v>25</v>
      </c>
      <c r="S13" s="18">
        <v>4</v>
      </c>
      <c r="T13" s="9">
        <v>1</v>
      </c>
      <c r="U13" s="26">
        <f t="shared" si="7"/>
        <v>25</v>
      </c>
      <c r="V13" s="7">
        <v>6</v>
      </c>
      <c r="W13" s="7">
        <v>0</v>
      </c>
      <c r="X13" s="8">
        <f t="shared" si="8"/>
        <v>0</v>
      </c>
      <c r="Y13" s="9">
        <v>3</v>
      </c>
      <c r="Z13" s="9">
        <v>0</v>
      </c>
      <c r="AA13" s="8">
        <f t="shared" si="9"/>
        <v>0</v>
      </c>
      <c r="AB13" s="40">
        <v>4</v>
      </c>
      <c r="AC13" s="40">
        <v>2</v>
      </c>
      <c r="AD13" s="41">
        <f t="shared" si="0"/>
        <v>50</v>
      </c>
      <c r="AE13" s="42">
        <v>4</v>
      </c>
      <c r="AF13" s="42">
        <v>2</v>
      </c>
      <c r="AG13" s="41">
        <f t="shared" si="1"/>
        <v>50</v>
      </c>
      <c r="AH13" s="7">
        <v>8</v>
      </c>
      <c r="AI13" s="7">
        <v>3</v>
      </c>
      <c r="AJ13" s="8">
        <f t="shared" si="10"/>
        <v>37.5</v>
      </c>
      <c r="AK13" s="9">
        <v>6</v>
      </c>
      <c r="AL13" s="9">
        <v>2</v>
      </c>
      <c r="AM13" s="8">
        <f t="shared" si="11"/>
        <v>33.333333333333329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10">
        <f t="shared" si="12"/>
        <v>34</v>
      </c>
      <c r="AU13" s="10">
        <f t="shared" si="12"/>
        <v>8</v>
      </c>
      <c r="AV13" s="26">
        <f t="shared" si="13"/>
        <v>23.52941176470588</v>
      </c>
      <c r="AW13" s="10">
        <f t="shared" si="14"/>
        <v>24</v>
      </c>
      <c r="AX13" s="10">
        <f t="shared" si="14"/>
        <v>5</v>
      </c>
      <c r="AY13" s="26">
        <f t="shared" si="15"/>
        <v>20.833333333333336</v>
      </c>
      <c r="AZ13" s="10">
        <f t="shared" si="16"/>
        <v>58</v>
      </c>
      <c r="BA13" s="10">
        <f t="shared" si="16"/>
        <v>13</v>
      </c>
      <c r="BB13" s="27">
        <f t="shared" si="17"/>
        <v>22.413793103448278</v>
      </c>
    </row>
    <row r="14" spans="1:54">
      <c r="A14" s="12">
        <v>8</v>
      </c>
      <c r="B14" s="13">
        <v>1230321005</v>
      </c>
      <c r="C14" s="14" t="s">
        <v>30</v>
      </c>
      <c r="D14" s="7">
        <v>4</v>
      </c>
      <c r="E14" s="7">
        <v>1</v>
      </c>
      <c r="F14" s="8">
        <f t="shared" si="2"/>
        <v>25</v>
      </c>
      <c r="G14" s="7">
        <v>2</v>
      </c>
      <c r="H14" s="7">
        <v>0</v>
      </c>
      <c r="I14" s="8">
        <f t="shared" si="3"/>
        <v>0</v>
      </c>
      <c r="J14" s="7">
        <v>8</v>
      </c>
      <c r="K14" s="7">
        <v>6</v>
      </c>
      <c r="L14" s="8">
        <f t="shared" si="4"/>
        <v>75</v>
      </c>
      <c r="M14" s="9">
        <v>5</v>
      </c>
      <c r="N14" s="9">
        <v>2</v>
      </c>
      <c r="O14" s="8">
        <f t="shared" si="5"/>
        <v>40</v>
      </c>
      <c r="P14" s="7">
        <v>4</v>
      </c>
      <c r="Q14" s="7">
        <v>4</v>
      </c>
      <c r="R14" s="26">
        <f t="shared" si="6"/>
        <v>100</v>
      </c>
      <c r="S14" s="18">
        <v>4</v>
      </c>
      <c r="T14" s="9">
        <v>4</v>
      </c>
      <c r="U14" s="26">
        <f t="shared" si="7"/>
        <v>100</v>
      </c>
      <c r="V14" s="7">
        <v>6</v>
      </c>
      <c r="W14" s="7">
        <v>2</v>
      </c>
      <c r="X14" s="8">
        <f t="shared" si="8"/>
        <v>33.333333333333329</v>
      </c>
      <c r="Y14" s="9">
        <v>3</v>
      </c>
      <c r="Z14" s="9">
        <v>0</v>
      </c>
      <c r="AA14" s="8">
        <f t="shared" si="9"/>
        <v>0</v>
      </c>
      <c r="AB14" s="40">
        <v>4</v>
      </c>
      <c r="AC14" s="40">
        <v>2</v>
      </c>
      <c r="AD14" s="41">
        <f t="shared" si="0"/>
        <v>50</v>
      </c>
      <c r="AE14" s="42">
        <v>4</v>
      </c>
      <c r="AF14" s="42">
        <v>3</v>
      </c>
      <c r="AG14" s="41">
        <f t="shared" si="1"/>
        <v>75</v>
      </c>
      <c r="AH14" s="7">
        <v>8</v>
      </c>
      <c r="AI14" s="7">
        <v>5</v>
      </c>
      <c r="AJ14" s="8">
        <f t="shared" si="10"/>
        <v>62.5</v>
      </c>
      <c r="AK14" s="9">
        <v>6</v>
      </c>
      <c r="AL14" s="9">
        <v>2</v>
      </c>
      <c r="AM14" s="8">
        <f t="shared" si="11"/>
        <v>33.333333333333329</v>
      </c>
      <c r="AN14" s="9">
        <v>0</v>
      </c>
      <c r="AO14" s="9">
        <v>0</v>
      </c>
      <c r="AP14" s="9">
        <v>0</v>
      </c>
      <c r="AQ14" s="9">
        <v>0</v>
      </c>
      <c r="AR14" s="9">
        <v>0</v>
      </c>
      <c r="AS14" s="9">
        <v>0</v>
      </c>
      <c r="AT14" s="10">
        <f t="shared" si="12"/>
        <v>34</v>
      </c>
      <c r="AU14" s="10">
        <f t="shared" si="12"/>
        <v>20</v>
      </c>
      <c r="AV14" s="26">
        <f t="shared" si="13"/>
        <v>58.82352941176471</v>
      </c>
      <c r="AW14" s="10">
        <f t="shared" si="14"/>
        <v>24</v>
      </c>
      <c r="AX14" s="10">
        <f t="shared" si="14"/>
        <v>11</v>
      </c>
      <c r="AY14" s="26">
        <f t="shared" si="15"/>
        <v>45.833333333333329</v>
      </c>
      <c r="AZ14" s="10">
        <f t="shared" si="16"/>
        <v>58</v>
      </c>
      <c r="BA14" s="10">
        <f t="shared" si="16"/>
        <v>31</v>
      </c>
      <c r="BB14" s="27">
        <f t="shared" si="17"/>
        <v>53.448275862068961</v>
      </c>
    </row>
    <row r="15" spans="1:54">
      <c r="A15" s="12">
        <v>9</v>
      </c>
      <c r="B15" s="13">
        <v>1230321006</v>
      </c>
      <c r="C15" s="14" t="s">
        <v>31</v>
      </c>
      <c r="D15" s="7">
        <v>4</v>
      </c>
      <c r="E15" s="7">
        <v>4</v>
      </c>
      <c r="F15" s="8">
        <f t="shared" si="2"/>
        <v>100</v>
      </c>
      <c r="G15" s="7">
        <v>2</v>
      </c>
      <c r="H15" s="7">
        <v>2</v>
      </c>
      <c r="I15" s="8">
        <f t="shared" si="3"/>
        <v>100</v>
      </c>
      <c r="J15" s="7">
        <v>8</v>
      </c>
      <c r="K15" s="7">
        <v>4</v>
      </c>
      <c r="L15" s="8">
        <f t="shared" si="4"/>
        <v>50</v>
      </c>
      <c r="M15" s="9">
        <v>5</v>
      </c>
      <c r="N15" s="9">
        <v>1</v>
      </c>
      <c r="O15" s="8">
        <f t="shared" si="5"/>
        <v>20</v>
      </c>
      <c r="P15" s="7">
        <v>4</v>
      </c>
      <c r="Q15" s="7">
        <v>2</v>
      </c>
      <c r="R15" s="26">
        <f t="shared" si="6"/>
        <v>50</v>
      </c>
      <c r="S15" s="18">
        <v>4</v>
      </c>
      <c r="T15" s="9">
        <v>2</v>
      </c>
      <c r="U15" s="26">
        <f t="shared" si="7"/>
        <v>50</v>
      </c>
      <c r="V15" s="7">
        <v>6</v>
      </c>
      <c r="W15" s="7">
        <v>5</v>
      </c>
      <c r="X15" s="8">
        <f t="shared" si="8"/>
        <v>83.333333333333343</v>
      </c>
      <c r="Y15" s="9">
        <v>3</v>
      </c>
      <c r="Z15" s="9">
        <v>1</v>
      </c>
      <c r="AA15" s="8">
        <f t="shared" si="9"/>
        <v>33.333333333333329</v>
      </c>
      <c r="AB15" s="40">
        <v>4</v>
      </c>
      <c r="AC15" s="40">
        <v>3</v>
      </c>
      <c r="AD15" s="41">
        <f t="shared" si="0"/>
        <v>75</v>
      </c>
      <c r="AE15" s="42">
        <v>4</v>
      </c>
      <c r="AF15" s="42">
        <v>1</v>
      </c>
      <c r="AG15" s="41">
        <f t="shared" si="1"/>
        <v>25</v>
      </c>
      <c r="AH15" s="7">
        <v>8</v>
      </c>
      <c r="AI15" s="7">
        <v>5</v>
      </c>
      <c r="AJ15" s="8">
        <f t="shared" si="10"/>
        <v>62.5</v>
      </c>
      <c r="AK15" s="9">
        <v>6</v>
      </c>
      <c r="AL15" s="9">
        <v>3</v>
      </c>
      <c r="AM15" s="8">
        <f t="shared" si="11"/>
        <v>50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10">
        <f t="shared" si="12"/>
        <v>34</v>
      </c>
      <c r="AU15" s="10">
        <f t="shared" si="12"/>
        <v>23</v>
      </c>
      <c r="AV15" s="26">
        <f t="shared" si="13"/>
        <v>67.64705882352942</v>
      </c>
      <c r="AW15" s="10">
        <f t="shared" si="14"/>
        <v>24</v>
      </c>
      <c r="AX15" s="10">
        <f t="shared" si="14"/>
        <v>10</v>
      </c>
      <c r="AY15" s="26">
        <f t="shared" si="15"/>
        <v>41.666666666666671</v>
      </c>
      <c r="AZ15" s="10">
        <f t="shared" si="16"/>
        <v>58</v>
      </c>
      <c r="BA15" s="10">
        <f t="shared" si="16"/>
        <v>33</v>
      </c>
      <c r="BB15" s="27">
        <f t="shared" si="17"/>
        <v>56.896551724137936</v>
      </c>
    </row>
    <row r="16" spans="1:54">
      <c r="A16" s="12">
        <v>10</v>
      </c>
      <c r="B16" s="13">
        <v>1230321007</v>
      </c>
      <c r="C16" s="14" t="s">
        <v>32</v>
      </c>
      <c r="D16" s="7">
        <v>4</v>
      </c>
      <c r="E16" s="10">
        <v>3</v>
      </c>
      <c r="F16" s="8">
        <f t="shared" si="2"/>
        <v>75</v>
      </c>
      <c r="G16" s="7">
        <v>2</v>
      </c>
      <c r="H16" s="10">
        <v>2</v>
      </c>
      <c r="I16" s="8">
        <f t="shared" si="3"/>
        <v>100</v>
      </c>
      <c r="J16" s="7">
        <v>8</v>
      </c>
      <c r="K16" s="10">
        <v>4</v>
      </c>
      <c r="L16" s="8">
        <f t="shared" si="4"/>
        <v>50</v>
      </c>
      <c r="M16" s="9">
        <v>5</v>
      </c>
      <c r="N16" s="9">
        <v>0</v>
      </c>
      <c r="O16" s="8">
        <f t="shared" si="5"/>
        <v>0</v>
      </c>
      <c r="P16" s="7">
        <v>4</v>
      </c>
      <c r="Q16" s="10">
        <v>4</v>
      </c>
      <c r="R16" s="26">
        <f t="shared" si="6"/>
        <v>100</v>
      </c>
      <c r="S16" s="18">
        <v>4</v>
      </c>
      <c r="T16" s="9">
        <v>4</v>
      </c>
      <c r="U16" s="26">
        <f t="shared" si="7"/>
        <v>100</v>
      </c>
      <c r="V16" s="7">
        <v>6</v>
      </c>
      <c r="W16" s="10">
        <v>5</v>
      </c>
      <c r="X16" s="8">
        <f t="shared" si="8"/>
        <v>83.333333333333343</v>
      </c>
      <c r="Y16" s="9">
        <v>3</v>
      </c>
      <c r="Z16" s="9">
        <v>1</v>
      </c>
      <c r="AA16" s="8">
        <f t="shared" si="9"/>
        <v>33.333333333333329</v>
      </c>
      <c r="AB16" s="40">
        <v>4</v>
      </c>
      <c r="AC16" s="40">
        <v>4</v>
      </c>
      <c r="AD16" s="41">
        <f t="shared" si="0"/>
        <v>100</v>
      </c>
      <c r="AE16" s="42">
        <v>4</v>
      </c>
      <c r="AF16" s="42">
        <v>3</v>
      </c>
      <c r="AG16" s="41">
        <f t="shared" si="1"/>
        <v>75</v>
      </c>
      <c r="AH16" s="7">
        <v>8</v>
      </c>
      <c r="AI16" s="10">
        <v>3</v>
      </c>
      <c r="AJ16" s="8">
        <f t="shared" si="10"/>
        <v>37.5</v>
      </c>
      <c r="AK16" s="9">
        <v>6</v>
      </c>
      <c r="AL16" s="9">
        <v>2</v>
      </c>
      <c r="AM16" s="8">
        <f t="shared" si="11"/>
        <v>33.333333333333329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10">
        <f t="shared" si="12"/>
        <v>34</v>
      </c>
      <c r="AU16" s="10">
        <f t="shared" si="12"/>
        <v>23</v>
      </c>
      <c r="AV16" s="26">
        <f t="shared" si="13"/>
        <v>67.64705882352942</v>
      </c>
      <c r="AW16" s="10">
        <f t="shared" si="14"/>
        <v>24</v>
      </c>
      <c r="AX16" s="10">
        <f t="shared" si="14"/>
        <v>12</v>
      </c>
      <c r="AY16" s="26">
        <f t="shared" si="15"/>
        <v>50</v>
      </c>
      <c r="AZ16" s="10">
        <f t="shared" si="16"/>
        <v>58</v>
      </c>
      <c r="BA16" s="10">
        <f t="shared" si="16"/>
        <v>35</v>
      </c>
      <c r="BB16" s="27">
        <f t="shared" si="17"/>
        <v>60.344827586206897</v>
      </c>
    </row>
    <row r="17" spans="1:54">
      <c r="A17" s="12">
        <v>11</v>
      </c>
      <c r="B17" s="13">
        <v>1230321008</v>
      </c>
      <c r="C17" s="14" t="s">
        <v>33</v>
      </c>
      <c r="D17" s="7">
        <v>4</v>
      </c>
      <c r="E17" s="7">
        <v>3</v>
      </c>
      <c r="F17" s="8">
        <f t="shared" si="2"/>
        <v>75</v>
      </c>
      <c r="G17" s="7">
        <v>2</v>
      </c>
      <c r="H17" s="7">
        <v>2</v>
      </c>
      <c r="I17" s="8">
        <f t="shared" si="3"/>
        <v>100</v>
      </c>
      <c r="J17" s="7">
        <v>8</v>
      </c>
      <c r="K17" s="7">
        <v>3</v>
      </c>
      <c r="L17" s="8">
        <f t="shared" si="4"/>
        <v>37.5</v>
      </c>
      <c r="M17" s="9">
        <v>5</v>
      </c>
      <c r="N17" s="9">
        <v>0</v>
      </c>
      <c r="O17" s="8">
        <f t="shared" si="5"/>
        <v>0</v>
      </c>
      <c r="P17" s="7">
        <v>4</v>
      </c>
      <c r="Q17" s="7">
        <v>2</v>
      </c>
      <c r="R17" s="26">
        <f t="shared" si="6"/>
        <v>50</v>
      </c>
      <c r="S17" s="18">
        <v>4</v>
      </c>
      <c r="T17" s="9">
        <v>2</v>
      </c>
      <c r="U17" s="26">
        <f t="shared" si="7"/>
        <v>50</v>
      </c>
      <c r="V17" s="7">
        <v>6</v>
      </c>
      <c r="W17" s="7">
        <v>2</v>
      </c>
      <c r="X17" s="8">
        <f t="shared" si="8"/>
        <v>33.333333333333329</v>
      </c>
      <c r="Y17" s="9">
        <v>3</v>
      </c>
      <c r="Z17" s="9">
        <v>1</v>
      </c>
      <c r="AA17" s="8">
        <f t="shared" si="9"/>
        <v>33.333333333333329</v>
      </c>
      <c r="AB17" s="40">
        <v>4</v>
      </c>
      <c r="AC17" s="40">
        <v>2</v>
      </c>
      <c r="AD17" s="41">
        <f t="shared" si="0"/>
        <v>50</v>
      </c>
      <c r="AE17" s="42">
        <v>4</v>
      </c>
      <c r="AF17" s="42">
        <v>1</v>
      </c>
      <c r="AG17" s="41">
        <f t="shared" si="1"/>
        <v>25</v>
      </c>
      <c r="AH17" s="7">
        <v>8</v>
      </c>
      <c r="AI17" s="7">
        <v>4</v>
      </c>
      <c r="AJ17" s="8">
        <f t="shared" si="10"/>
        <v>50</v>
      </c>
      <c r="AK17" s="9">
        <v>6</v>
      </c>
      <c r="AL17" s="9">
        <v>2</v>
      </c>
      <c r="AM17" s="8">
        <f t="shared" si="11"/>
        <v>33.333333333333329</v>
      </c>
      <c r="AN17" s="9">
        <v>0</v>
      </c>
      <c r="AO17" s="9">
        <v>0</v>
      </c>
      <c r="AP17" s="9">
        <v>0</v>
      </c>
      <c r="AQ17" s="9">
        <v>0</v>
      </c>
      <c r="AR17" s="9">
        <v>0</v>
      </c>
      <c r="AS17" s="9">
        <v>0</v>
      </c>
      <c r="AT17" s="10">
        <f t="shared" si="12"/>
        <v>34</v>
      </c>
      <c r="AU17" s="10">
        <f t="shared" si="12"/>
        <v>16</v>
      </c>
      <c r="AV17" s="26">
        <f t="shared" si="13"/>
        <v>47.058823529411761</v>
      </c>
      <c r="AW17" s="10">
        <f t="shared" si="14"/>
        <v>24</v>
      </c>
      <c r="AX17" s="10">
        <f t="shared" si="14"/>
        <v>8</v>
      </c>
      <c r="AY17" s="26">
        <f t="shared" si="15"/>
        <v>33.333333333333329</v>
      </c>
      <c r="AZ17" s="10">
        <f t="shared" si="16"/>
        <v>58</v>
      </c>
      <c r="BA17" s="10">
        <f t="shared" si="16"/>
        <v>24</v>
      </c>
      <c r="BB17" s="27">
        <f t="shared" si="17"/>
        <v>41.379310344827587</v>
      </c>
    </row>
    <row r="18" spans="1:54">
      <c r="A18" s="12">
        <v>12</v>
      </c>
      <c r="B18" s="13">
        <v>1230321009</v>
      </c>
      <c r="C18" s="14" t="s">
        <v>34</v>
      </c>
      <c r="D18" s="7">
        <v>4</v>
      </c>
      <c r="E18" s="7">
        <v>0</v>
      </c>
      <c r="F18" s="8">
        <f t="shared" si="2"/>
        <v>0</v>
      </c>
      <c r="G18" s="7">
        <v>2</v>
      </c>
      <c r="H18" s="7">
        <v>0</v>
      </c>
      <c r="I18" s="8">
        <f t="shared" si="3"/>
        <v>0</v>
      </c>
      <c r="J18" s="7">
        <v>8</v>
      </c>
      <c r="K18" s="7">
        <v>5</v>
      </c>
      <c r="L18" s="8">
        <f t="shared" si="4"/>
        <v>62.5</v>
      </c>
      <c r="M18" s="9">
        <v>5</v>
      </c>
      <c r="N18" s="9">
        <v>0</v>
      </c>
      <c r="O18" s="8">
        <f t="shared" si="5"/>
        <v>0</v>
      </c>
      <c r="P18" s="7">
        <v>4</v>
      </c>
      <c r="Q18" s="7">
        <v>4</v>
      </c>
      <c r="R18" s="26">
        <f t="shared" si="6"/>
        <v>100</v>
      </c>
      <c r="S18" s="18">
        <v>4</v>
      </c>
      <c r="T18" s="9">
        <v>4</v>
      </c>
      <c r="U18" s="26">
        <f t="shared" si="7"/>
        <v>100</v>
      </c>
      <c r="V18" s="7">
        <v>6</v>
      </c>
      <c r="W18" s="7">
        <v>2</v>
      </c>
      <c r="X18" s="8">
        <f t="shared" si="8"/>
        <v>33.333333333333329</v>
      </c>
      <c r="Y18" s="9">
        <v>3</v>
      </c>
      <c r="Z18" s="9">
        <v>1</v>
      </c>
      <c r="AA18" s="8">
        <f t="shared" si="9"/>
        <v>33.333333333333329</v>
      </c>
      <c r="AB18" s="40">
        <v>4</v>
      </c>
      <c r="AC18" s="40">
        <v>3</v>
      </c>
      <c r="AD18" s="41">
        <f t="shared" si="0"/>
        <v>75</v>
      </c>
      <c r="AE18" s="42">
        <v>4</v>
      </c>
      <c r="AF18" s="42">
        <v>2</v>
      </c>
      <c r="AG18" s="41">
        <f t="shared" si="1"/>
        <v>50</v>
      </c>
      <c r="AH18" s="7">
        <v>8</v>
      </c>
      <c r="AI18" s="7">
        <v>4</v>
      </c>
      <c r="AJ18" s="8">
        <f t="shared" si="10"/>
        <v>50</v>
      </c>
      <c r="AK18" s="9">
        <v>6</v>
      </c>
      <c r="AL18" s="9">
        <v>2</v>
      </c>
      <c r="AM18" s="8">
        <f t="shared" si="11"/>
        <v>33.333333333333329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10">
        <f t="shared" si="12"/>
        <v>34</v>
      </c>
      <c r="AU18" s="10">
        <f t="shared" si="12"/>
        <v>18</v>
      </c>
      <c r="AV18" s="26">
        <f t="shared" si="13"/>
        <v>52.941176470588239</v>
      </c>
      <c r="AW18" s="10">
        <f t="shared" si="14"/>
        <v>24</v>
      </c>
      <c r="AX18" s="10">
        <f t="shared" si="14"/>
        <v>9</v>
      </c>
      <c r="AY18" s="26">
        <f t="shared" si="15"/>
        <v>37.5</v>
      </c>
      <c r="AZ18" s="10">
        <f t="shared" si="16"/>
        <v>58</v>
      </c>
      <c r="BA18" s="10">
        <f t="shared" si="16"/>
        <v>27</v>
      </c>
      <c r="BB18" s="27">
        <f t="shared" si="17"/>
        <v>46.551724137931032</v>
      </c>
    </row>
    <row r="19" spans="1:54">
      <c r="A19" s="12">
        <v>13</v>
      </c>
      <c r="B19" s="13">
        <v>1230321010</v>
      </c>
      <c r="C19" s="14" t="s">
        <v>35</v>
      </c>
      <c r="D19" s="7">
        <v>4</v>
      </c>
      <c r="E19" s="7">
        <v>2</v>
      </c>
      <c r="F19" s="8">
        <f t="shared" si="2"/>
        <v>50</v>
      </c>
      <c r="G19" s="7">
        <v>2</v>
      </c>
      <c r="H19" s="7">
        <v>1</v>
      </c>
      <c r="I19" s="8">
        <f t="shared" si="3"/>
        <v>50</v>
      </c>
      <c r="J19" s="7">
        <v>8</v>
      </c>
      <c r="K19" s="7">
        <v>4</v>
      </c>
      <c r="L19" s="8">
        <f t="shared" si="4"/>
        <v>50</v>
      </c>
      <c r="M19" s="9">
        <v>5</v>
      </c>
      <c r="N19" s="9">
        <v>1</v>
      </c>
      <c r="O19" s="8">
        <f t="shared" si="5"/>
        <v>20</v>
      </c>
      <c r="P19" s="7">
        <v>4</v>
      </c>
      <c r="Q19" s="7">
        <v>2</v>
      </c>
      <c r="R19" s="26">
        <f t="shared" si="6"/>
        <v>50</v>
      </c>
      <c r="S19" s="18">
        <v>4</v>
      </c>
      <c r="T19" s="9">
        <v>2</v>
      </c>
      <c r="U19" s="26">
        <f t="shared" si="7"/>
        <v>50</v>
      </c>
      <c r="V19" s="7">
        <v>6</v>
      </c>
      <c r="W19" s="7">
        <v>3</v>
      </c>
      <c r="X19" s="8">
        <f t="shared" si="8"/>
        <v>50</v>
      </c>
      <c r="Y19" s="9">
        <v>3</v>
      </c>
      <c r="Z19" s="9">
        <v>0</v>
      </c>
      <c r="AA19" s="8">
        <f t="shared" si="9"/>
        <v>0</v>
      </c>
      <c r="AB19" s="40">
        <v>4</v>
      </c>
      <c r="AC19" s="40">
        <v>1</v>
      </c>
      <c r="AD19" s="41">
        <f t="shared" si="0"/>
        <v>25</v>
      </c>
      <c r="AE19" s="42">
        <v>4</v>
      </c>
      <c r="AF19" s="42">
        <v>3</v>
      </c>
      <c r="AG19" s="41">
        <f t="shared" si="1"/>
        <v>75</v>
      </c>
      <c r="AH19" s="7">
        <v>8</v>
      </c>
      <c r="AI19" s="7">
        <v>3</v>
      </c>
      <c r="AJ19" s="8">
        <f t="shared" si="10"/>
        <v>37.5</v>
      </c>
      <c r="AK19" s="9">
        <v>6</v>
      </c>
      <c r="AL19" s="9">
        <v>2</v>
      </c>
      <c r="AM19" s="8">
        <f t="shared" si="11"/>
        <v>33.333333333333329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10">
        <f t="shared" si="12"/>
        <v>34</v>
      </c>
      <c r="AU19" s="10">
        <f t="shared" si="12"/>
        <v>15</v>
      </c>
      <c r="AV19" s="26">
        <f t="shared" si="13"/>
        <v>44.117647058823529</v>
      </c>
      <c r="AW19" s="10">
        <f t="shared" si="14"/>
        <v>24</v>
      </c>
      <c r="AX19" s="10">
        <f t="shared" si="14"/>
        <v>9</v>
      </c>
      <c r="AY19" s="26">
        <f t="shared" si="15"/>
        <v>37.5</v>
      </c>
      <c r="AZ19" s="10">
        <f t="shared" si="16"/>
        <v>58</v>
      </c>
      <c r="BA19" s="10">
        <f t="shared" si="16"/>
        <v>24</v>
      </c>
      <c r="BB19" s="27">
        <f t="shared" si="17"/>
        <v>41.379310344827587</v>
      </c>
    </row>
    <row r="20" spans="1:54">
      <c r="A20" s="12">
        <v>14</v>
      </c>
      <c r="B20" s="13">
        <v>1230321011</v>
      </c>
      <c r="C20" s="14" t="s">
        <v>36</v>
      </c>
      <c r="D20" s="7">
        <v>4</v>
      </c>
      <c r="E20" s="7">
        <v>1</v>
      </c>
      <c r="F20" s="8">
        <f t="shared" si="2"/>
        <v>25</v>
      </c>
      <c r="G20" s="7">
        <v>2</v>
      </c>
      <c r="H20" s="7">
        <v>0</v>
      </c>
      <c r="I20" s="8">
        <f t="shared" si="3"/>
        <v>0</v>
      </c>
      <c r="J20" s="7">
        <v>8</v>
      </c>
      <c r="K20" s="7">
        <v>4</v>
      </c>
      <c r="L20" s="8">
        <f t="shared" si="4"/>
        <v>50</v>
      </c>
      <c r="M20" s="9">
        <v>5</v>
      </c>
      <c r="N20" s="9">
        <v>0</v>
      </c>
      <c r="O20" s="8">
        <f t="shared" si="5"/>
        <v>0</v>
      </c>
      <c r="P20" s="7">
        <v>4</v>
      </c>
      <c r="Q20" s="7">
        <v>2</v>
      </c>
      <c r="R20" s="26">
        <f t="shared" si="6"/>
        <v>50</v>
      </c>
      <c r="S20" s="18">
        <v>4</v>
      </c>
      <c r="T20" s="9">
        <v>3</v>
      </c>
      <c r="U20" s="26">
        <f t="shared" si="7"/>
        <v>75</v>
      </c>
      <c r="V20" s="7">
        <v>6</v>
      </c>
      <c r="W20" s="7">
        <v>5</v>
      </c>
      <c r="X20" s="8">
        <f t="shared" si="8"/>
        <v>83.333333333333343</v>
      </c>
      <c r="Y20" s="9">
        <v>3</v>
      </c>
      <c r="Z20" s="9">
        <v>1</v>
      </c>
      <c r="AA20" s="8">
        <f t="shared" si="9"/>
        <v>33.333333333333329</v>
      </c>
      <c r="AB20" s="40">
        <v>4</v>
      </c>
      <c r="AC20" s="40">
        <v>3</v>
      </c>
      <c r="AD20" s="41">
        <f t="shared" si="0"/>
        <v>75</v>
      </c>
      <c r="AE20" s="42">
        <v>4</v>
      </c>
      <c r="AF20" s="42">
        <v>3</v>
      </c>
      <c r="AG20" s="41">
        <f t="shared" si="1"/>
        <v>75</v>
      </c>
      <c r="AH20" s="7">
        <v>8</v>
      </c>
      <c r="AI20" s="7">
        <v>6</v>
      </c>
      <c r="AJ20" s="8">
        <f t="shared" si="10"/>
        <v>75</v>
      </c>
      <c r="AK20" s="9">
        <v>6</v>
      </c>
      <c r="AL20" s="9">
        <v>3</v>
      </c>
      <c r="AM20" s="8">
        <f t="shared" si="11"/>
        <v>50</v>
      </c>
      <c r="AN20" s="9">
        <v>0</v>
      </c>
      <c r="AO20" s="9">
        <v>0</v>
      </c>
      <c r="AP20" s="9">
        <v>0</v>
      </c>
      <c r="AQ20" s="9">
        <v>0</v>
      </c>
      <c r="AR20" s="9">
        <v>0</v>
      </c>
      <c r="AS20" s="9">
        <v>0</v>
      </c>
      <c r="AT20" s="10">
        <f t="shared" si="12"/>
        <v>34</v>
      </c>
      <c r="AU20" s="10">
        <f t="shared" si="12"/>
        <v>21</v>
      </c>
      <c r="AV20" s="26">
        <f t="shared" si="13"/>
        <v>61.764705882352942</v>
      </c>
      <c r="AW20" s="10">
        <f t="shared" si="14"/>
        <v>24</v>
      </c>
      <c r="AX20" s="10">
        <f t="shared" si="14"/>
        <v>10</v>
      </c>
      <c r="AY20" s="26">
        <f t="shared" si="15"/>
        <v>41.666666666666671</v>
      </c>
      <c r="AZ20" s="10">
        <f t="shared" si="16"/>
        <v>58</v>
      </c>
      <c r="BA20" s="10">
        <f t="shared" si="16"/>
        <v>31</v>
      </c>
      <c r="BB20" s="27">
        <f t="shared" si="17"/>
        <v>53.448275862068961</v>
      </c>
    </row>
    <row r="21" spans="1:54">
      <c r="A21" s="12">
        <v>15</v>
      </c>
      <c r="B21" s="13">
        <v>1230321012</v>
      </c>
      <c r="C21" s="14" t="s">
        <v>37</v>
      </c>
      <c r="D21" s="7">
        <v>4</v>
      </c>
      <c r="E21" s="7">
        <v>2</v>
      </c>
      <c r="F21" s="8">
        <f t="shared" si="2"/>
        <v>50</v>
      </c>
      <c r="G21" s="7">
        <v>2</v>
      </c>
      <c r="H21" s="7">
        <v>1</v>
      </c>
      <c r="I21" s="8">
        <f t="shared" si="3"/>
        <v>50</v>
      </c>
      <c r="J21" s="7">
        <v>8</v>
      </c>
      <c r="K21" s="7">
        <v>6</v>
      </c>
      <c r="L21" s="8">
        <f t="shared" si="4"/>
        <v>75</v>
      </c>
      <c r="M21" s="9">
        <v>5</v>
      </c>
      <c r="N21" s="9">
        <v>2</v>
      </c>
      <c r="O21" s="8">
        <f t="shared" si="5"/>
        <v>40</v>
      </c>
      <c r="P21" s="7">
        <v>4</v>
      </c>
      <c r="Q21" s="7">
        <v>4</v>
      </c>
      <c r="R21" s="26">
        <f t="shared" si="6"/>
        <v>100</v>
      </c>
      <c r="S21" s="18">
        <v>4</v>
      </c>
      <c r="T21" s="9">
        <v>4</v>
      </c>
      <c r="U21" s="26">
        <f t="shared" si="7"/>
        <v>100</v>
      </c>
      <c r="V21" s="7">
        <v>6</v>
      </c>
      <c r="W21" s="7">
        <v>3</v>
      </c>
      <c r="X21" s="8">
        <f t="shared" si="8"/>
        <v>50</v>
      </c>
      <c r="Y21" s="9">
        <v>3</v>
      </c>
      <c r="Z21" s="9">
        <v>1</v>
      </c>
      <c r="AA21" s="8">
        <f t="shared" si="9"/>
        <v>33.333333333333329</v>
      </c>
      <c r="AB21" s="40">
        <v>4</v>
      </c>
      <c r="AC21" s="40">
        <v>2</v>
      </c>
      <c r="AD21" s="41">
        <f t="shared" si="0"/>
        <v>50</v>
      </c>
      <c r="AE21" s="42">
        <v>4</v>
      </c>
      <c r="AF21" s="42">
        <v>3</v>
      </c>
      <c r="AG21" s="41">
        <f t="shared" si="1"/>
        <v>75</v>
      </c>
      <c r="AH21" s="7">
        <v>8</v>
      </c>
      <c r="AI21" s="7">
        <v>5</v>
      </c>
      <c r="AJ21" s="8">
        <f t="shared" si="10"/>
        <v>62.5</v>
      </c>
      <c r="AK21" s="9">
        <v>6</v>
      </c>
      <c r="AL21" s="9">
        <v>4</v>
      </c>
      <c r="AM21" s="8">
        <f t="shared" si="11"/>
        <v>66.666666666666657</v>
      </c>
      <c r="AN21" s="9">
        <v>0</v>
      </c>
      <c r="AO21" s="9">
        <v>0</v>
      </c>
      <c r="AP21" s="9">
        <v>0</v>
      </c>
      <c r="AQ21" s="9">
        <v>0</v>
      </c>
      <c r="AR21" s="9">
        <v>0</v>
      </c>
      <c r="AS21" s="9">
        <v>0</v>
      </c>
      <c r="AT21" s="10">
        <f t="shared" si="12"/>
        <v>34</v>
      </c>
      <c r="AU21" s="10">
        <f t="shared" si="12"/>
        <v>22</v>
      </c>
      <c r="AV21" s="26">
        <f t="shared" si="13"/>
        <v>64.705882352941174</v>
      </c>
      <c r="AW21" s="10">
        <f t="shared" si="14"/>
        <v>24</v>
      </c>
      <c r="AX21" s="10">
        <f t="shared" si="14"/>
        <v>15</v>
      </c>
      <c r="AY21" s="26">
        <f t="shared" si="15"/>
        <v>62.5</v>
      </c>
      <c r="AZ21" s="10">
        <f t="shared" si="16"/>
        <v>58</v>
      </c>
      <c r="BA21" s="10">
        <f t="shared" si="16"/>
        <v>37</v>
      </c>
      <c r="BB21" s="27">
        <f t="shared" si="17"/>
        <v>63.793103448275865</v>
      </c>
    </row>
    <row r="22" spans="1:54">
      <c r="A22" s="12">
        <v>16</v>
      </c>
      <c r="B22" s="13">
        <v>1230321013</v>
      </c>
      <c r="C22" s="14" t="s">
        <v>38</v>
      </c>
      <c r="D22" s="7">
        <v>4</v>
      </c>
      <c r="E22" s="7">
        <v>1</v>
      </c>
      <c r="F22" s="8">
        <f t="shared" si="2"/>
        <v>25</v>
      </c>
      <c r="G22" s="7">
        <v>2</v>
      </c>
      <c r="H22" s="7">
        <v>1</v>
      </c>
      <c r="I22" s="8">
        <f t="shared" si="3"/>
        <v>50</v>
      </c>
      <c r="J22" s="7">
        <v>8</v>
      </c>
      <c r="K22" s="7">
        <v>5</v>
      </c>
      <c r="L22" s="8">
        <f t="shared" si="4"/>
        <v>62.5</v>
      </c>
      <c r="M22" s="9">
        <v>5</v>
      </c>
      <c r="N22" s="9">
        <v>0</v>
      </c>
      <c r="O22" s="8">
        <f t="shared" si="5"/>
        <v>0</v>
      </c>
      <c r="P22" s="7">
        <v>4</v>
      </c>
      <c r="Q22" s="7">
        <v>1</v>
      </c>
      <c r="R22" s="26">
        <f t="shared" si="6"/>
        <v>25</v>
      </c>
      <c r="S22" s="18">
        <v>4</v>
      </c>
      <c r="T22" s="9">
        <v>1</v>
      </c>
      <c r="U22" s="26">
        <f t="shared" si="7"/>
        <v>25</v>
      </c>
      <c r="V22" s="7">
        <v>6</v>
      </c>
      <c r="W22" s="7">
        <v>1</v>
      </c>
      <c r="X22" s="8">
        <f t="shared" si="8"/>
        <v>16.666666666666664</v>
      </c>
      <c r="Y22" s="9">
        <v>3</v>
      </c>
      <c r="Z22" s="9">
        <v>1</v>
      </c>
      <c r="AA22" s="8">
        <f t="shared" si="9"/>
        <v>33.333333333333329</v>
      </c>
      <c r="AB22" s="40">
        <v>4</v>
      </c>
      <c r="AC22" s="40">
        <v>4</v>
      </c>
      <c r="AD22" s="41">
        <f t="shared" si="0"/>
        <v>100</v>
      </c>
      <c r="AE22" s="42">
        <v>4</v>
      </c>
      <c r="AF22" s="42">
        <v>4</v>
      </c>
      <c r="AG22" s="41">
        <f t="shared" si="1"/>
        <v>100</v>
      </c>
      <c r="AH22" s="7">
        <v>8</v>
      </c>
      <c r="AI22" s="7">
        <v>5</v>
      </c>
      <c r="AJ22" s="8">
        <f t="shared" si="10"/>
        <v>62.5</v>
      </c>
      <c r="AK22" s="9">
        <v>6</v>
      </c>
      <c r="AL22" s="9">
        <v>4</v>
      </c>
      <c r="AM22" s="8">
        <f t="shared" si="11"/>
        <v>66.666666666666657</v>
      </c>
      <c r="AN22" s="9">
        <v>0</v>
      </c>
      <c r="AO22" s="9">
        <v>0</v>
      </c>
      <c r="AP22" s="9">
        <v>0</v>
      </c>
      <c r="AQ22" s="9">
        <v>0</v>
      </c>
      <c r="AR22" s="9">
        <v>0</v>
      </c>
      <c r="AS22" s="9">
        <v>0</v>
      </c>
      <c r="AT22" s="10">
        <f t="shared" si="12"/>
        <v>34</v>
      </c>
      <c r="AU22" s="10">
        <f t="shared" si="12"/>
        <v>17</v>
      </c>
      <c r="AV22" s="26">
        <f t="shared" si="13"/>
        <v>50</v>
      </c>
      <c r="AW22" s="10">
        <f t="shared" si="14"/>
        <v>24</v>
      </c>
      <c r="AX22" s="10">
        <f t="shared" si="14"/>
        <v>11</v>
      </c>
      <c r="AY22" s="26">
        <f t="shared" si="15"/>
        <v>45.833333333333329</v>
      </c>
      <c r="AZ22" s="10">
        <f t="shared" si="16"/>
        <v>58</v>
      </c>
      <c r="BA22" s="10">
        <f t="shared" si="16"/>
        <v>28</v>
      </c>
      <c r="BB22" s="27">
        <f t="shared" si="17"/>
        <v>48.275862068965516</v>
      </c>
    </row>
    <row r="23" spans="1:54">
      <c r="A23" s="12">
        <v>17</v>
      </c>
      <c r="B23" s="13">
        <v>1230321014</v>
      </c>
      <c r="C23" s="14" t="s">
        <v>39</v>
      </c>
      <c r="D23" s="7">
        <v>4</v>
      </c>
      <c r="E23" s="7">
        <v>4</v>
      </c>
      <c r="F23" s="8">
        <f t="shared" si="2"/>
        <v>100</v>
      </c>
      <c r="G23" s="7">
        <v>2</v>
      </c>
      <c r="H23" s="7">
        <v>2</v>
      </c>
      <c r="I23" s="8">
        <f t="shared" si="3"/>
        <v>100</v>
      </c>
      <c r="J23" s="7">
        <v>8</v>
      </c>
      <c r="K23" s="7">
        <v>5</v>
      </c>
      <c r="L23" s="8">
        <f t="shared" si="4"/>
        <v>62.5</v>
      </c>
      <c r="M23" s="9">
        <v>5</v>
      </c>
      <c r="N23" s="9">
        <v>2</v>
      </c>
      <c r="O23" s="8">
        <f t="shared" si="5"/>
        <v>40</v>
      </c>
      <c r="P23" s="7">
        <v>4</v>
      </c>
      <c r="Q23" s="7">
        <v>4</v>
      </c>
      <c r="R23" s="26">
        <f t="shared" si="6"/>
        <v>100</v>
      </c>
      <c r="S23" s="18">
        <v>4</v>
      </c>
      <c r="T23" s="9">
        <v>4</v>
      </c>
      <c r="U23" s="26">
        <f t="shared" si="7"/>
        <v>100</v>
      </c>
      <c r="V23" s="7">
        <v>6</v>
      </c>
      <c r="W23" s="7">
        <v>6</v>
      </c>
      <c r="X23" s="8">
        <f t="shared" si="8"/>
        <v>100</v>
      </c>
      <c r="Y23" s="9">
        <v>3</v>
      </c>
      <c r="Z23" s="9">
        <v>1</v>
      </c>
      <c r="AA23" s="8">
        <f t="shared" si="9"/>
        <v>33.333333333333329</v>
      </c>
      <c r="AB23" s="40">
        <v>4</v>
      </c>
      <c r="AC23" s="40">
        <v>3</v>
      </c>
      <c r="AD23" s="41">
        <f t="shared" si="0"/>
        <v>75</v>
      </c>
      <c r="AE23" s="42">
        <v>4</v>
      </c>
      <c r="AF23" s="42">
        <v>1</v>
      </c>
      <c r="AG23" s="41">
        <f t="shared" si="1"/>
        <v>25</v>
      </c>
      <c r="AH23" s="7">
        <v>8</v>
      </c>
      <c r="AI23" s="7">
        <v>7</v>
      </c>
      <c r="AJ23" s="8">
        <f t="shared" si="10"/>
        <v>87.5</v>
      </c>
      <c r="AK23" s="9">
        <v>6</v>
      </c>
      <c r="AL23" s="9">
        <v>3</v>
      </c>
      <c r="AM23" s="8">
        <f t="shared" si="11"/>
        <v>50</v>
      </c>
      <c r="AN23" s="9">
        <v>0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10">
        <f t="shared" si="12"/>
        <v>34</v>
      </c>
      <c r="AU23" s="10">
        <f t="shared" si="12"/>
        <v>29</v>
      </c>
      <c r="AV23" s="26">
        <f t="shared" si="13"/>
        <v>85.294117647058826</v>
      </c>
      <c r="AW23" s="10">
        <f t="shared" si="14"/>
        <v>24</v>
      </c>
      <c r="AX23" s="10">
        <f t="shared" si="14"/>
        <v>13</v>
      </c>
      <c r="AY23" s="26">
        <f t="shared" si="15"/>
        <v>54.166666666666664</v>
      </c>
      <c r="AZ23" s="10">
        <f t="shared" si="16"/>
        <v>58</v>
      </c>
      <c r="BA23" s="10">
        <f t="shared" si="16"/>
        <v>42</v>
      </c>
      <c r="BB23" s="27">
        <f t="shared" si="17"/>
        <v>72.41379310344827</v>
      </c>
    </row>
    <row r="24" spans="1:54">
      <c r="A24" s="12">
        <v>18</v>
      </c>
      <c r="B24" s="13">
        <v>1230321015</v>
      </c>
      <c r="C24" s="14" t="s">
        <v>40</v>
      </c>
      <c r="D24" s="7">
        <v>4</v>
      </c>
      <c r="E24" s="7">
        <v>0</v>
      </c>
      <c r="F24" s="8">
        <f t="shared" si="2"/>
        <v>0</v>
      </c>
      <c r="G24" s="7">
        <v>2</v>
      </c>
      <c r="H24" s="7">
        <v>0</v>
      </c>
      <c r="I24" s="8">
        <f t="shared" si="3"/>
        <v>0</v>
      </c>
      <c r="J24" s="7">
        <v>8</v>
      </c>
      <c r="K24" s="7">
        <v>2</v>
      </c>
      <c r="L24" s="8">
        <f t="shared" si="4"/>
        <v>25</v>
      </c>
      <c r="M24" s="9">
        <v>5</v>
      </c>
      <c r="N24" s="9">
        <v>0</v>
      </c>
      <c r="O24" s="8">
        <f t="shared" si="5"/>
        <v>0</v>
      </c>
      <c r="P24" s="7">
        <v>4</v>
      </c>
      <c r="Q24" s="7">
        <v>3</v>
      </c>
      <c r="R24" s="26">
        <f t="shared" si="6"/>
        <v>75</v>
      </c>
      <c r="S24" s="18">
        <v>4</v>
      </c>
      <c r="T24" s="9">
        <v>3</v>
      </c>
      <c r="U24" s="26">
        <f t="shared" si="7"/>
        <v>75</v>
      </c>
      <c r="V24" s="7">
        <v>6</v>
      </c>
      <c r="W24" s="7">
        <v>3</v>
      </c>
      <c r="X24" s="8">
        <f t="shared" si="8"/>
        <v>50</v>
      </c>
      <c r="Y24" s="9">
        <v>3</v>
      </c>
      <c r="Z24" s="9">
        <v>1</v>
      </c>
      <c r="AA24" s="8">
        <f t="shared" si="9"/>
        <v>33.333333333333329</v>
      </c>
      <c r="AB24" s="40">
        <v>4</v>
      </c>
      <c r="AC24" s="40">
        <v>3</v>
      </c>
      <c r="AD24" s="41">
        <f t="shared" si="0"/>
        <v>75</v>
      </c>
      <c r="AE24" s="42">
        <v>4</v>
      </c>
      <c r="AF24" s="42">
        <v>3</v>
      </c>
      <c r="AG24" s="41">
        <f t="shared" si="1"/>
        <v>75</v>
      </c>
      <c r="AH24" s="7">
        <v>8</v>
      </c>
      <c r="AI24" s="7">
        <v>3</v>
      </c>
      <c r="AJ24" s="8">
        <f t="shared" si="10"/>
        <v>37.5</v>
      </c>
      <c r="AK24" s="9">
        <v>6</v>
      </c>
      <c r="AL24" s="9">
        <v>2</v>
      </c>
      <c r="AM24" s="8">
        <f t="shared" si="11"/>
        <v>33.333333333333329</v>
      </c>
      <c r="AN24" s="9">
        <v>0</v>
      </c>
      <c r="AO24" s="9">
        <v>0</v>
      </c>
      <c r="AP24" s="9">
        <v>0</v>
      </c>
      <c r="AQ24" s="9">
        <v>0</v>
      </c>
      <c r="AR24" s="9">
        <v>0</v>
      </c>
      <c r="AS24" s="9">
        <v>0</v>
      </c>
      <c r="AT24" s="10">
        <f t="shared" si="12"/>
        <v>34</v>
      </c>
      <c r="AU24" s="10">
        <f t="shared" si="12"/>
        <v>14</v>
      </c>
      <c r="AV24" s="26">
        <f t="shared" si="13"/>
        <v>41.17647058823529</v>
      </c>
      <c r="AW24" s="10">
        <f t="shared" si="14"/>
        <v>24</v>
      </c>
      <c r="AX24" s="10">
        <f t="shared" si="14"/>
        <v>9</v>
      </c>
      <c r="AY24" s="26">
        <f t="shared" si="15"/>
        <v>37.5</v>
      </c>
      <c r="AZ24" s="10">
        <f t="shared" si="16"/>
        <v>58</v>
      </c>
      <c r="BA24" s="10">
        <f t="shared" si="16"/>
        <v>23</v>
      </c>
      <c r="BB24" s="27">
        <f t="shared" si="17"/>
        <v>39.655172413793103</v>
      </c>
    </row>
    <row r="25" spans="1:54">
      <c r="A25" s="12">
        <v>19</v>
      </c>
      <c r="B25" s="13">
        <v>1230321016</v>
      </c>
      <c r="C25" s="14" t="s">
        <v>41</v>
      </c>
      <c r="D25" s="7">
        <v>4</v>
      </c>
      <c r="E25" s="7">
        <v>0</v>
      </c>
      <c r="F25" s="8">
        <f t="shared" si="2"/>
        <v>0</v>
      </c>
      <c r="G25" s="7">
        <v>2</v>
      </c>
      <c r="H25" s="7">
        <v>0</v>
      </c>
      <c r="I25" s="8">
        <f t="shared" si="3"/>
        <v>0</v>
      </c>
      <c r="J25" s="7">
        <v>8</v>
      </c>
      <c r="K25" s="7">
        <v>4</v>
      </c>
      <c r="L25" s="8">
        <f t="shared" si="4"/>
        <v>50</v>
      </c>
      <c r="M25" s="9">
        <v>5</v>
      </c>
      <c r="N25" s="9">
        <v>0</v>
      </c>
      <c r="O25" s="8">
        <f t="shared" si="5"/>
        <v>0</v>
      </c>
      <c r="P25" s="7">
        <v>4</v>
      </c>
      <c r="Q25" s="7">
        <v>3</v>
      </c>
      <c r="R25" s="26">
        <f t="shared" si="6"/>
        <v>75</v>
      </c>
      <c r="S25" s="18">
        <v>4</v>
      </c>
      <c r="T25" s="9">
        <v>3</v>
      </c>
      <c r="U25" s="26">
        <f t="shared" si="7"/>
        <v>75</v>
      </c>
      <c r="V25" s="7">
        <v>6</v>
      </c>
      <c r="W25" s="7">
        <v>4</v>
      </c>
      <c r="X25" s="8">
        <f t="shared" si="8"/>
        <v>66.666666666666657</v>
      </c>
      <c r="Y25" s="9">
        <v>3</v>
      </c>
      <c r="Z25" s="9">
        <v>1</v>
      </c>
      <c r="AA25" s="8">
        <f t="shared" si="9"/>
        <v>33.333333333333329</v>
      </c>
      <c r="AB25" s="40">
        <v>4</v>
      </c>
      <c r="AC25" s="40">
        <v>4</v>
      </c>
      <c r="AD25" s="41">
        <f t="shared" si="0"/>
        <v>100</v>
      </c>
      <c r="AE25" s="42">
        <v>4</v>
      </c>
      <c r="AF25" s="42">
        <v>4</v>
      </c>
      <c r="AG25" s="41">
        <f t="shared" si="1"/>
        <v>100</v>
      </c>
      <c r="AH25" s="7">
        <v>8</v>
      </c>
      <c r="AI25" s="7">
        <v>4</v>
      </c>
      <c r="AJ25" s="8">
        <f t="shared" si="10"/>
        <v>50</v>
      </c>
      <c r="AK25" s="9">
        <v>6</v>
      </c>
      <c r="AL25" s="9">
        <v>2</v>
      </c>
      <c r="AM25" s="8">
        <f t="shared" si="11"/>
        <v>33.333333333333329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0</v>
      </c>
      <c r="AT25" s="10">
        <f t="shared" si="12"/>
        <v>34</v>
      </c>
      <c r="AU25" s="10">
        <f t="shared" si="12"/>
        <v>19</v>
      </c>
      <c r="AV25" s="26">
        <f t="shared" si="13"/>
        <v>55.882352941176471</v>
      </c>
      <c r="AW25" s="10">
        <f t="shared" si="14"/>
        <v>24</v>
      </c>
      <c r="AX25" s="10">
        <f t="shared" si="14"/>
        <v>10</v>
      </c>
      <c r="AY25" s="26">
        <f t="shared" si="15"/>
        <v>41.666666666666671</v>
      </c>
      <c r="AZ25" s="10">
        <f t="shared" si="16"/>
        <v>58</v>
      </c>
      <c r="BA25" s="10">
        <f t="shared" si="16"/>
        <v>29</v>
      </c>
      <c r="BB25" s="27">
        <f t="shared" si="17"/>
        <v>50</v>
      </c>
    </row>
    <row r="26" spans="1:54">
      <c r="A26" s="12">
        <v>20</v>
      </c>
      <c r="B26" s="13">
        <v>1230321017</v>
      </c>
      <c r="C26" s="14" t="s">
        <v>42</v>
      </c>
      <c r="D26" s="7">
        <v>4</v>
      </c>
      <c r="E26" s="7">
        <v>1</v>
      </c>
      <c r="F26" s="8">
        <f t="shared" si="2"/>
        <v>25</v>
      </c>
      <c r="G26" s="7">
        <v>2</v>
      </c>
      <c r="H26" s="7">
        <v>0</v>
      </c>
      <c r="I26" s="8">
        <f t="shared" si="3"/>
        <v>0</v>
      </c>
      <c r="J26" s="7">
        <v>8</v>
      </c>
      <c r="K26" s="7">
        <v>6</v>
      </c>
      <c r="L26" s="8">
        <f t="shared" si="4"/>
        <v>75</v>
      </c>
      <c r="M26" s="9">
        <v>5</v>
      </c>
      <c r="N26" s="9">
        <v>1</v>
      </c>
      <c r="O26" s="8">
        <f t="shared" si="5"/>
        <v>20</v>
      </c>
      <c r="P26" s="7">
        <v>4</v>
      </c>
      <c r="Q26" s="7">
        <v>3</v>
      </c>
      <c r="R26" s="26">
        <f t="shared" si="6"/>
        <v>75</v>
      </c>
      <c r="S26" s="18">
        <v>4</v>
      </c>
      <c r="T26" s="9">
        <v>3</v>
      </c>
      <c r="U26" s="26">
        <f t="shared" si="7"/>
        <v>75</v>
      </c>
      <c r="V26" s="7">
        <v>6</v>
      </c>
      <c r="W26" s="7">
        <v>5</v>
      </c>
      <c r="X26" s="8">
        <f t="shared" si="8"/>
        <v>83.333333333333343</v>
      </c>
      <c r="Y26" s="9">
        <v>3</v>
      </c>
      <c r="Z26" s="9">
        <v>1</v>
      </c>
      <c r="AA26" s="8">
        <f t="shared" si="9"/>
        <v>33.333333333333329</v>
      </c>
      <c r="AB26" s="40">
        <v>4</v>
      </c>
      <c r="AC26" s="40">
        <v>3</v>
      </c>
      <c r="AD26" s="41">
        <f t="shared" si="0"/>
        <v>75</v>
      </c>
      <c r="AE26" s="42">
        <v>4</v>
      </c>
      <c r="AF26" s="42">
        <v>3</v>
      </c>
      <c r="AG26" s="41">
        <f t="shared" si="1"/>
        <v>75</v>
      </c>
      <c r="AH26" s="7">
        <v>8</v>
      </c>
      <c r="AI26" s="7">
        <v>6</v>
      </c>
      <c r="AJ26" s="8">
        <f t="shared" si="10"/>
        <v>75</v>
      </c>
      <c r="AK26" s="9">
        <v>6</v>
      </c>
      <c r="AL26" s="9">
        <v>2</v>
      </c>
      <c r="AM26" s="8">
        <f t="shared" si="11"/>
        <v>33.333333333333329</v>
      </c>
      <c r="AN26" s="9">
        <v>0</v>
      </c>
      <c r="AO26" s="9">
        <v>0</v>
      </c>
      <c r="AP26" s="9">
        <v>0</v>
      </c>
      <c r="AQ26" s="9">
        <v>0</v>
      </c>
      <c r="AR26" s="9">
        <v>0</v>
      </c>
      <c r="AS26" s="9">
        <v>0</v>
      </c>
      <c r="AT26" s="10">
        <f t="shared" si="12"/>
        <v>34</v>
      </c>
      <c r="AU26" s="10">
        <f t="shared" si="12"/>
        <v>24</v>
      </c>
      <c r="AV26" s="26">
        <f t="shared" si="13"/>
        <v>70.588235294117652</v>
      </c>
      <c r="AW26" s="10">
        <f t="shared" si="14"/>
        <v>24</v>
      </c>
      <c r="AX26" s="10">
        <f t="shared" si="14"/>
        <v>10</v>
      </c>
      <c r="AY26" s="26">
        <f t="shared" si="15"/>
        <v>41.666666666666671</v>
      </c>
      <c r="AZ26" s="10">
        <f t="shared" si="16"/>
        <v>58</v>
      </c>
      <c r="BA26" s="10">
        <f t="shared" si="16"/>
        <v>34</v>
      </c>
      <c r="BB26" s="27">
        <f t="shared" si="17"/>
        <v>58.620689655172406</v>
      </c>
    </row>
    <row r="27" spans="1:54">
      <c r="A27" s="12">
        <v>21</v>
      </c>
      <c r="B27" s="13">
        <v>1230321018</v>
      </c>
      <c r="C27" s="14" t="s">
        <v>43</v>
      </c>
      <c r="D27" s="7">
        <v>4</v>
      </c>
      <c r="E27" s="7">
        <v>0</v>
      </c>
      <c r="F27" s="8">
        <f t="shared" si="2"/>
        <v>0</v>
      </c>
      <c r="G27" s="7">
        <v>2</v>
      </c>
      <c r="H27" s="7">
        <v>0</v>
      </c>
      <c r="I27" s="8">
        <f t="shared" si="3"/>
        <v>0</v>
      </c>
      <c r="J27" s="7">
        <v>8</v>
      </c>
      <c r="K27" s="7">
        <v>4</v>
      </c>
      <c r="L27" s="8">
        <f t="shared" si="4"/>
        <v>50</v>
      </c>
      <c r="M27" s="9">
        <v>5</v>
      </c>
      <c r="N27" s="9">
        <v>0</v>
      </c>
      <c r="O27" s="8">
        <f t="shared" si="5"/>
        <v>0</v>
      </c>
      <c r="P27" s="7">
        <v>4</v>
      </c>
      <c r="Q27" s="7">
        <v>1</v>
      </c>
      <c r="R27" s="26">
        <f t="shared" si="6"/>
        <v>25</v>
      </c>
      <c r="S27" s="18">
        <v>4</v>
      </c>
      <c r="T27" s="9">
        <v>1</v>
      </c>
      <c r="U27" s="26">
        <f t="shared" si="7"/>
        <v>25</v>
      </c>
      <c r="V27" s="7">
        <v>6</v>
      </c>
      <c r="W27" s="7">
        <v>2</v>
      </c>
      <c r="X27" s="8">
        <f t="shared" si="8"/>
        <v>33.333333333333329</v>
      </c>
      <c r="Y27" s="9">
        <v>3</v>
      </c>
      <c r="Z27" s="9">
        <v>1</v>
      </c>
      <c r="AA27" s="8">
        <f t="shared" si="9"/>
        <v>33.333333333333329</v>
      </c>
      <c r="AB27" s="40">
        <v>4</v>
      </c>
      <c r="AC27" s="40">
        <v>3</v>
      </c>
      <c r="AD27" s="41">
        <f t="shared" si="0"/>
        <v>75</v>
      </c>
      <c r="AE27" s="42">
        <v>4</v>
      </c>
      <c r="AF27" s="42">
        <v>1</v>
      </c>
      <c r="AG27" s="41">
        <f t="shared" si="1"/>
        <v>25</v>
      </c>
      <c r="AH27" s="7">
        <v>8</v>
      </c>
      <c r="AI27" s="7">
        <v>1</v>
      </c>
      <c r="AJ27" s="8">
        <f t="shared" si="10"/>
        <v>12.5</v>
      </c>
      <c r="AK27" s="9">
        <v>6</v>
      </c>
      <c r="AL27" s="9">
        <v>0</v>
      </c>
      <c r="AM27" s="8">
        <f t="shared" si="11"/>
        <v>0</v>
      </c>
      <c r="AN27" s="9">
        <v>0</v>
      </c>
      <c r="AO27" s="9">
        <v>0</v>
      </c>
      <c r="AP27" s="9">
        <v>0</v>
      </c>
      <c r="AQ27" s="9">
        <v>0</v>
      </c>
      <c r="AR27" s="9">
        <v>0</v>
      </c>
      <c r="AS27" s="9">
        <v>0</v>
      </c>
      <c r="AT27" s="10">
        <f t="shared" si="12"/>
        <v>34</v>
      </c>
      <c r="AU27" s="10">
        <f t="shared" si="12"/>
        <v>11</v>
      </c>
      <c r="AV27" s="26">
        <f t="shared" si="13"/>
        <v>32.352941176470587</v>
      </c>
      <c r="AW27" s="10">
        <f t="shared" si="14"/>
        <v>24</v>
      </c>
      <c r="AX27" s="10">
        <f t="shared" si="14"/>
        <v>3</v>
      </c>
      <c r="AY27" s="26">
        <f t="shared" si="15"/>
        <v>12.5</v>
      </c>
      <c r="AZ27" s="10">
        <f t="shared" si="16"/>
        <v>58</v>
      </c>
      <c r="BA27" s="10">
        <f t="shared" si="16"/>
        <v>14</v>
      </c>
      <c r="BB27" s="27">
        <f t="shared" si="17"/>
        <v>24.137931034482758</v>
      </c>
    </row>
    <row r="28" spans="1:54">
      <c r="A28" s="12">
        <v>22</v>
      </c>
      <c r="B28" s="13">
        <v>1230321019</v>
      </c>
      <c r="C28" s="14" t="s">
        <v>44</v>
      </c>
      <c r="D28" s="7">
        <v>4</v>
      </c>
      <c r="E28" s="7">
        <v>4</v>
      </c>
      <c r="F28" s="8">
        <f t="shared" si="2"/>
        <v>100</v>
      </c>
      <c r="G28" s="7">
        <v>2</v>
      </c>
      <c r="H28" s="7">
        <v>2</v>
      </c>
      <c r="I28" s="8">
        <f t="shared" si="3"/>
        <v>100</v>
      </c>
      <c r="J28" s="7">
        <v>8</v>
      </c>
      <c r="K28" s="7">
        <v>6</v>
      </c>
      <c r="L28" s="8">
        <f t="shared" si="4"/>
        <v>75</v>
      </c>
      <c r="M28" s="9">
        <v>5</v>
      </c>
      <c r="N28" s="9">
        <v>1</v>
      </c>
      <c r="O28" s="8">
        <f t="shared" si="5"/>
        <v>20</v>
      </c>
      <c r="P28" s="7">
        <v>4</v>
      </c>
      <c r="Q28" s="7">
        <v>4</v>
      </c>
      <c r="R28" s="26">
        <f t="shared" si="6"/>
        <v>100</v>
      </c>
      <c r="S28" s="18">
        <v>4</v>
      </c>
      <c r="T28" s="9">
        <v>4</v>
      </c>
      <c r="U28" s="26">
        <f t="shared" si="7"/>
        <v>100</v>
      </c>
      <c r="V28" s="7">
        <v>6</v>
      </c>
      <c r="W28" s="7">
        <v>6</v>
      </c>
      <c r="X28" s="8">
        <f t="shared" si="8"/>
        <v>100</v>
      </c>
      <c r="Y28" s="9">
        <v>3</v>
      </c>
      <c r="Z28" s="9">
        <v>1</v>
      </c>
      <c r="AA28" s="8">
        <f t="shared" si="9"/>
        <v>33.333333333333329</v>
      </c>
      <c r="AB28" s="40">
        <v>4</v>
      </c>
      <c r="AC28" s="40">
        <v>4</v>
      </c>
      <c r="AD28" s="41">
        <f t="shared" si="0"/>
        <v>100</v>
      </c>
      <c r="AE28" s="42">
        <v>4</v>
      </c>
      <c r="AF28" s="42">
        <v>4</v>
      </c>
      <c r="AG28" s="41">
        <f t="shared" si="1"/>
        <v>100</v>
      </c>
      <c r="AH28" s="7">
        <v>8</v>
      </c>
      <c r="AI28" s="7">
        <v>7</v>
      </c>
      <c r="AJ28" s="8">
        <f t="shared" si="10"/>
        <v>87.5</v>
      </c>
      <c r="AK28" s="9">
        <v>6</v>
      </c>
      <c r="AL28" s="9">
        <v>3</v>
      </c>
      <c r="AM28" s="8">
        <f t="shared" si="11"/>
        <v>50</v>
      </c>
      <c r="AN28" s="9">
        <v>0</v>
      </c>
      <c r="AO28" s="9">
        <v>0</v>
      </c>
      <c r="AP28" s="9">
        <v>0</v>
      </c>
      <c r="AQ28" s="9">
        <v>0</v>
      </c>
      <c r="AR28" s="9">
        <v>0</v>
      </c>
      <c r="AS28" s="9">
        <v>0</v>
      </c>
      <c r="AT28" s="10">
        <f t="shared" si="12"/>
        <v>34</v>
      </c>
      <c r="AU28" s="10">
        <f t="shared" si="12"/>
        <v>31</v>
      </c>
      <c r="AV28" s="26">
        <f t="shared" si="13"/>
        <v>91.17647058823529</v>
      </c>
      <c r="AW28" s="10">
        <f t="shared" si="14"/>
        <v>24</v>
      </c>
      <c r="AX28" s="10">
        <f t="shared" si="14"/>
        <v>15</v>
      </c>
      <c r="AY28" s="26">
        <f t="shared" si="15"/>
        <v>62.5</v>
      </c>
      <c r="AZ28" s="10">
        <f t="shared" si="16"/>
        <v>58</v>
      </c>
      <c r="BA28" s="10">
        <f t="shared" si="16"/>
        <v>46</v>
      </c>
      <c r="BB28" s="27">
        <f t="shared" si="17"/>
        <v>79.310344827586206</v>
      </c>
    </row>
    <row r="29" spans="1:54">
      <c r="A29" s="12">
        <v>23</v>
      </c>
      <c r="B29" s="13">
        <v>1230321020</v>
      </c>
      <c r="C29" s="14" t="s">
        <v>45</v>
      </c>
      <c r="D29" s="7">
        <v>4</v>
      </c>
      <c r="E29" s="7">
        <v>3</v>
      </c>
      <c r="F29" s="8">
        <f t="shared" si="2"/>
        <v>75</v>
      </c>
      <c r="G29" s="7">
        <v>2</v>
      </c>
      <c r="H29" s="7">
        <v>1</v>
      </c>
      <c r="I29" s="8">
        <f t="shared" si="3"/>
        <v>50</v>
      </c>
      <c r="J29" s="7">
        <v>8</v>
      </c>
      <c r="K29" s="7">
        <v>4</v>
      </c>
      <c r="L29" s="8">
        <f t="shared" si="4"/>
        <v>50</v>
      </c>
      <c r="M29" s="9">
        <v>5</v>
      </c>
      <c r="N29" s="9">
        <v>2</v>
      </c>
      <c r="O29" s="8">
        <f t="shared" si="5"/>
        <v>40</v>
      </c>
      <c r="P29" s="7">
        <v>4</v>
      </c>
      <c r="Q29" s="7">
        <v>0</v>
      </c>
      <c r="R29" s="26">
        <f t="shared" si="6"/>
        <v>0</v>
      </c>
      <c r="S29" s="18">
        <v>4</v>
      </c>
      <c r="T29" s="9">
        <v>0</v>
      </c>
      <c r="U29" s="26">
        <f t="shared" si="7"/>
        <v>0</v>
      </c>
      <c r="V29" s="7">
        <v>6</v>
      </c>
      <c r="W29" s="7">
        <v>2</v>
      </c>
      <c r="X29" s="8">
        <f t="shared" si="8"/>
        <v>33.333333333333329</v>
      </c>
      <c r="Y29" s="9">
        <v>3</v>
      </c>
      <c r="Z29" s="9">
        <v>1</v>
      </c>
      <c r="AA29" s="8">
        <f t="shared" si="9"/>
        <v>33.333333333333329</v>
      </c>
      <c r="AB29" s="40">
        <v>4</v>
      </c>
      <c r="AC29" s="40">
        <v>3</v>
      </c>
      <c r="AD29" s="41">
        <f t="shared" si="0"/>
        <v>75</v>
      </c>
      <c r="AE29" s="42">
        <v>4</v>
      </c>
      <c r="AF29" s="42">
        <v>3</v>
      </c>
      <c r="AG29" s="41">
        <f t="shared" si="1"/>
        <v>75</v>
      </c>
      <c r="AH29" s="7">
        <v>8</v>
      </c>
      <c r="AI29" s="7">
        <v>5</v>
      </c>
      <c r="AJ29" s="8">
        <f t="shared" si="10"/>
        <v>62.5</v>
      </c>
      <c r="AK29" s="9">
        <v>6</v>
      </c>
      <c r="AL29" s="9">
        <v>3</v>
      </c>
      <c r="AM29" s="8">
        <f t="shared" si="11"/>
        <v>50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10">
        <f t="shared" si="12"/>
        <v>34</v>
      </c>
      <c r="AU29" s="10">
        <f t="shared" si="12"/>
        <v>17</v>
      </c>
      <c r="AV29" s="26">
        <f t="shared" si="13"/>
        <v>50</v>
      </c>
      <c r="AW29" s="10">
        <f t="shared" si="14"/>
        <v>24</v>
      </c>
      <c r="AX29" s="10">
        <f t="shared" si="14"/>
        <v>10</v>
      </c>
      <c r="AY29" s="26">
        <f t="shared" si="15"/>
        <v>41.666666666666671</v>
      </c>
      <c r="AZ29" s="10">
        <f t="shared" si="16"/>
        <v>58</v>
      </c>
      <c r="BA29" s="10">
        <f t="shared" si="16"/>
        <v>27</v>
      </c>
      <c r="BB29" s="27">
        <f t="shared" si="17"/>
        <v>46.551724137931032</v>
      </c>
    </row>
    <row r="30" spans="1:54">
      <c r="A30" s="12">
        <v>24</v>
      </c>
      <c r="B30" s="13">
        <v>1230321021</v>
      </c>
      <c r="C30" s="14" t="s">
        <v>46</v>
      </c>
      <c r="D30" s="7">
        <v>4</v>
      </c>
      <c r="E30" s="7">
        <v>0</v>
      </c>
      <c r="F30" s="8">
        <f t="shared" si="2"/>
        <v>0</v>
      </c>
      <c r="G30" s="7">
        <v>2</v>
      </c>
      <c r="H30" s="7">
        <v>0</v>
      </c>
      <c r="I30" s="8">
        <f t="shared" si="3"/>
        <v>0</v>
      </c>
      <c r="J30" s="7">
        <v>8</v>
      </c>
      <c r="K30" s="7">
        <v>5</v>
      </c>
      <c r="L30" s="8">
        <f t="shared" si="4"/>
        <v>62.5</v>
      </c>
      <c r="M30" s="9">
        <v>5</v>
      </c>
      <c r="N30" s="9">
        <v>1</v>
      </c>
      <c r="O30" s="8">
        <f t="shared" si="5"/>
        <v>20</v>
      </c>
      <c r="P30" s="7">
        <v>4</v>
      </c>
      <c r="Q30" s="7">
        <v>3</v>
      </c>
      <c r="R30" s="26">
        <f t="shared" si="6"/>
        <v>75</v>
      </c>
      <c r="S30" s="18">
        <v>4</v>
      </c>
      <c r="T30" s="9">
        <v>3</v>
      </c>
      <c r="U30" s="26">
        <f t="shared" si="7"/>
        <v>75</v>
      </c>
      <c r="V30" s="7">
        <v>6</v>
      </c>
      <c r="W30" s="7">
        <v>3</v>
      </c>
      <c r="X30" s="8">
        <f t="shared" si="8"/>
        <v>50</v>
      </c>
      <c r="Y30" s="9">
        <v>3</v>
      </c>
      <c r="Z30" s="9">
        <v>0</v>
      </c>
      <c r="AA30" s="8">
        <f t="shared" si="9"/>
        <v>0</v>
      </c>
      <c r="AB30" s="40">
        <v>4</v>
      </c>
      <c r="AC30" s="40">
        <v>3</v>
      </c>
      <c r="AD30" s="41">
        <f t="shared" si="0"/>
        <v>75</v>
      </c>
      <c r="AE30" s="42">
        <v>4</v>
      </c>
      <c r="AF30" s="42">
        <v>3</v>
      </c>
      <c r="AG30" s="41">
        <f t="shared" si="1"/>
        <v>75</v>
      </c>
      <c r="AH30" s="7">
        <v>8</v>
      </c>
      <c r="AI30" s="7">
        <v>4</v>
      </c>
      <c r="AJ30" s="8">
        <f t="shared" si="10"/>
        <v>50</v>
      </c>
      <c r="AK30" s="9">
        <v>6</v>
      </c>
      <c r="AL30" s="9">
        <v>2</v>
      </c>
      <c r="AM30" s="8">
        <f t="shared" si="11"/>
        <v>33.333333333333329</v>
      </c>
      <c r="AN30" s="9">
        <v>0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10">
        <f t="shared" si="12"/>
        <v>34</v>
      </c>
      <c r="AU30" s="10">
        <f t="shared" si="12"/>
        <v>18</v>
      </c>
      <c r="AV30" s="26">
        <f t="shared" si="13"/>
        <v>52.941176470588239</v>
      </c>
      <c r="AW30" s="10">
        <f t="shared" si="14"/>
        <v>24</v>
      </c>
      <c r="AX30" s="10">
        <f t="shared" si="14"/>
        <v>9</v>
      </c>
      <c r="AY30" s="26">
        <f t="shared" si="15"/>
        <v>37.5</v>
      </c>
      <c r="AZ30" s="10">
        <f t="shared" si="16"/>
        <v>58</v>
      </c>
      <c r="BA30" s="10">
        <f t="shared" si="16"/>
        <v>27</v>
      </c>
      <c r="BB30" s="27">
        <f t="shared" si="17"/>
        <v>46.551724137931032</v>
      </c>
    </row>
    <row r="31" spans="1:54">
      <c r="A31" s="12">
        <v>25</v>
      </c>
      <c r="B31" s="13">
        <v>1230321022</v>
      </c>
      <c r="C31" s="14" t="s">
        <v>47</v>
      </c>
      <c r="D31" s="7">
        <v>4</v>
      </c>
      <c r="E31" s="7">
        <v>0</v>
      </c>
      <c r="F31" s="8">
        <f t="shared" si="2"/>
        <v>0</v>
      </c>
      <c r="G31" s="7">
        <v>2</v>
      </c>
      <c r="H31" s="7">
        <v>0</v>
      </c>
      <c r="I31" s="8">
        <f t="shared" si="3"/>
        <v>0</v>
      </c>
      <c r="J31" s="7">
        <v>8</v>
      </c>
      <c r="K31" s="7">
        <v>3</v>
      </c>
      <c r="L31" s="8">
        <f t="shared" si="4"/>
        <v>37.5</v>
      </c>
      <c r="M31" s="9">
        <v>5</v>
      </c>
      <c r="N31" s="9">
        <v>0</v>
      </c>
      <c r="O31" s="8">
        <f t="shared" si="5"/>
        <v>0</v>
      </c>
      <c r="P31" s="7">
        <v>4</v>
      </c>
      <c r="Q31" s="7">
        <v>3</v>
      </c>
      <c r="R31" s="26">
        <f t="shared" si="6"/>
        <v>75</v>
      </c>
      <c r="S31" s="18">
        <v>4</v>
      </c>
      <c r="T31" s="9">
        <v>3</v>
      </c>
      <c r="U31" s="26">
        <f t="shared" si="7"/>
        <v>75</v>
      </c>
      <c r="V31" s="7">
        <v>6</v>
      </c>
      <c r="W31" s="7">
        <v>0</v>
      </c>
      <c r="X31" s="8">
        <f t="shared" si="8"/>
        <v>0</v>
      </c>
      <c r="Y31" s="9">
        <v>3</v>
      </c>
      <c r="Z31" s="9">
        <v>0</v>
      </c>
      <c r="AA31" s="8">
        <f t="shared" si="9"/>
        <v>0</v>
      </c>
      <c r="AB31" s="40">
        <v>4</v>
      </c>
      <c r="AC31" s="40">
        <v>2</v>
      </c>
      <c r="AD31" s="41">
        <f t="shared" si="0"/>
        <v>50</v>
      </c>
      <c r="AE31" s="42">
        <v>4</v>
      </c>
      <c r="AF31" s="42">
        <v>1</v>
      </c>
      <c r="AG31" s="41">
        <f t="shared" si="1"/>
        <v>25</v>
      </c>
      <c r="AH31" s="7">
        <v>8</v>
      </c>
      <c r="AI31" s="7">
        <v>3</v>
      </c>
      <c r="AJ31" s="8">
        <f t="shared" si="10"/>
        <v>37.5</v>
      </c>
      <c r="AK31" s="9">
        <v>6</v>
      </c>
      <c r="AL31" s="9">
        <v>0</v>
      </c>
      <c r="AM31" s="8">
        <f t="shared" si="11"/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10">
        <f t="shared" si="12"/>
        <v>34</v>
      </c>
      <c r="AU31" s="10">
        <f t="shared" si="12"/>
        <v>11</v>
      </c>
      <c r="AV31" s="26">
        <f t="shared" si="13"/>
        <v>32.352941176470587</v>
      </c>
      <c r="AW31" s="10">
        <f t="shared" si="14"/>
        <v>24</v>
      </c>
      <c r="AX31" s="10">
        <f t="shared" si="14"/>
        <v>4</v>
      </c>
      <c r="AY31" s="26">
        <f t="shared" si="15"/>
        <v>16.666666666666664</v>
      </c>
      <c r="AZ31" s="10">
        <f t="shared" si="16"/>
        <v>58</v>
      </c>
      <c r="BA31" s="10">
        <f t="shared" si="16"/>
        <v>15</v>
      </c>
      <c r="BB31" s="27">
        <f t="shared" si="17"/>
        <v>25.862068965517242</v>
      </c>
    </row>
    <row r="32" spans="1:54">
      <c r="A32" s="12">
        <v>26</v>
      </c>
      <c r="B32" s="13">
        <v>1230321023</v>
      </c>
      <c r="C32" s="14" t="s">
        <v>48</v>
      </c>
      <c r="D32" s="7">
        <v>4</v>
      </c>
      <c r="E32" s="7">
        <v>2</v>
      </c>
      <c r="F32" s="8">
        <f t="shared" si="2"/>
        <v>50</v>
      </c>
      <c r="G32" s="7">
        <v>2</v>
      </c>
      <c r="H32" s="7">
        <v>1</v>
      </c>
      <c r="I32" s="8">
        <f t="shared" si="3"/>
        <v>50</v>
      </c>
      <c r="J32" s="7">
        <v>8</v>
      </c>
      <c r="K32" s="7">
        <v>5</v>
      </c>
      <c r="L32" s="8">
        <f t="shared" si="4"/>
        <v>62.5</v>
      </c>
      <c r="M32" s="9">
        <v>5</v>
      </c>
      <c r="N32" s="9">
        <v>2</v>
      </c>
      <c r="O32" s="8">
        <f t="shared" si="5"/>
        <v>40</v>
      </c>
      <c r="P32" s="7">
        <v>4</v>
      </c>
      <c r="Q32" s="7">
        <v>2</v>
      </c>
      <c r="R32" s="26">
        <f t="shared" si="6"/>
        <v>50</v>
      </c>
      <c r="S32" s="18">
        <v>4</v>
      </c>
      <c r="T32" s="9">
        <v>2</v>
      </c>
      <c r="U32" s="26">
        <f t="shared" si="7"/>
        <v>50</v>
      </c>
      <c r="V32" s="7">
        <v>6</v>
      </c>
      <c r="W32" s="7">
        <v>3</v>
      </c>
      <c r="X32" s="8">
        <f t="shared" si="8"/>
        <v>50</v>
      </c>
      <c r="Y32" s="9">
        <v>3</v>
      </c>
      <c r="Z32" s="9">
        <v>1</v>
      </c>
      <c r="AA32" s="8">
        <f t="shared" si="9"/>
        <v>33.333333333333329</v>
      </c>
      <c r="AB32" s="40">
        <v>4</v>
      </c>
      <c r="AC32" s="40">
        <v>2</v>
      </c>
      <c r="AD32" s="41">
        <f t="shared" si="0"/>
        <v>50</v>
      </c>
      <c r="AE32" s="42">
        <v>4</v>
      </c>
      <c r="AF32" s="42">
        <v>2</v>
      </c>
      <c r="AG32" s="41">
        <f t="shared" si="1"/>
        <v>50</v>
      </c>
      <c r="AH32" s="7">
        <v>8</v>
      </c>
      <c r="AI32" s="7">
        <v>5</v>
      </c>
      <c r="AJ32" s="8">
        <f t="shared" si="10"/>
        <v>62.5</v>
      </c>
      <c r="AK32" s="9">
        <v>6</v>
      </c>
      <c r="AL32" s="9">
        <v>3</v>
      </c>
      <c r="AM32" s="8">
        <f t="shared" si="11"/>
        <v>50</v>
      </c>
      <c r="AN32" s="9">
        <v>0</v>
      </c>
      <c r="AO32" s="9">
        <v>0</v>
      </c>
      <c r="AP32" s="9">
        <v>0</v>
      </c>
      <c r="AQ32" s="9">
        <v>0</v>
      </c>
      <c r="AR32" s="9">
        <v>0</v>
      </c>
      <c r="AS32" s="9">
        <v>0</v>
      </c>
      <c r="AT32" s="10">
        <f t="shared" si="12"/>
        <v>34</v>
      </c>
      <c r="AU32" s="10">
        <f t="shared" si="12"/>
        <v>19</v>
      </c>
      <c r="AV32" s="26">
        <f t="shared" si="13"/>
        <v>55.882352941176471</v>
      </c>
      <c r="AW32" s="10">
        <f t="shared" si="14"/>
        <v>24</v>
      </c>
      <c r="AX32" s="10">
        <f t="shared" si="14"/>
        <v>11</v>
      </c>
      <c r="AY32" s="26">
        <f t="shared" si="15"/>
        <v>45.833333333333329</v>
      </c>
      <c r="AZ32" s="10">
        <f t="shared" si="16"/>
        <v>58</v>
      </c>
      <c r="BA32" s="10">
        <f t="shared" si="16"/>
        <v>30</v>
      </c>
      <c r="BB32" s="27">
        <f t="shared" si="17"/>
        <v>51.724137931034484</v>
      </c>
    </row>
    <row r="33" spans="1:54">
      <c r="A33" s="12">
        <v>27</v>
      </c>
      <c r="B33" s="13">
        <v>1230321024</v>
      </c>
      <c r="C33" s="14" t="s">
        <v>49</v>
      </c>
      <c r="D33" s="7">
        <v>4</v>
      </c>
      <c r="E33" s="7">
        <v>1</v>
      </c>
      <c r="F33" s="8">
        <f t="shared" si="2"/>
        <v>25</v>
      </c>
      <c r="G33" s="7">
        <v>2</v>
      </c>
      <c r="H33" s="7">
        <v>1</v>
      </c>
      <c r="I33" s="8">
        <f t="shared" si="3"/>
        <v>50</v>
      </c>
      <c r="J33" s="7">
        <v>8</v>
      </c>
      <c r="K33" s="7">
        <v>5</v>
      </c>
      <c r="L33" s="8">
        <f t="shared" si="4"/>
        <v>62.5</v>
      </c>
      <c r="M33" s="9">
        <v>5</v>
      </c>
      <c r="N33" s="9">
        <v>2</v>
      </c>
      <c r="O33" s="8">
        <f t="shared" si="5"/>
        <v>40</v>
      </c>
      <c r="P33" s="7">
        <v>4</v>
      </c>
      <c r="Q33" s="7">
        <v>3</v>
      </c>
      <c r="R33" s="26">
        <f t="shared" si="6"/>
        <v>75</v>
      </c>
      <c r="S33" s="18">
        <v>4</v>
      </c>
      <c r="T33" s="9">
        <v>3</v>
      </c>
      <c r="U33" s="26">
        <f t="shared" si="7"/>
        <v>75</v>
      </c>
      <c r="V33" s="7">
        <v>6</v>
      </c>
      <c r="W33" s="7">
        <v>3</v>
      </c>
      <c r="X33" s="8">
        <f t="shared" si="8"/>
        <v>50</v>
      </c>
      <c r="Y33" s="9">
        <v>3</v>
      </c>
      <c r="Z33" s="9">
        <v>0</v>
      </c>
      <c r="AA33" s="8">
        <f t="shared" si="9"/>
        <v>0</v>
      </c>
      <c r="AB33" s="40">
        <v>4</v>
      </c>
      <c r="AC33" s="40">
        <v>4</v>
      </c>
      <c r="AD33" s="41">
        <f t="shared" si="0"/>
        <v>100</v>
      </c>
      <c r="AE33" s="42">
        <v>4</v>
      </c>
      <c r="AF33" s="42">
        <v>3</v>
      </c>
      <c r="AG33" s="41">
        <f t="shared" si="1"/>
        <v>75</v>
      </c>
      <c r="AH33" s="7">
        <v>8</v>
      </c>
      <c r="AI33" s="7">
        <v>4</v>
      </c>
      <c r="AJ33" s="8">
        <f t="shared" si="10"/>
        <v>50</v>
      </c>
      <c r="AK33" s="9">
        <v>6</v>
      </c>
      <c r="AL33" s="9">
        <v>4</v>
      </c>
      <c r="AM33" s="8">
        <f t="shared" si="11"/>
        <v>66.666666666666657</v>
      </c>
      <c r="AN33" s="9">
        <v>0</v>
      </c>
      <c r="AO33" s="9">
        <v>0</v>
      </c>
      <c r="AP33" s="9">
        <v>0</v>
      </c>
      <c r="AQ33" s="9">
        <v>0</v>
      </c>
      <c r="AR33" s="9">
        <v>0</v>
      </c>
      <c r="AS33" s="9">
        <v>0</v>
      </c>
      <c r="AT33" s="10">
        <f t="shared" si="12"/>
        <v>34</v>
      </c>
      <c r="AU33" s="10">
        <f t="shared" si="12"/>
        <v>20</v>
      </c>
      <c r="AV33" s="26">
        <f t="shared" si="13"/>
        <v>58.82352941176471</v>
      </c>
      <c r="AW33" s="10">
        <f t="shared" si="14"/>
        <v>24</v>
      </c>
      <c r="AX33" s="10">
        <f t="shared" si="14"/>
        <v>13</v>
      </c>
      <c r="AY33" s="26">
        <f t="shared" si="15"/>
        <v>54.166666666666664</v>
      </c>
      <c r="AZ33" s="10">
        <f t="shared" si="16"/>
        <v>58</v>
      </c>
      <c r="BA33" s="10">
        <f t="shared" si="16"/>
        <v>33</v>
      </c>
      <c r="BB33" s="27">
        <f t="shared" si="17"/>
        <v>56.896551724137936</v>
      </c>
    </row>
    <row r="34" spans="1:54">
      <c r="A34" s="12">
        <v>28</v>
      </c>
      <c r="B34" s="13">
        <v>1230321025</v>
      </c>
      <c r="C34" s="14" t="s">
        <v>50</v>
      </c>
      <c r="D34" s="7">
        <v>4</v>
      </c>
      <c r="E34" s="7">
        <v>4</v>
      </c>
      <c r="F34" s="8">
        <f t="shared" si="2"/>
        <v>100</v>
      </c>
      <c r="G34" s="7">
        <v>2</v>
      </c>
      <c r="H34" s="7">
        <v>2</v>
      </c>
      <c r="I34" s="8">
        <f t="shared" si="3"/>
        <v>100</v>
      </c>
      <c r="J34" s="7">
        <v>8</v>
      </c>
      <c r="K34" s="7">
        <v>6</v>
      </c>
      <c r="L34" s="8">
        <f t="shared" si="4"/>
        <v>75</v>
      </c>
      <c r="M34" s="9">
        <v>5</v>
      </c>
      <c r="N34" s="9">
        <v>1</v>
      </c>
      <c r="O34" s="8">
        <f t="shared" si="5"/>
        <v>20</v>
      </c>
      <c r="P34" s="7">
        <v>4</v>
      </c>
      <c r="Q34" s="7">
        <v>3</v>
      </c>
      <c r="R34" s="26">
        <f t="shared" si="6"/>
        <v>75</v>
      </c>
      <c r="S34" s="18">
        <v>4</v>
      </c>
      <c r="T34" s="9">
        <v>3</v>
      </c>
      <c r="U34" s="26">
        <f t="shared" si="7"/>
        <v>75</v>
      </c>
      <c r="V34" s="7">
        <v>6</v>
      </c>
      <c r="W34" s="7">
        <v>1</v>
      </c>
      <c r="X34" s="8">
        <f t="shared" si="8"/>
        <v>16.666666666666664</v>
      </c>
      <c r="Y34" s="9">
        <v>3</v>
      </c>
      <c r="Z34" s="9">
        <v>0</v>
      </c>
      <c r="AA34" s="8">
        <f t="shared" si="9"/>
        <v>0</v>
      </c>
      <c r="AB34" s="40">
        <v>4</v>
      </c>
      <c r="AC34" s="40">
        <v>3</v>
      </c>
      <c r="AD34" s="41">
        <f t="shared" si="0"/>
        <v>75</v>
      </c>
      <c r="AE34" s="42">
        <v>4</v>
      </c>
      <c r="AF34" s="42">
        <v>2</v>
      </c>
      <c r="AG34" s="41">
        <f t="shared" si="1"/>
        <v>50</v>
      </c>
      <c r="AH34" s="7">
        <v>8</v>
      </c>
      <c r="AI34" s="7">
        <v>6</v>
      </c>
      <c r="AJ34" s="8">
        <f t="shared" si="10"/>
        <v>75</v>
      </c>
      <c r="AK34" s="9">
        <v>6</v>
      </c>
      <c r="AL34" s="9">
        <v>3</v>
      </c>
      <c r="AM34" s="8">
        <f t="shared" si="11"/>
        <v>50</v>
      </c>
      <c r="AN34" s="9">
        <v>0</v>
      </c>
      <c r="AO34" s="9">
        <v>0</v>
      </c>
      <c r="AP34" s="9">
        <v>0</v>
      </c>
      <c r="AQ34" s="9">
        <v>0</v>
      </c>
      <c r="AR34" s="9">
        <v>0</v>
      </c>
      <c r="AS34" s="9">
        <v>0</v>
      </c>
      <c r="AT34" s="10">
        <f t="shared" si="12"/>
        <v>34</v>
      </c>
      <c r="AU34" s="10">
        <f t="shared" si="12"/>
        <v>23</v>
      </c>
      <c r="AV34" s="26">
        <f t="shared" si="13"/>
        <v>67.64705882352942</v>
      </c>
      <c r="AW34" s="10">
        <f t="shared" si="14"/>
        <v>24</v>
      </c>
      <c r="AX34" s="10">
        <f t="shared" si="14"/>
        <v>11</v>
      </c>
      <c r="AY34" s="26">
        <f t="shared" si="15"/>
        <v>45.833333333333329</v>
      </c>
      <c r="AZ34" s="10">
        <f t="shared" si="16"/>
        <v>58</v>
      </c>
      <c r="BA34" s="10">
        <f t="shared" si="16"/>
        <v>34</v>
      </c>
      <c r="BB34" s="27">
        <f t="shared" si="17"/>
        <v>58.620689655172406</v>
      </c>
    </row>
    <row r="35" spans="1:54">
      <c r="A35" s="12">
        <v>29</v>
      </c>
      <c r="B35" s="13">
        <v>1230321026</v>
      </c>
      <c r="C35" s="14" t="s">
        <v>51</v>
      </c>
      <c r="D35" s="7">
        <v>4</v>
      </c>
      <c r="E35" s="7">
        <v>0</v>
      </c>
      <c r="F35" s="8">
        <f t="shared" si="2"/>
        <v>0</v>
      </c>
      <c r="G35" s="7">
        <v>2</v>
      </c>
      <c r="H35" s="7">
        <v>0</v>
      </c>
      <c r="I35" s="8">
        <f t="shared" si="3"/>
        <v>0</v>
      </c>
      <c r="J35" s="7">
        <v>8</v>
      </c>
      <c r="K35" s="7">
        <v>2</v>
      </c>
      <c r="L35" s="8">
        <f t="shared" si="4"/>
        <v>25</v>
      </c>
      <c r="M35" s="9">
        <v>5</v>
      </c>
      <c r="N35" s="9">
        <v>0</v>
      </c>
      <c r="O35" s="8">
        <f t="shared" si="5"/>
        <v>0</v>
      </c>
      <c r="P35" s="7">
        <v>4</v>
      </c>
      <c r="Q35" s="7">
        <v>3</v>
      </c>
      <c r="R35" s="26">
        <f t="shared" si="6"/>
        <v>75</v>
      </c>
      <c r="S35" s="18">
        <v>4</v>
      </c>
      <c r="T35" s="9">
        <v>3</v>
      </c>
      <c r="U35" s="26">
        <f t="shared" si="7"/>
        <v>75</v>
      </c>
      <c r="V35" s="7">
        <v>6</v>
      </c>
      <c r="W35" s="7">
        <v>1</v>
      </c>
      <c r="X35" s="8">
        <f t="shared" si="8"/>
        <v>16.666666666666664</v>
      </c>
      <c r="Y35" s="9">
        <v>3</v>
      </c>
      <c r="Z35" s="9">
        <v>1</v>
      </c>
      <c r="AA35" s="8">
        <f t="shared" si="9"/>
        <v>33.333333333333329</v>
      </c>
      <c r="AB35" s="40">
        <v>4</v>
      </c>
      <c r="AC35" s="40">
        <v>1</v>
      </c>
      <c r="AD35" s="41">
        <f t="shared" si="0"/>
        <v>25</v>
      </c>
      <c r="AE35" s="42">
        <v>4</v>
      </c>
      <c r="AF35" s="42">
        <v>0</v>
      </c>
      <c r="AG35" s="41">
        <f t="shared" si="1"/>
        <v>0</v>
      </c>
      <c r="AH35" s="7">
        <v>8</v>
      </c>
      <c r="AI35" s="7">
        <v>6</v>
      </c>
      <c r="AJ35" s="8">
        <f t="shared" si="10"/>
        <v>75</v>
      </c>
      <c r="AK35" s="9">
        <v>6</v>
      </c>
      <c r="AL35" s="9">
        <v>5</v>
      </c>
      <c r="AM35" s="8">
        <f t="shared" si="11"/>
        <v>83.333333333333343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0</v>
      </c>
      <c r="AT35" s="10">
        <f t="shared" si="12"/>
        <v>34</v>
      </c>
      <c r="AU35" s="10">
        <f t="shared" si="12"/>
        <v>13</v>
      </c>
      <c r="AV35" s="26">
        <f t="shared" si="13"/>
        <v>38.235294117647058</v>
      </c>
      <c r="AW35" s="10">
        <f t="shared" si="14"/>
        <v>24</v>
      </c>
      <c r="AX35" s="10">
        <f t="shared" si="14"/>
        <v>9</v>
      </c>
      <c r="AY35" s="26">
        <f t="shared" si="15"/>
        <v>37.5</v>
      </c>
      <c r="AZ35" s="10">
        <f t="shared" si="16"/>
        <v>58</v>
      </c>
      <c r="BA35" s="10">
        <f t="shared" si="16"/>
        <v>22</v>
      </c>
      <c r="BB35" s="27">
        <f t="shared" si="17"/>
        <v>37.931034482758619</v>
      </c>
    </row>
    <row r="36" spans="1:54">
      <c r="A36" s="12">
        <v>30</v>
      </c>
      <c r="B36" s="13">
        <v>1230321027</v>
      </c>
      <c r="C36" s="14" t="s">
        <v>52</v>
      </c>
      <c r="D36" s="7">
        <v>4</v>
      </c>
      <c r="E36" s="7">
        <v>2</v>
      </c>
      <c r="F36" s="8">
        <f t="shared" si="2"/>
        <v>50</v>
      </c>
      <c r="G36" s="7">
        <v>2</v>
      </c>
      <c r="H36" s="7">
        <v>1</v>
      </c>
      <c r="I36" s="8">
        <f t="shared" si="3"/>
        <v>50</v>
      </c>
      <c r="J36" s="7">
        <v>8</v>
      </c>
      <c r="K36" s="7">
        <v>6</v>
      </c>
      <c r="L36" s="8">
        <f t="shared" si="4"/>
        <v>75</v>
      </c>
      <c r="M36" s="9">
        <v>5</v>
      </c>
      <c r="N36" s="9">
        <v>2</v>
      </c>
      <c r="O36" s="8">
        <f t="shared" si="5"/>
        <v>40</v>
      </c>
      <c r="P36" s="7">
        <v>4</v>
      </c>
      <c r="Q36" s="7">
        <v>3</v>
      </c>
      <c r="R36" s="26">
        <f t="shared" si="6"/>
        <v>75</v>
      </c>
      <c r="S36" s="18">
        <v>4</v>
      </c>
      <c r="T36" s="9">
        <v>3</v>
      </c>
      <c r="U36" s="26">
        <f t="shared" si="7"/>
        <v>75</v>
      </c>
      <c r="V36" s="7">
        <v>6</v>
      </c>
      <c r="W36" s="7">
        <v>5</v>
      </c>
      <c r="X36" s="8">
        <f t="shared" si="8"/>
        <v>83.333333333333343</v>
      </c>
      <c r="Y36" s="9">
        <v>3</v>
      </c>
      <c r="Z36" s="9">
        <v>0</v>
      </c>
      <c r="AA36" s="8">
        <f t="shared" si="9"/>
        <v>0</v>
      </c>
      <c r="AB36" s="40">
        <v>4</v>
      </c>
      <c r="AC36" s="40">
        <v>3</v>
      </c>
      <c r="AD36" s="41">
        <f t="shared" si="0"/>
        <v>75</v>
      </c>
      <c r="AE36" s="42">
        <v>4</v>
      </c>
      <c r="AF36" s="42">
        <v>4</v>
      </c>
      <c r="AG36" s="41">
        <f t="shared" si="1"/>
        <v>100</v>
      </c>
      <c r="AH36" s="7">
        <v>8</v>
      </c>
      <c r="AI36" s="7">
        <v>4</v>
      </c>
      <c r="AJ36" s="8">
        <f t="shared" si="10"/>
        <v>50</v>
      </c>
      <c r="AK36" s="9">
        <v>6</v>
      </c>
      <c r="AL36" s="9">
        <v>2</v>
      </c>
      <c r="AM36" s="8">
        <f t="shared" si="11"/>
        <v>33.333333333333329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0</v>
      </c>
      <c r="AT36" s="10">
        <f t="shared" si="12"/>
        <v>34</v>
      </c>
      <c r="AU36" s="10">
        <f t="shared" si="12"/>
        <v>23</v>
      </c>
      <c r="AV36" s="26">
        <f t="shared" si="13"/>
        <v>67.64705882352942</v>
      </c>
      <c r="AW36" s="10">
        <f t="shared" si="14"/>
        <v>24</v>
      </c>
      <c r="AX36" s="10">
        <f t="shared" si="14"/>
        <v>12</v>
      </c>
      <c r="AY36" s="26">
        <f t="shared" si="15"/>
        <v>50</v>
      </c>
      <c r="AZ36" s="10">
        <f t="shared" si="16"/>
        <v>58</v>
      </c>
      <c r="BA36" s="10">
        <f t="shared" si="16"/>
        <v>35</v>
      </c>
      <c r="BB36" s="27">
        <f t="shared" si="17"/>
        <v>60.344827586206897</v>
      </c>
    </row>
    <row r="37" spans="1:54">
      <c r="A37" s="12">
        <v>31</v>
      </c>
      <c r="B37" s="13">
        <v>1230321028</v>
      </c>
      <c r="C37" s="14" t="s">
        <v>53</v>
      </c>
      <c r="D37" s="7">
        <v>4</v>
      </c>
      <c r="E37" s="7">
        <v>0</v>
      </c>
      <c r="F37" s="8">
        <f t="shared" si="2"/>
        <v>0</v>
      </c>
      <c r="G37" s="7">
        <v>2</v>
      </c>
      <c r="H37" s="7">
        <v>1</v>
      </c>
      <c r="I37" s="8">
        <f t="shared" si="3"/>
        <v>50</v>
      </c>
      <c r="J37" s="7">
        <v>8</v>
      </c>
      <c r="K37" s="7">
        <v>2</v>
      </c>
      <c r="L37" s="8">
        <f t="shared" si="4"/>
        <v>25</v>
      </c>
      <c r="M37" s="9">
        <v>5</v>
      </c>
      <c r="N37" s="9">
        <v>1</v>
      </c>
      <c r="O37" s="8">
        <f t="shared" si="5"/>
        <v>20</v>
      </c>
      <c r="P37" s="7">
        <v>4</v>
      </c>
      <c r="Q37" s="7">
        <v>1</v>
      </c>
      <c r="R37" s="26">
        <f t="shared" si="6"/>
        <v>25</v>
      </c>
      <c r="S37" s="18">
        <v>4</v>
      </c>
      <c r="T37" s="9">
        <v>1</v>
      </c>
      <c r="U37" s="26">
        <f t="shared" si="7"/>
        <v>25</v>
      </c>
      <c r="V37" s="7">
        <v>6</v>
      </c>
      <c r="W37" s="7">
        <v>3</v>
      </c>
      <c r="X37" s="8">
        <f t="shared" si="8"/>
        <v>50</v>
      </c>
      <c r="Y37" s="9">
        <v>3</v>
      </c>
      <c r="Z37" s="9">
        <v>0</v>
      </c>
      <c r="AA37" s="8">
        <f t="shared" si="9"/>
        <v>0</v>
      </c>
      <c r="AB37" s="40">
        <v>4</v>
      </c>
      <c r="AC37" s="40">
        <v>2</v>
      </c>
      <c r="AD37" s="41">
        <f t="shared" si="0"/>
        <v>50</v>
      </c>
      <c r="AE37" s="42">
        <v>4</v>
      </c>
      <c r="AF37" s="42">
        <v>2</v>
      </c>
      <c r="AG37" s="41">
        <f t="shared" si="1"/>
        <v>50</v>
      </c>
      <c r="AH37" s="7">
        <v>8</v>
      </c>
      <c r="AI37" s="7">
        <v>3</v>
      </c>
      <c r="AJ37" s="8">
        <f t="shared" si="10"/>
        <v>37.5</v>
      </c>
      <c r="AK37" s="9">
        <v>6</v>
      </c>
      <c r="AL37" s="9">
        <v>2</v>
      </c>
      <c r="AM37" s="8">
        <f t="shared" si="11"/>
        <v>33.333333333333329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10">
        <f t="shared" si="12"/>
        <v>34</v>
      </c>
      <c r="AU37" s="10">
        <f t="shared" si="12"/>
        <v>11</v>
      </c>
      <c r="AV37" s="26">
        <f t="shared" si="13"/>
        <v>32.352941176470587</v>
      </c>
      <c r="AW37" s="10">
        <f t="shared" si="14"/>
        <v>24</v>
      </c>
      <c r="AX37" s="10">
        <f t="shared" si="14"/>
        <v>7</v>
      </c>
      <c r="AY37" s="26">
        <f t="shared" si="15"/>
        <v>29.166666666666668</v>
      </c>
      <c r="AZ37" s="10">
        <f t="shared" si="16"/>
        <v>58</v>
      </c>
      <c r="BA37" s="10">
        <f t="shared" si="16"/>
        <v>18</v>
      </c>
      <c r="BB37" s="27">
        <f t="shared" si="17"/>
        <v>31.03448275862069</v>
      </c>
    </row>
    <row r="38" spans="1:54">
      <c r="A38" s="12">
        <v>32</v>
      </c>
      <c r="B38" s="13">
        <v>1230321029</v>
      </c>
      <c r="C38" s="14" t="s">
        <v>54</v>
      </c>
      <c r="D38" s="7">
        <v>4</v>
      </c>
      <c r="E38" s="7">
        <v>0</v>
      </c>
      <c r="F38" s="8">
        <f t="shared" si="2"/>
        <v>0</v>
      </c>
      <c r="G38" s="7">
        <v>2</v>
      </c>
      <c r="H38" s="7">
        <v>0</v>
      </c>
      <c r="I38" s="8">
        <f t="shared" si="3"/>
        <v>0</v>
      </c>
      <c r="J38" s="7">
        <v>8</v>
      </c>
      <c r="K38" s="7">
        <v>3</v>
      </c>
      <c r="L38" s="8">
        <f t="shared" si="4"/>
        <v>37.5</v>
      </c>
      <c r="M38" s="9">
        <v>5</v>
      </c>
      <c r="N38" s="9">
        <v>1</v>
      </c>
      <c r="O38" s="8">
        <f t="shared" si="5"/>
        <v>20</v>
      </c>
      <c r="P38" s="7">
        <v>4</v>
      </c>
      <c r="Q38" s="7">
        <v>2</v>
      </c>
      <c r="R38" s="26">
        <f t="shared" si="6"/>
        <v>50</v>
      </c>
      <c r="S38" s="18">
        <v>4</v>
      </c>
      <c r="T38" s="9">
        <v>1</v>
      </c>
      <c r="U38" s="26">
        <f t="shared" si="7"/>
        <v>25</v>
      </c>
      <c r="V38" s="7">
        <v>6</v>
      </c>
      <c r="W38" s="7">
        <v>1</v>
      </c>
      <c r="X38" s="8">
        <f t="shared" si="8"/>
        <v>16.666666666666664</v>
      </c>
      <c r="Y38" s="9">
        <v>3</v>
      </c>
      <c r="Z38" s="9">
        <v>1</v>
      </c>
      <c r="AA38" s="8">
        <f t="shared" si="9"/>
        <v>33.333333333333329</v>
      </c>
      <c r="AB38" s="40">
        <v>4</v>
      </c>
      <c r="AC38" s="40">
        <v>1</v>
      </c>
      <c r="AD38" s="41">
        <f t="shared" si="0"/>
        <v>25</v>
      </c>
      <c r="AE38" s="42">
        <v>4</v>
      </c>
      <c r="AF38" s="42">
        <v>0</v>
      </c>
      <c r="AG38" s="41">
        <f t="shared" si="1"/>
        <v>0</v>
      </c>
      <c r="AH38" s="7">
        <v>8</v>
      </c>
      <c r="AI38" s="7">
        <v>3</v>
      </c>
      <c r="AJ38" s="8">
        <f t="shared" si="10"/>
        <v>37.5</v>
      </c>
      <c r="AK38" s="9">
        <v>6</v>
      </c>
      <c r="AL38" s="9">
        <v>1</v>
      </c>
      <c r="AM38" s="8">
        <f t="shared" si="11"/>
        <v>16.666666666666664</v>
      </c>
      <c r="AN38" s="9">
        <v>0</v>
      </c>
      <c r="AO38" s="9">
        <v>0</v>
      </c>
      <c r="AP38" s="9">
        <v>0</v>
      </c>
      <c r="AQ38" s="9">
        <v>0</v>
      </c>
      <c r="AR38" s="9">
        <v>0</v>
      </c>
      <c r="AS38" s="9">
        <v>0</v>
      </c>
      <c r="AT38" s="10">
        <f t="shared" si="12"/>
        <v>34</v>
      </c>
      <c r="AU38" s="10">
        <f t="shared" si="12"/>
        <v>10</v>
      </c>
      <c r="AV38" s="26">
        <f t="shared" si="13"/>
        <v>29.411764705882355</v>
      </c>
      <c r="AW38" s="10">
        <f t="shared" si="14"/>
        <v>24</v>
      </c>
      <c r="AX38" s="10">
        <f t="shared" si="14"/>
        <v>4</v>
      </c>
      <c r="AY38" s="26">
        <f t="shared" si="15"/>
        <v>16.666666666666664</v>
      </c>
      <c r="AZ38" s="10">
        <f t="shared" si="16"/>
        <v>58</v>
      </c>
      <c r="BA38" s="10">
        <f t="shared" si="16"/>
        <v>14</v>
      </c>
      <c r="BB38" s="27">
        <f t="shared" si="17"/>
        <v>24.137931034482758</v>
      </c>
    </row>
    <row r="39" spans="1:54">
      <c r="A39" s="12">
        <v>33</v>
      </c>
      <c r="B39" s="13">
        <v>1230321030</v>
      </c>
      <c r="C39" s="14" t="s">
        <v>55</v>
      </c>
      <c r="D39" s="7">
        <v>4</v>
      </c>
      <c r="E39" s="7">
        <v>0</v>
      </c>
      <c r="F39" s="8">
        <f t="shared" si="2"/>
        <v>0</v>
      </c>
      <c r="G39" s="7">
        <v>2</v>
      </c>
      <c r="H39" s="7">
        <v>0</v>
      </c>
      <c r="I39" s="8">
        <f t="shared" si="3"/>
        <v>0</v>
      </c>
      <c r="J39" s="7">
        <v>8</v>
      </c>
      <c r="K39" s="7">
        <v>2</v>
      </c>
      <c r="L39" s="8">
        <f t="shared" si="4"/>
        <v>25</v>
      </c>
      <c r="M39" s="9">
        <v>5</v>
      </c>
      <c r="N39" s="9">
        <v>0</v>
      </c>
      <c r="O39" s="8">
        <f t="shared" si="5"/>
        <v>0</v>
      </c>
      <c r="P39" s="7">
        <v>4</v>
      </c>
      <c r="Q39" s="7">
        <v>1</v>
      </c>
      <c r="R39" s="26">
        <f t="shared" si="6"/>
        <v>25</v>
      </c>
      <c r="S39" s="18">
        <v>4</v>
      </c>
      <c r="T39" s="9">
        <v>1</v>
      </c>
      <c r="U39" s="26">
        <f t="shared" si="7"/>
        <v>25</v>
      </c>
      <c r="V39" s="7">
        <v>6</v>
      </c>
      <c r="W39" s="7">
        <v>0</v>
      </c>
      <c r="X39" s="8">
        <f t="shared" si="8"/>
        <v>0</v>
      </c>
      <c r="Y39" s="9">
        <v>3</v>
      </c>
      <c r="Z39" s="9">
        <v>0</v>
      </c>
      <c r="AA39" s="8">
        <f t="shared" si="9"/>
        <v>0</v>
      </c>
      <c r="AB39" s="40">
        <v>4</v>
      </c>
      <c r="AC39" s="40">
        <v>1</v>
      </c>
      <c r="AD39" s="41">
        <f t="shared" si="0"/>
        <v>25</v>
      </c>
      <c r="AE39" s="42">
        <v>4</v>
      </c>
      <c r="AF39" s="42">
        <v>1</v>
      </c>
      <c r="AG39" s="41">
        <f t="shared" si="1"/>
        <v>25</v>
      </c>
      <c r="AH39" s="7">
        <v>8</v>
      </c>
      <c r="AI39" s="7">
        <v>6</v>
      </c>
      <c r="AJ39" s="8">
        <f t="shared" si="10"/>
        <v>75</v>
      </c>
      <c r="AK39" s="9">
        <v>6</v>
      </c>
      <c r="AL39" s="9">
        <v>3</v>
      </c>
      <c r="AM39" s="8">
        <f t="shared" si="11"/>
        <v>50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10">
        <f t="shared" si="12"/>
        <v>34</v>
      </c>
      <c r="AU39" s="10">
        <f t="shared" si="12"/>
        <v>10</v>
      </c>
      <c r="AV39" s="26">
        <f t="shared" si="13"/>
        <v>29.411764705882355</v>
      </c>
      <c r="AW39" s="10">
        <f t="shared" si="14"/>
        <v>24</v>
      </c>
      <c r="AX39" s="10">
        <f t="shared" si="14"/>
        <v>5</v>
      </c>
      <c r="AY39" s="26">
        <f t="shared" si="15"/>
        <v>20.833333333333336</v>
      </c>
      <c r="AZ39" s="10">
        <f t="shared" si="16"/>
        <v>58</v>
      </c>
      <c r="BA39" s="10">
        <f t="shared" si="16"/>
        <v>15</v>
      </c>
      <c r="BB39" s="27">
        <f t="shared" si="17"/>
        <v>25.862068965517242</v>
      </c>
    </row>
    <row r="40" spans="1:54">
      <c r="A40" s="12">
        <v>34</v>
      </c>
      <c r="B40" s="13">
        <v>1230321031</v>
      </c>
      <c r="C40" s="14" t="s">
        <v>56</v>
      </c>
      <c r="D40" s="7">
        <v>4</v>
      </c>
      <c r="E40" s="7">
        <v>0</v>
      </c>
      <c r="F40" s="8">
        <f t="shared" si="2"/>
        <v>0</v>
      </c>
      <c r="G40" s="7">
        <v>2</v>
      </c>
      <c r="H40" s="7">
        <v>0</v>
      </c>
      <c r="I40" s="8">
        <f t="shared" si="3"/>
        <v>0</v>
      </c>
      <c r="J40" s="7">
        <v>8</v>
      </c>
      <c r="K40" s="7">
        <v>3</v>
      </c>
      <c r="L40" s="8">
        <f t="shared" si="4"/>
        <v>37.5</v>
      </c>
      <c r="M40" s="9">
        <v>5</v>
      </c>
      <c r="N40" s="9">
        <v>0</v>
      </c>
      <c r="O40" s="8">
        <f t="shared" si="5"/>
        <v>0</v>
      </c>
      <c r="P40" s="7">
        <v>4</v>
      </c>
      <c r="Q40" s="7">
        <v>1</v>
      </c>
      <c r="R40" s="26">
        <f t="shared" si="6"/>
        <v>25</v>
      </c>
      <c r="S40" s="18">
        <v>4</v>
      </c>
      <c r="T40" s="9">
        <v>1</v>
      </c>
      <c r="U40" s="26">
        <f t="shared" si="7"/>
        <v>25</v>
      </c>
      <c r="V40" s="7">
        <v>6</v>
      </c>
      <c r="W40" s="7">
        <v>0</v>
      </c>
      <c r="X40" s="8">
        <f t="shared" si="8"/>
        <v>0</v>
      </c>
      <c r="Y40" s="9">
        <v>3</v>
      </c>
      <c r="Z40" s="9">
        <v>0</v>
      </c>
      <c r="AA40" s="8">
        <f t="shared" si="9"/>
        <v>0</v>
      </c>
      <c r="AB40" s="40">
        <v>4</v>
      </c>
      <c r="AC40" s="40">
        <v>2</v>
      </c>
      <c r="AD40" s="41">
        <f t="shared" si="0"/>
        <v>50</v>
      </c>
      <c r="AE40" s="42">
        <v>4</v>
      </c>
      <c r="AF40" s="42">
        <v>2</v>
      </c>
      <c r="AG40" s="41">
        <f t="shared" si="1"/>
        <v>50</v>
      </c>
      <c r="AH40" s="7">
        <v>8</v>
      </c>
      <c r="AI40" s="7">
        <v>5</v>
      </c>
      <c r="AJ40" s="8">
        <f t="shared" si="10"/>
        <v>62.5</v>
      </c>
      <c r="AK40" s="9">
        <v>6</v>
      </c>
      <c r="AL40" s="9">
        <v>3</v>
      </c>
      <c r="AM40" s="8">
        <f t="shared" si="11"/>
        <v>50</v>
      </c>
      <c r="AN40" s="9">
        <v>0</v>
      </c>
      <c r="AO40" s="9">
        <v>0</v>
      </c>
      <c r="AP40" s="9">
        <v>0</v>
      </c>
      <c r="AQ40" s="9">
        <v>0</v>
      </c>
      <c r="AR40" s="9">
        <v>0</v>
      </c>
      <c r="AS40" s="9">
        <v>0</v>
      </c>
      <c r="AT40" s="10">
        <f t="shared" si="12"/>
        <v>34</v>
      </c>
      <c r="AU40" s="10">
        <f t="shared" si="12"/>
        <v>11</v>
      </c>
      <c r="AV40" s="26">
        <f t="shared" si="13"/>
        <v>32.352941176470587</v>
      </c>
      <c r="AW40" s="10">
        <f t="shared" si="14"/>
        <v>24</v>
      </c>
      <c r="AX40" s="10">
        <f t="shared" si="14"/>
        <v>6</v>
      </c>
      <c r="AY40" s="26">
        <f t="shared" si="15"/>
        <v>25</v>
      </c>
      <c r="AZ40" s="10">
        <f t="shared" si="16"/>
        <v>58</v>
      </c>
      <c r="BA40" s="10">
        <f t="shared" si="16"/>
        <v>17</v>
      </c>
      <c r="BB40" s="27">
        <f t="shared" si="17"/>
        <v>29.310344827586203</v>
      </c>
    </row>
    <row r="41" spans="1:54">
      <c r="A41" s="12">
        <v>35</v>
      </c>
      <c r="B41" s="13">
        <v>1230321032</v>
      </c>
      <c r="C41" s="14" t="s">
        <v>57</v>
      </c>
      <c r="D41" s="7">
        <v>4</v>
      </c>
      <c r="E41" s="7">
        <v>1</v>
      </c>
      <c r="F41" s="8">
        <f t="shared" si="2"/>
        <v>25</v>
      </c>
      <c r="G41" s="7">
        <v>2</v>
      </c>
      <c r="H41" s="7">
        <v>1</v>
      </c>
      <c r="I41" s="8">
        <f t="shared" si="3"/>
        <v>50</v>
      </c>
      <c r="J41" s="7">
        <v>8</v>
      </c>
      <c r="K41" s="7">
        <v>0</v>
      </c>
      <c r="L41" s="8">
        <f t="shared" si="4"/>
        <v>0</v>
      </c>
      <c r="M41" s="9">
        <v>5</v>
      </c>
      <c r="N41" s="9">
        <v>0</v>
      </c>
      <c r="O41" s="8">
        <f t="shared" si="5"/>
        <v>0</v>
      </c>
      <c r="P41" s="7">
        <v>4</v>
      </c>
      <c r="Q41" s="7">
        <v>3</v>
      </c>
      <c r="R41" s="26">
        <f t="shared" si="6"/>
        <v>75</v>
      </c>
      <c r="S41" s="18">
        <v>4</v>
      </c>
      <c r="T41" s="9">
        <v>3</v>
      </c>
      <c r="U41" s="26">
        <f t="shared" si="7"/>
        <v>75</v>
      </c>
      <c r="V41" s="7">
        <v>6</v>
      </c>
      <c r="W41" s="7">
        <v>4</v>
      </c>
      <c r="X41" s="8">
        <f t="shared" si="8"/>
        <v>66.666666666666657</v>
      </c>
      <c r="Y41" s="9">
        <v>3</v>
      </c>
      <c r="Z41" s="9">
        <v>1</v>
      </c>
      <c r="AA41" s="8">
        <f t="shared" si="9"/>
        <v>33.333333333333329</v>
      </c>
      <c r="AB41" s="40">
        <v>4</v>
      </c>
      <c r="AC41" s="40">
        <v>4</v>
      </c>
      <c r="AD41" s="41">
        <f t="shared" si="0"/>
        <v>100</v>
      </c>
      <c r="AE41" s="42">
        <v>4</v>
      </c>
      <c r="AF41" s="42">
        <v>4</v>
      </c>
      <c r="AG41" s="41">
        <f t="shared" si="1"/>
        <v>100</v>
      </c>
      <c r="AH41" s="7">
        <v>8</v>
      </c>
      <c r="AI41" s="7">
        <v>5</v>
      </c>
      <c r="AJ41" s="8">
        <f t="shared" si="10"/>
        <v>62.5</v>
      </c>
      <c r="AK41" s="9">
        <v>6</v>
      </c>
      <c r="AL41" s="9">
        <v>4</v>
      </c>
      <c r="AM41" s="8">
        <f t="shared" si="11"/>
        <v>66.666666666666657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10">
        <f t="shared" si="12"/>
        <v>34</v>
      </c>
      <c r="AU41" s="10">
        <f t="shared" si="12"/>
        <v>17</v>
      </c>
      <c r="AV41" s="26">
        <f t="shared" si="13"/>
        <v>50</v>
      </c>
      <c r="AW41" s="10">
        <f t="shared" si="14"/>
        <v>24</v>
      </c>
      <c r="AX41" s="10">
        <f t="shared" si="14"/>
        <v>13</v>
      </c>
      <c r="AY41" s="26">
        <f t="shared" si="15"/>
        <v>54.166666666666664</v>
      </c>
      <c r="AZ41" s="10">
        <f t="shared" si="16"/>
        <v>58</v>
      </c>
      <c r="BA41" s="10">
        <f t="shared" si="16"/>
        <v>30</v>
      </c>
      <c r="BB41" s="27">
        <f t="shared" si="17"/>
        <v>51.724137931034484</v>
      </c>
    </row>
    <row r="42" spans="1:54">
      <c r="A42" s="12">
        <v>36</v>
      </c>
      <c r="B42" s="13">
        <v>1230321033</v>
      </c>
      <c r="C42" s="14" t="s">
        <v>58</v>
      </c>
      <c r="D42" s="7">
        <v>4</v>
      </c>
      <c r="E42" s="7">
        <v>4</v>
      </c>
      <c r="F42" s="8">
        <f t="shared" si="2"/>
        <v>100</v>
      </c>
      <c r="G42" s="7">
        <v>2</v>
      </c>
      <c r="H42" s="7">
        <v>2</v>
      </c>
      <c r="I42" s="8">
        <f t="shared" si="3"/>
        <v>100</v>
      </c>
      <c r="J42" s="7">
        <v>8</v>
      </c>
      <c r="K42" s="7">
        <v>6</v>
      </c>
      <c r="L42" s="8">
        <f t="shared" si="4"/>
        <v>75</v>
      </c>
      <c r="M42" s="9">
        <v>5</v>
      </c>
      <c r="N42" s="9">
        <v>2</v>
      </c>
      <c r="O42" s="8">
        <f t="shared" si="5"/>
        <v>40</v>
      </c>
      <c r="P42" s="7">
        <v>4</v>
      </c>
      <c r="Q42" s="7">
        <v>3</v>
      </c>
      <c r="R42" s="26">
        <f t="shared" si="6"/>
        <v>75</v>
      </c>
      <c r="S42" s="18">
        <v>4</v>
      </c>
      <c r="T42" s="9">
        <v>3</v>
      </c>
      <c r="U42" s="26">
        <f t="shared" si="7"/>
        <v>75</v>
      </c>
      <c r="V42" s="7">
        <v>6</v>
      </c>
      <c r="W42" s="7">
        <v>3</v>
      </c>
      <c r="X42" s="8">
        <f t="shared" si="8"/>
        <v>50</v>
      </c>
      <c r="Y42" s="9">
        <v>3</v>
      </c>
      <c r="Z42" s="9">
        <v>0</v>
      </c>
      <c r="AA42" s="8">
        <f t="shared" si="9"/>
        <v>0</v>
      </c>
      <c r="AB42" s="40">
        <v>4</v>
      </c>
      <c r="AC42" s="40">
        <v>4</v>
      </c>
      <c r="AD42" s="41">
        <f t="shared" si="0"/>
        <v>100</v>
      </c>
      <c r="AE42" s="42">
        <v>4</v>
      </c>
      <c r="AF42" s="42">
        <v>1</v>
      </c>
      <c r="AG42" s="41">
        <f t="shared" si="1"/>
        <v>25</v>
      </c>
      <c r="AH42" s="7">
        <v>8</v>
      </c>
      <c r="AI42" s="7">
        <v>7</v>
      </c>
      <c r="AJ42" s="8">
        <f t="shared" si="10"/>
        <v>87.5</v>
      </c>
      <c r="AK42" s="9">
        <v>6</v>
      </c>
      <c r="AL42" s="9">
        <v>3</v>
      </c>
      <c r="AM42" s="8">
        <f t="shared" si="11"/>
        <v>50</v>
      </c>
      <c r="AN42" s="9">
        <v>0</v>
      </c>
      <c r="AO42" s="9">
        <v>0</v>
      </c>
      <c r="AP42" s="9">
        <v>0</v>
      </c>
      <c r="AQ42" s="9">
        <v>0</v>
      </c>
      <c r="AR42" s="9">
        <v>0</v>
      </c>
      <c r="AS42" s="9">
        <v>0</v>
      </c>
      <c r="AT42" s="10">
        <f t="shared" si="12"/>
        <v>34</v>
      </c>
      <c r="AU42" s="10">
        <f t="shared" si="12"/>
        <v>27</v>
      </c>
      <c r="AV42" s="26">
        <f t="shared" si="13"/>
        <v>79.411764705882348</v>
      </c>
      <c r="AW42" s="10">
        <f t="shared" si="14"/>
        <v>24</v>
      </c>
      <c r="AX42" s="10">
        <f t="shared" si="14"/>
        <v>11</v>
      </c>
      <c r="AY42" s="26">
        <f t="shared" si="15"/>
        <v>45.833333333333329</v>
      </c>
      <c r="AZ42" s="10">
        <f t="shared" si="16"/>
        <v>58</v>
      </c>
      <c r="BA42" s="10">
        <f t="shared" si="16"/>
        <v>38</v>
      </c>
      <c r="BB42" s="27">
        <f t="shared" si="17"/>
        <v>65.517241379310349</v>
      </c>
    </row>
    <row r="43" spans="1:54">
      <c r="A43" s="12">
        <v>37</v>
      </c>
      <c r="B43" s="13">
        <v>1230321034</v>
      </c>
      <c r="C43" s="14" t="s">
        <v>59</v>
      </c>
      <c r="D43" s="7">
        <v>4</v>
      </c>
      <c r="E43" s="7">
        <v>0</v>
      </c>
      <c r="F43" s="8">
        <f t="shared" si="2"/>
        <v>0</v>
      </c>
      <c r="G43" s="7">
        <v>2</v>
      </c>
      <c r="H43" s="7">
        <v>0</v>
      </c>
      <c r="I43" s="8">
        <f t="shared" si="3"/>
        <v>0</v>
      </c>
      <c r="J43" s="7">
        <v>8</v>
      </c>
      <c r="K43" s="7">
        <v>5</v>
      </c>
      <c r="L43" s="8">
        <f t="shared" si="4"/>
        <v>62.5</v>
      </c>
      <c r="M43" s="9">
        <v>5</v>
      </c>
      <c r="N43" s="9">
        <v>0</v>
      </c>
      <c r="O43" s="8">
        <f t="shared" si="5"/>
        <v>0</v>
      </c>
      <c r="P43" s="7">
        <v>4</v>
      </c>
      <c r="Q43" s="7">
        <v>4</v>
      </c>
      <c r="R43" s="26">
        <f t="shared" si="6"/>
        <v>100</v>
      </c>
      <c r="S43" s="18">
        <v>4</v>
      </c>
      <c r="T43" s="9">
        <v>4</v>
      </c>
      <c r="U43" s="26">
        <f t="shared" si="7"/>
        <v>100</v>
      </c>
      <c r="V43" s="7">
        <v>6</v>
      </c>
      <c r="W43" s="7">
        <v>2</v>
      </c>
      <c r="X43" s="8">
        <f t="shared" si="8"/>
        <v>33.333333333333329</v>
      </c>
      <c r="Y43" s="9">
        <v>3</v>
      </c>
      <c r="Z43" s="9">
        <v>1</v>
      </c>
      <c r="AA43" s="8">
        <f t="shared" si="9"/>
        <v>33.333333333333329</v>
      </c>
      <c r="AB43" s="40">
        <v>4</v>
      </c>
      <c r="AC43" s="40">
        <v>3</v>
      </c>
      <c r="AD43" s="41">
        <f t="shared" si="0"/>
        <v>75</v>
      </c>
      <c r="AE43" s="42">
        <v>4</v>
      </c>
      <c r="AF43" s="42">
        <v>2</v>
      </c>
      <c r="AG43" s="41">
        <f t="shared" si="1"/>
        <v>50</v>
      </c>
      <c r="AH43" s="7">
        <v>8</v>
      </c>
      <c r="AI43" s="7">
        <v>4</v>
      </c>
      <c r="AJ43" s="8">
        <f t="shared" si="10"/>
        <v>50</v>
      </c>
      <c r="AK43" s="9">
        <v>6</v>
      </c>
      <c r="AL43" s="9">
        <v>2</v>
      </c>
      <c r="AM43" s="8">
        <f t="shared" si="11"/>
        <v>33.333333333333329</v>
      </c>
      <c r="AN43" s="9">
        <v>0</v>
      </c>
      <c r="AO43" s="9">
        <v>0</v>
      </c>
      <c r="AP43" s="9">
        <v>0</v>
      </c>
      <c r="AQ43" s="9">
        <v>0</v>
      </c>
      <c r="AR43" s="9">
        <v>0</v>
      </c>
      <c r="AS43" s="9">
        <v>0</v>
      </c>
      <c r="AT43" s="10">
        <f t="shared" si="12"/>
        <v>34</v>
      </c>
      <c r="AU43" s="10">
        <f t="shared" si="12"/>
        <v>18</v>
      </c>
      <c r="AV43" s="26">
        <f t="shared" si="13"/>
        <v>52.941176470588239</v>
      </c>
      <c r="AW43" s="10">
        <f t="shared" si="14"/>
        <v>24</v>
      </c>
      <c r="AX43" s="10">
        <f t="shared" si="14"/>
        <v>9</v>
      </c>
      <c r="AY43" s="26">
        <f t="shared" si="15"/>
        <v>37.5</v>
      </c>
      <c r="AZ43" s="10">
        <f t="shared" si="16"/>
        <v>58</v>
      </c>
      <c r="BA43" s="10">
        <f t="shared" si="16"/>
        <v>27</v>
      </c>
      <c r="BB43" s="27">
        <f t="shared" si="17"/>
        <v>46.551724137931032</v>
      </c>
    </row>
    <row r="44" spans="1:54">
      <c r="A44" s="12">
        <v>38</v>
      </c>
      <c r="B44" s="13">
        <v>1230321035</v>
      </c>
      <c r="C44" s="14" t="s">
        <v>60</v>
      </c>
      <c r="D44" s="7">
        <v>4</v>
      </c>
      <c r="E44" s="7">
        <v>4</v>
      </c>
      <c r="F44" s="8">
        <f t="shared" si="2"/>
        <v>100</v>
      </c>
      <c r="G44" s="7">
        <v>2</v>
      </c>
      <c r="H44" s="7">
        <v>2</v>
      </c>
      <c r="I44" s="8">
        <f t="shared" si="3"/>
        <v>100</v>
      </c>
      <c r="J44" s="7">
        <v>8</v>
      </c>
      <c r="K44" s="7">
        <v>4</v>
      </c>
      <c r="L44" s="8">
        <f t="shared" si="4"/>
        <v>50</v>
      </c>
      <c r="M44" s="9">
        <v>5</v>
      </c>
      <c r="N44" s="9">
        <v>0</v>
      </c>
      <c r="O44" s="8">
        <f t="shared" si="5"/>
        <v>0</v>
      </c>
      <c r="P44" s="7">
        <v>4</v>
      </c>
      <c r="Q44" s="7">
        <v>3</v>
      </c>
      <c r="R44" s="26">
        <f t="shared" si="6"/>
        <v>75</v>
      </c>
      <c r="S44" s="18">
        <v>4</v>
      </c>
      <c r="T44" s="9">
        <v>3</v>
      </c>
      <c r="U44" s="26">
        <f t="shared" si="7"/>
        <v>75</v>
      </c>
      <c r="V44" s="7">
        <v>6</v>
      </c>
      <c r="W44" s="7">
        <v>2</v>
      </c>
      <c r="X44" s="8">
        <f t="shared" si="8"/>
        <v>33.333333333333329</v>
      </c>
      <c r="Y44" s="9">
        <v>3</v>
      </c>
      <c r="Z44" s="9">
        <v>0</v>
      </c>
      <c r="AA44" s="8">
        <f t="shared" si="9"/>
        <v>0</v>
      </c>
      <c r="AB44" s="40">
        <v>4</v>
      </c>
      <c r="AC44" s="40">
        <v>2</v>
      </c>
      <c r="AD44" s="41">
        <f t="shared" si="0"/>
        <v>50</v>
      </c>
      <c r="AE44" s="42">
        <v>4</v>
      </c>
      <c r="AF44" s="42">
        <v>1</v>
      </c>
      <c r="AG44" s="41">
        <f t="shared" si="1"/>
        <v>25</v>
      </c>
      <c r="AH44" s="7">
        <v>8</v>
      </c>
      <c r="AI44" s="7">
        <v>6</v>
      </c>
      <c r="AJ44" s="8">
        <f t="shared" si="10"/>
        <v>75</v>
      </c>
      <c r="AK44" s="9">
        <v>6</v>
      </c>
      <c r="AL44" s="9">
        <v>3</v>
      </c>
      <c r="AM44" s="8">
        <f t="shared" si="11"/>
        <v>50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10">
        <f t="shared" si="12"/>
        <v>34</v>
      </c>
      <c r="AU44" s="10">
        <f t="shared" si="12"/>
        <v>21</v>
      </c>
      <c r="AV44" s="26">
        <f t="shared" si="13"/>
        <v>61.764705882352942</v>
      </c>
      <c r="AW44" s="10">
        <f t="shared" si="14"/>
        <v>24</v>
      </c>
      <c r="AX44" s="10">
        <f t="shared" si="14"/>
        <v>9</v>
      </c>
      <c r="AY44" s="26">
        <f t="shared" si="15"/>
        <v>37.5</v>
      </c>
      <c r="AZ44" s="10">
        <f t="shared" si="16"/>
        <v>58</v>
      </c>
      <c r="BA44" s="10">
        <f t="shared" si="16"/>
        <v>30</v>
      </c>
      <c r="BB44" s="27">
        <f t="shared" si="17"/>
        <v>51.724137931034484</v>
      </c>
    </row>
    <row r="45" spans="1:54">
      <c r="A45" s="12">
        <v>39</v>
      </c>
      <c r="B45" s="13">
        <v>1230321036</v>
      </c>
      <c r="C45" s="14" t="s">
        <v>61</v>
      </c>
      <c r="D45" s="7">
        <v>4</v>
      </c>
      <c r="E45" s="7">
        <v>1</v>
      </c>
      <c r="F45" s="8">
        <f t="shared" si="2"/>
        <v>25</v>
      </c>
      <c r="G45" s="7">
        <v>2</v>
      </c>
      <c r="H45" s="7">
        <v>1</v>
      </c>
      <c r="I45" s="8">
        <f t="shared" si="3"/>
        <v>50</v>
      </c>
      <c r="J45" s="7">
        <v>8</v>
      </c>
      <c r="K45" s="7">
        <v>5</v>
      </c>
      <c r="L45" s="8">
        <f t="shared" si="4"/>
        <v>62.5</v>
      </c>
      <c r="M45" s="9">
        <v>5</v>
      </c>
      <c r="N45" s="9">
        <v>2</v>
      </c>
      <c r="O45" s="8">
        <f t="shared" si="5"/>
        <v>40</v>
      </c>
      <c r="P45" s="7">
        <v>4</v>
      </c>
      <c r="Q45" s="7">
        <v>3</v>
      </c>
      <c r="R45" s="26">
        <f t="shared" si="6"/>
        <v>75</v>
      </c>
      <c r="S45" s="18">
        <v>4</v>
      </c>
      <c r="T45" s="9">
        <v>3</v>
      </c>
      <c r="U45" s="26">
        <f t="shared" si="7"/>
        <v>75</v>
      </c>
      <c r="V45" s="7">
        <v>6</v>
      </c>
      <c r="W45" s="7">
        <v>3</v>
      </c>
      <c r="X45" s="8">
        <f t="shared" si="8"/>
        <v>50</v>
      </c>
      <c r="Y45" s="9">
        <v>3</v>
      </c>
      <c r="Z45" s="9">
        <v>0</v>
      </c>
      <c r="AA45" s="8">
        <f t="shared" si="9"/>
        <v>0</v>
      </c>
      <c r="AB45" s="40">
        <v>4</v>
      </c>
      <c r="AC45" s="40">
        <v>4</v>
      </c>
      <c r="AD45" s="41">
        <f t="shared" si="0"/>
        <v>100</v>
      </c>
      <c r="AE45" s="42">
        <v>4</v>
      </c>
      <c r="AF45" s="42">
        <v>2</v>
      </c>
      <c r="AG45" s="41">
        <f t="shared" si="1"/>
        <v>50</v>
      </c>
      <c r="AH45" s="7">
        <v>8</v>
      </c>
      <c r="AI45" s="7">
        <v>6</v>
      </c>
      <c r="AJ45" s="8">
        <f t="shared" si="10"/>
        <v>75</v>
      </c>
      <c r="AK45" s="9">
        <v>6</v>
      </c>
      <c r="AL45" s="9">
        <v>5</v>
      </c>
      <c r="AM45" s="8">
        <f t="shared" si="11"/>
        <v>83.333333333333343</v>
      </c>
      <c r="AN45" s="9">
        <v>0</v>
      </c>
      <c r="AO45" s="9">
        <v>0</v>
      </c>
      <c r="AP45" s="9">
        <v>0</v>
      </c>
      <c r="AQ45" s="9">
        <v>0</v>
      </c>
      <c r="AR45" s="9">
        <v>0</v>
      </c>
      <c r="AS45" s="9">
        <v>0</v>
      </c>
      <c r="AT45" s="10">
        <f t="shared" si="12"/>
        <v>34</v>
      </c>
      <c r="AU45" s="10">
        <f t="shared" si="12"/>
        <v>22</v>
      </c>
      <c r="AV45" s="26">
        <f t="shared" si="13"/>
        <v>64.705882352941174</v>
      </c>
      <c r="AW45" s="10">
        <f t="shared" si="14"/>
        <v>24</v>
      </c>
      <c r="AX45" s="10">
        <f t="shared" si="14"/>
        <v>13</v>
      </c>
      <c r="AY45" s="26">
        <f t="shared" si="15"/>
        <v>54.166666666666664</v>
      </c>
      <c r="AZ45" s="10">
        <f t="shared" si="16"/>
        <v>58</v>
      </c>
      <c r="BA45" s="10">
        <f t="shared" si="16"/>
        <v>35</v>
      </c>
      <c r="BB45" s="27">
        <f t="shared" si="17"/>
        <v>60.344827586206897</v>
      </c>
    </row>
    <row r="46" spans="1:54">
      <c r="A46" s="12">
        <v>40</v>
      </c>
      <c r="B46" s="13">
        <v>1230321037</v>
      </c>
      <c r="C46" s="14" t="s">
        <v>62</v>
      </c>
      <c r="D46" s="7">
        <v>4</v>
      </c>
      <c r="E46" s="7">
        <v>0</v>
      </c>
      <c r="F46" s="8">
        <f t="shared" si="2"/>
        <v>0</v>
      </c>
      <c r="G46" s="7">
        <v>2</v>
      </c>
      <c r="H46" s="7">
        <v>0</v>
      </c>
      <c r="I46" s="8">
        <f t="shared" si="3"/>
        <v>0</v>
      </c>
      <c r="J46" s="7">
        <v>8</v>
      </c>
      <c r="K46" s="7">
        <v>8</v>
      </c>
      <c r="L46" s="8">
        <f t="shared" si="4"/>
        <v>100</v>
      </c>
      <c r="M46" s="9">
        <v>5</v>
      </c>
      <c r="N46" s="9">
        <v>3</v>
      </c>
      <c r="O46" s="8">
        <f t="shared" si="5"/>
        <v>60</v>
      </c>
      <c r="P46" s="7">
        <v>4</v>
      </c>
      <c r="Q46" s="7">
        <v>2</v>
      </c>
      <c r="R46" s="26">
        <f t="shared" si="6"/>
        <v>50</v>
      </c>
      <c r="S46" s="18">
        <v>4</v>
      </c>
      <c r="T46" s="9">
        <v>2</v>
      </c>
      <c r="U46" s="26">
        <f t="shared" si="7"/>
        <v>50</v>
      </c>
      <c r="V46" s="7">
        <v>6</v>
      </c>
      <c r="W46" s="7">
        <v>5</v>
      </c>
      <c r="X46" s="8">
        <f t="shared" si="8"/>
        <v>83.333333333333343</v>
      </c>
      <c r="Y46" s="9">
        <v>3</v>
      </c>
      <c r="Z46" s="9">
        <v>1</v>
      </c>
      <c r="AA46" s="8">
        <f t="shared" si="9"/>
        <v>33.333333333333329</v>
      </c>
      <c r="AB46" s="40">
        <v>4</v>
      </c>
      <c r="AC46" s="40">
        <v>4</v>
      </c>
      <c r="AD46" s="41">
        <f t="shared" si="0"/>
        <v>100</v>
      </c>
      <c r="AE46" s="42">
        <v>4</v>
      </c>
      <c r="AF46" s="42">
        <v>4</v>
      </c>
      <c r="AG46" s="41">
        <f t="shared" si="1"/>
        <v>100</v>
      </c>
      <c r="AH46" s="7">
        <v>8</v>
      </c>
      <c r="AI46" s="7">
        <v>4</v>
      </c>
      <c r="AJ46" s="8">
        <f t="shared" si="10"/>
        <v>50</v>
      </c>
      <c r="AK46" s="9">
        <v>6</v>
      </c>
      <c r="AL46" s="9">
        <v>4</v>
      </c>
      <c r="AM46" s="8">
        <f t="shared" si="11"/>
        <v>66.666666666666657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0</v>
      </c>
      <c r="AT46" s="10">
        <f t="shared" si="12"/>
        <v>34</v>
      </c>
      <c r="AU46" s="10">
        <f t="shared" si="12"/>
        <v>23</v>
      </c>
      <c r="AV46" s="26">
        <f t="shared" si="13"/>
        <v>67.64705882352942</v>
      </c>
      <c r="AW46" s="10">
        <f t="shared" si="14"/>
        <v>24</v>
      </c>
      <c r="AX46" s="10">
        <f t="shared" si="14"/>
        <v>14</v>
      </c>
      <c r="AY46" s="26">
        <f t="shared" si="15"/>
        <v>58.333333333333336</v>
      </c>
      <c r="AZ46" s="10">
        <f t="shared" si="16"/>
        <v>58</v>
      </c>
      <c r="BA46" s="10">
        <f t="shared" si="16"/>
        <v>37</v>
      </c>
      <c r="BB46" s="27">
        <f t="shared" si="17"/>
        <v>63.793103448275865</v>
      </c>
    </row>
    <row r="47" spans="1:54">
      <c r="A47" s="12">
        <v>41</v>
      </c>
      <c r="B47" s="13">
        <v>1230321038</v>
      </c>
      <c r="C47" s="14" t="s">
        <v>63</v>
      </c>
      <c r="D47" s="7">
        <v>4</v>
      </c>
      <c r="E47" s="7">
        <v>0</v>
      </c>
      <c r="F47" s="8">
        <f t="shared" si="2"/>
        <v>0</v>
      </c>
      <c r="G47" s="7">
        <v>2</v>
      </c>
      <c r="H47" s="7">
        <v>0</v>
      </c>
      <c r="I47" s="8">
        <f t="shared" si="3"/>
        <v>0</v>
      </c>
      <c r="J47" s="7">
        <v>8</v>
      </c>
      <c r="K47" s="7">
        <v>4</v>
      </c>
      <c r="L47" s="8">
        <f t="shared" si="4"/>
        <v>50</v>
      </c>
      <c r="M47" s="9">
        <v>5</v>
      </c>
      <c r="N47" s="9">
        <v>0</v>
      </c>
      <c r="O47" s="8">
        <f t="shared" si="5"/>
        <v>0</v>
      </c>
      <c r="P47" s="7">
        <v>4</v>
      </c>
      <c r="Q47" s="7">
        <v>1</v>
      </c>
      <c r="R47" s="26">
        <f t="shared" si="6"/>
        <v>25</v>
      </c>
      <c r="S47" s="18">
        <v>4</v>
      </c>
      <c r="T47" s="9">
        <v>1</v>
      </c>
      <c r="U47" s="26">
        <f t="shared" si="7"/>
        <v>25</v>
      </c>
      <c r="V47" s="7">
        <v>6</v>
      </c>
      <c r="W47" s="7">
        <v>2</v>
      </c>
      <c r="X47" s="8">
        <f t="shared" si="8"/>
        <v>33.333333333333329</v>
      </c>
      <c r="Y47" s="9">
        <v>3</v>
      </c>
      <c r="Z47" s="9">
        <v>1</v>
      </c>
      <c r="AA47" s="8">
        <f t="shared" si="9"/>
        <v>33.333333333333329</v>
      </c>
      <c r="AB47" s="40">
        <v>4</v>
      </c>
      <c r="AC47" s="40">
        <v>0</v>
      </c>
      <c r="AD47" s="41">
        <f t="shared" si="0"/>
        <v>0</v>
      </c>
      <c r="AE47" s="42">
        <v>4</v>
      </c>
      <c r="AF47" s="42">
        <v>2</v>
      </c>
      <c r="AG47" s="41">
        <f t="shared" si="1"/>
        <v>50</v>
      </c>
      <c r="AH47" s="7">
        <v>8</v>
      </c>
      <c r="AI47" s="7">
        <v>1</v>
      </c>
      <c r="AJ47" s="8">
        <f t="shared" si="10"/>
        <v>12.5</v>
      </c>
      <c r="AK47" s="9">
        <v>6</v>
      </c>
      <c r="AL47" s="9">
        <v>0</v>
      </c>
      <c r="AM47" s="8">
        <f t="shared" si="11"/>
        <v>0</v>
      </c>
      <c r="AN47" s="9">
        <v>0</v>
      </c>
      <c r="AO47" s="9">
        <v>0</v>
      </c>
      <c r="AP47" s="9">
        <v>0</v>
      </c>
      <c r="AQ47" s="9">
        <v>0</v>
      </c>
      <c r="AR47" s="9">
        <v>0</v>
      </c>
      <c r="AS47" s="9">
        <v>0</v>
      </c>
      <c r="AT47" s="10">
        <f t="shared" si="12"/>
        <v>34</v>
      </c>
      <c r="AU47" s="10">
        <f t="shared" si="12"/>
        <v>8</v>
      </c>
      <c r="AV47" s="26">
        <f t="shared" si="13"/>
        <v>23.52941176470588</v>
      </c>
      <c r="AW47" s="10">
        <f t="shared" si="14"/>
        <v>24</v>
      </c>
      <c r="AX47" s="10">
        <f t="shared" si="14"/>
        <v>4</v>
      </c>
      <c r="AY47" s="26">
        <f t="shared" si="15"/>
        <v>16.666666666666664</v>
      </c>
      <c r="AZ47" s="10">
        <f t="shared" si="16"/>
        <v>58</v>
      </c>
      <c r="BA47" s="10">
        <f t="shared" si="16"/>
        <v>12</v>
      </c>
      <c r="BB47" s="27">
        <f t="shared" si="17"/>
        <v>20.689655172413794</v>
      </c>
    </row>
    <row r="48" spans="1:54">
      <c r="A48" s="12">
        <v>42</v>
      </c>
      <c r="B48" s="13">
        <v>1230321039</v>
      </c>
      <c r="C48" s="14" t="s">
        <v>64</v>
      </c>
      <c r="D48" s="7">
        <v>4</v>
      </c>
      <c r="E48" s="10">
        <v>1</v>
      </c>
      <c r="F48" s="8">
        <f t="shared" si="2"/>
        <v>25</v>
      </c>
      <c r="G48" s="7">
        <v>2</v>
      </c>
      <c r="H48" s="10">
        <v>1</v>
      </c>
      <c r="I48" s="8">
        <f t="shared" si="3"/>
        <v>50</v>
      </c>
      <c r="J48" s="7">
        <v>8</v>
      </c>
      <c r="K48" s="10">
        <v>6</v>
      </c>
      <c r="L48" s="8">
        <f t="shared" si="4"/>
        <v>75</v>
      </c>
      <c r="M48" s="9">
        <v>5</v>
      </c>
      <c r="N48" s="9">
        <v>3</v>
      </c>
      <c r="O48" s="8">
        <f t="shared" si="5"/>
        <v>60</v>
      </c>
      <c r="P48" s="7">
        <v>4</v>
      </c>
      <c r="Q48" s="10">
        <v>2</v>
      </c>
      <c r="R48" s="26">
        <f t="shared" si="6"/>
        <v>50</v>
      </c>
      <c r="S48" s="18">
        <v>4</v>
      </c>
      <c r="T48" s="9">
        <v>2</v>
      </c>
      <c r="U48" s="26">
        <f t="shared" si="7"/>
        <v>50</v>
      </c>
      <c r="V48" s="7">
        <v>6</v>
      </c>
      <c r="W48" s="10">
        <v>5</v>
      </c>
      <c r="X48" s="8">
        <f t="shared" si="8"/>
        <v>83.333333333333343</v>
      </c>
      <c r="Y48" s="9">
        <v>3</v>
      </c>
      <c r="Z48" s="9">
        <v>1</v>
      </c>
      <c r="AA48" s="8">
        <f t="shared" si="9"/>
        <v>33.333333333333329</v>
      </c>
      <c r="AB48" s="40">
        <v>4</v>
      </c>
      <c r="AC48" s="40">
        <v>3</v>
      </c>
      <c r="AD48" s="41">
        <f t="shared" si="0"/>
        <v>75</v>
      </c>
      <c r="AE48" s="42">
        <v>4</v>
      </c>
      <c r="AF48" s="42">
        <v>1</v>
      </c>
      <c r="AG48" s="41">
        <f t="shared" si="1"/>
        <v>25</v>
      </c>
      <c r="AH48" s="7">
        <v>8</v>
      </c>
      <c r="AI48" s="10">
        <v>6</v>
      </c>
      <c r="AJ48" s="8">
        <f t="shared" si="10"/>
        <v>75</v>
      </c>
      <c r="AK48" s="9">
        <v>6</v>
      </c>
      <c r="AL48" s="9">
        <v>3</v>
      </c>
      <c r="AM48" s="8">
        <f t="shared" si="11"/>
        <v>50</v>
      </c>
      <c r="AN48" s="9">
        <v>0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10">
        <f t="shared" si="12"/>
        <v>34</v>
      </c>
      <c r="AU48" s="10">
        <f t="shared" si="12"/>
        <v>23</v>
      </c>
      <c r="AV48" s="26">
        <f t="shared" si="13"/>
        <v>67.64705882352942</v>
      </c>
      <c r="AW48" s="10">
        <f t="shared" si="14"/>
        <v>24</v>
      </c>
      <c r="AX48" s="10">
        <f t="shared" si="14"/>
        <v>11</v>
      </c>
      <c r="AY48" s="26">
        <f t="shared" si="15"/>
        <v>45.833333333333329</v>
      </c>
      <c r="AZ48" s="10">
        <f t="shared" si="16"/>
        <v>58</v>
      </c>
      <c r="BA48" s="10">
        <f t="shared" si="16"/>
        <v>34</v>
      </c>
      <c r="BB48" s="27">
        <f t="shared" si="17"/>
        <v>58.620689655172406</v>
      </c>
    </row>
    <row r="49" spans="1:54">
      <c r="A49" s="12">
        <v>43</v>
      </c>
      <c r="B49" s="13">
        <v>1230321040</v>
      </c>
      <c r="C49" s="14" t="s">
        <v>65</v>
      </c>
      <c r="D49" s="7">
        <v>4</v>
      </c>
      <c r="E49" s="7">
        <v>2</v>
      </c>
      <c r="F49" s="8">
        <f t="shared" si="2"/>
        <v>50</v>
      </c>
      <c r="G49" s="7">
        <v>2</v>
      </c>
      <c r="H49" s="7">
        <v>1</v>
      </c>
      <c r="I49" s="8">
        <f t="shared" si="3"/>
        <v>50</v>
      </c>
      <c r="J49" s="7">
        <v>8</v>
      </c>
      <c r="K49" s="7">
        <v>6</v>
      </c>
      <c r="L49" s="8">
        <f t="shared" si="4"/>
        <v>75</v>
      </c>
      <c r="M49" s="9">
        <v>5</v>
      </c>
      <c r="N49" s="9">
        <v>3</v>
      </c>
      <c r="O49" s="8">
        <f t="shared" si="5"/>
        <v>60</v>
      </c>
      <c r="P49" s="7">
        <v>4</v>
      </c>
      <c r="Q49" s="7">
        <v>2</v>
      </c>
      <c r="R49" s="26">
        <f t="shared" si="6"/>
        <v>50</v>
      </c>
      <c r="S49" s="18">
        <v>4</v>
      </c>
      <c r="T49" s="9">
        <v>2</v>
      </c>
      <c r="U49" s="26">
        <f t="shared" si="7"/>
        <v>50</v>
      </c>
      <c r="V49" s="7">
        <v>6</v>
      </c>
      <c r="W49" s="7">
        <v>6</v>
      </c>
      <c r="X49" s="8">
        <f t="shared" si="8"/>
        <v>100</v>
      </c>
      <c r="Y49" s="9">
        <v>3</v>
      </c>
      <c r="Z49" s="9">
        <v>1</v>
      </c>
      <c r="AA49" s="8">
        <f t="shared" si="9"/>
        <v>33.333333333333329</v>
      </c>
      <c r="AB49" s="40">
        <v>4</v>
      </c>
      <c r="AC49" s="40">
        <v>3</v>
      </c>
      <c r="AD49" s="41">
        <f t="shared" si="0"/>
        <v>75</v>
      </c>
      <c r="AE49" s="42">
        <v>4</v>
      </c>
      <c r="AF49" s="42">
        <v>1</v>
      </c>
      <c r="AG49" s="41">
        <f t="shared" si="1"/>
        <v>25</v>
      </c>
      <c r="AH49" s="7">
        <v>8</v>
      </c>
      <c r="AI49" s="7">
        <v>5</v>
      </c>
      <c r="AJ49" s="8">
        <f t="shared" si="10"/>
        <v>62.5</v>
      </c>
      <c r="AK49" s="9">
        <v>6</v>
      </c>
      <c r="AL49" s="9">
        <v>3</v>
      </c>
      <c r="AM49" s="8">
        <f t="shared" si="11"/>
        <v>50</v>
      </c>
      <c r="AN49" s="9">
        <v>0</v>
      </c>
      <c r="AO49" s="9">
        <v>0</v>
      </c>
      <c r="AP49" s="9">
        <v>0</v>
      </c>
      <c r="AQ49" s="9">
        <v>0</v>
      </c>
      <c r="AR49" s="9">
        <v>0</v>
      </c>
      <c r="AS49" s="9">
        <v>0</v>
      </c>
      <c r="AT49" s="10">
        <f t="shared" si="12"/>
        <v>34</v>
      </c>
      <c r="AU49" s="10">
        <f t="shared" si="12"/>
        <v>24</v>
      </c>
      <c r="AV49" s="26">
        <f t="shared" si="13"/>
        <v>70.588235294117652</v>
      </c>
      <c r="AW49" s="10">
        <f t="shared" si="14"/>
        <v>24</v>
      </c>
      <c r="AX49" s="10">
        <f t="shared" si="14"/>
        <v>11</v>
      </c>
      <c r="AY49" s="26">
        <f t="shared" si="15"/>
        <v>45.833333333333329</v>
      </c>
      <c r="AZ49" s="10">
        <f t="shared" si="16"/>
        <v>58</v>
      </c>
      <c r="BA49" s="10">
        <f t="shared" si="16"/>
        <v>35</v>
      </c>
      <c r="BB49" s="27">
        <f t="shared" si="17"/>
        <v>60.344827586206897</v>
      </c>
    </row>
    <row r="50" spans="1:54" s="11" customFormat="1">
      <c r="A50" s="12">
        <v>44</v>
      </c>
      <c r="B50" s="13">
        <v>1230321041</v>
      </c>
      <c r="C50" s="14" t="s">
        <v>66</v>
      </c>
      <c r="D50" s="7">
        <v>4</v>
      </c>
      <c r="E50" s="9">
        <v>0</v>
      </c>
      <c r="F50" s="8">
        <f t="shared" si="2"/>
        <v>0</v>
      </c>
      <c r="G50" s="7">
        <v>2</v>
      </c>
      <c r="H50" s="9">
        <v>0</v>
      </c>
      <c r="I50" s="8">
        <f t="shared" si="3"/>
        <v>0</v>
      </c>
      <c r="J50" s="7">
        <v>8</v>
      </c>
      <c r="K50" s="9">
        <v>4</v>
      </c>
      <c r="L50" s="8">
        <f t="shared" si="4"/>
        <v>50</v>
      </c>
      <c r="M50" s="9">
        <v>5</v>
      </c>
      <c r="N50" s="9">
        <v>0</v>
      </c>
      <c r="O50" s="8">
        <f t="shared" si="5"/>
        <v>0</v>
      </c>
      <c r="P50" s="7">
        <v>4</v>
      </c>
      <c r="Q50" s="9">
        <v>4</v>
      </c>
      <c r="R50" s="26">
        <f t="shared" si="6"/>
        <v>100</v>
      </c>
      <c r="S50" s="18">
        <v>4</v>
      </c>
      <c r="T50" s="9">
        <v>4</v>
      </c>
      <c r="U50" s="26">
        <f t="shared" si="7"/>
        <v>100</v>
      </c>
      <c r="V50" s="9">
        <v>6</v>
      </c>
      <c r="W50" s="9">
        <v>5</v>
      </c>
      <c r="X50" s="8">
        <f t="shared" si="8"/>
        <v>83.333333333333343</v>
      </c>
      <c r="Y50" s="9">
        <v>3</v>
      </c>
      <c r="Z50" s="9">
        <v>0</v>
      </c>
      <c r="AA50" s="8">
        <f t="shared" si="9"/>
        <v>0</v>
      </c>
      <c r="AB50" s="40">
        <v>4</v>
      </c>
      <c r="AC50" s="42">
        <v>4</v>
      </c>
      <c r="AD50" s="41">
        <f t="shared" si="0"/>
        <v>100</v>
      </c>
      <c r="AE50" s="42">
        <v>4</v>
      </c>
      <c r="AF50" s="42">
        <v>4</v>
      </c>
      <c r="AG50" s="41">
        <f t="shared" si="1"/>
        <v>100</v>
      </c>
      <c r="AH50" s="9">
        <v>8</v>
      </c>
      <c r="AI50" s="9">
        <v>4</v>
      </c>
      <c r="AJ50" s="8">
        <f t="shared" si="10"/>
        <v>50</v>
      </c>
      <c r="AK50" s="9">
        <v>6</v>
      </c>
      <c r="AL50" s="9">
        <v>2</v>
      </c>
      <c r="AM50" s="8">
        <f t="shared" si="11"/>
        <v>33.333333333333329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10">
        <f t="shared" si="12"/>
        <v>34</v>
      </c>
      <c r="AU50" s="10">
        <f t="shared" si="12"/>
        <v>21</v>
      </c>
      <c r="AV50" s="26">
        <f t="shared" si="13"/>
        <v>61.764705882352942</v>
      </c>
      <c r="AW50" s="10">
        <f t="shared" si="14"/>
        <v>24</v>
      </c>
      <c r="AX50" s="10">
        <f t="shared" si="14"/>
        <v>10</v>
      </c>
      <c r="AY50" s="26">
        <f t="shared" si="15"/>
        <v>41.666666666666671</v>
      </c>
      <c r="AZ50" s="10">
        <f t="shared" si="16"/>
        <v>58</v>
      </c>
      <c r="BA50" s="10">
        <f t="shared" si="16"/>
        <v>31</v>
      </c>
      <c r="BB50" s="27">
        <f t="shared" si="17"/>
        <v>53.448275862068961</v>
      </c>
    </row>
    <row r="51" spans="1:54" s="11" customFormat="1">
      <c r="A51" s="12">
        <v>45</v>
      </c>
      <c r="B51" s="13">
        <v>1230321042</v>
      </c>
      <c r="C51" s="14" t="s">
        <v>67</v>
      </c>
      <c r="D51" s="7">
        <v>4</v>
      </c>
      <c r="E51" s="9">
        <v>0</v>
      </c>
      <c r="F51" s="8">
        <f t="shared" si="2"/>
        <v>0</v>
      </c>
      <c r="G51" s="7">
        <v>2</v>
      </c>
      <c r="H51" s="9">
        <v>0</v>
      </c>
      <c r="I51" s="8">
        <f t="shared" si="3"/>
        <v>0</v>
      </c>
      <c r="J51" s="7">
        <v>8</v>
      </c>
      <c r="K51" s="9">
        <v>5</v>
      </c>
      <c r="L51" s="8">
        <f t="shared" si="4"/>
        <v>62.5</v>
      </c>
      <c r="M51" s="9">
        <v>5</v>
      </c>
      <c r="N51" s="9">
        <v>1</v>
      </c>
      <c r="O51" s="8">
        <f t="shared" si="5"/>
        <v>20</v>
      </c>
      <c r="P51" s="7">
        <v>4</v>
      </c>
      <c r="Q51" s="9">
        <v>4</v>
      </c>
      <c r="R51" s="26">
        <f t="shared" si="6"/>
        <v>100</v>
      </c>
      <c r="S51" s="18">
        <v>4</v>
      </c>
      <c r="T51" s="9">
        <v>4</v>
      </c>
      <c r="U51" s="26">
        <f t="shared" si="7"/>
        <v>100</v>
      </c>
      <c r="V51" s="9">
        <v>6</v>
      </c>
      <c r="W51" s="9">
        <v>2</v>
      </c>
      <c r="X51" s="8">
        <f t="shared" si="8"/>
        <v>33.333333333333329</v>
      </c>
      <c r="Y51" s="9">
        <v>3</v>
      </c>
      <c r="Z51" s="9">
        <v>0</v>
      </c>
      <c r="AA51" s="8">
        <f t="shared" si="9"/>
        <v>0</v>
      </c>
      <c r="AB51" s="40">
        <v>4</v>
      </c>
      <c r="AC51" s="42">
        <v>3</v>
      </c>
      <c r="AD51" s="41">
        <f t="shared" si="0"/>
        <v>75</v>
      </c>
      <c r="AE51" s="42">
        <v>4</v>
      </c>
      <c r="AF51" s="42">
        <v>4</v>
      </c>
      <c r="AG51" s="41">
        <f t="shared" si="1"/>
        <v>100</v>
      </c>
      <c r="AH51" s="9">
        <v>8</v>
      </c>
      <c r="AI51" s="9">
        <v>6</v>
      </c>
      <c r="AJ51" s="8">
        <f t="shared" si="10"/>
        <v>75</v>
      </c>
      <c r="AK51" s="9">
        <v>6</v>
      </c>
      <c r="AL51" s="9">
        <v>5</v>
      </c>
      <c r="AM51" s="8">
        <f t="shared" si="11"/>
        <v>83.333333333333343</v>
      </c>
      <c r="AN51" s="9">
        <v>0</v>
      </c>
      <c r="AO51" s="9">
        <v>0</v>
      </c>
      <c r="AP51" s="9">
        <v>0</v>
      </c>
      <c r="AQ51" s="9">
        <v>0</v>
      </c>
      <c r="AR51" s="9">
        <v>0</v>
      </c>
      <c r="AS51" s="9">
        <v>0</v>
      </c>
      <c r="AT51" s="10">
        <f t="shared" si="12"/>
        <v>34</v>
      </c>
      <c r="AU51" s="10">
        <f t="shared" si="12"/>
        <v>20</v>
      </c>
      <c r="AV51" s="26">
        <f t="shared" si="13"/>
        <v>58.82352941176471</v>
      </c>
      <c r="AW51" s="10">
        <f t="shared" si="14"/>
        <v>24</v>
      </c>
      <c r="AX51" s="10">
        <f t="shared" si="14"/>
        <v>14</v>
      </c>
      <c r="AY51" s="26">
        <f t="shared" si="15"/>
        <v>58.333333333333336</v>
      </c>
      <c r="AZ51" s="10">
        <f t="shared" si="16"/>
        <v>58</v>
      </c>
      <c r="BA51" s="10">
        <f t="shared" si="16"/>
        <v>34</v>
      </c>
      <c r="BB51" s="27">
        <f t="shared" si="17"/>
        <v>58.620689655172406</v>
      </c>
    </row>
    <row r="52" spans="1:54" s="11" customFormat="1">
      <c r="A52" s="12">
        <v>46</v>
      </c>
      <c r="B52" s="13">
        <v>1230321043</v>
      </c>
      <c r="C52" s="14" t="s">
        <v>68</v>
      </c>
      <c r="D52" s="7">
        <v>4</v>
      </c>
      <c r="E52" s="9">
        <v>2</v>
      </c>
      <c r="F52" s="8">
        <f t="shared" si="2"/>
        <v>50</v>
      </c>
      <c r="G52" s="7">
        <v>2</v>
      </c>
      <c r="H52" s="9">
        <v>1</v>
      </c>
      <c r="I52" s="8">
        <f t="shared" si="3"/>
        <v>50</v>
      </c>
      <c r="J52" s="7">
        <v>8</v>
      </c>
      <c r="K52" s="9">
        <v>1</v>
      </c>
      <c r="L52" s="8">
        <f t="shared" si="4"/>
        <v>12.5</v>
      </c>
      <c r="M52" s="9">
        <v>5</v>
      </c>
      <c r="N52" s="9">
        <v>0</v>
      </c>
      <c r="O52" s="8">
        <f t="shared" si="5"/>
        <v>0</v>
      </c>
      <c r="P52" s="7">
        <v>4</v>
      </c>
      <c r="Q52" s="9">
        <v>3</v>
      </c>
      <c r="R52" s="26">
        <f t="shared" si="6"/>
        <v>75</v>
      </c>
      <c r="S52" s="18">
        <v>4</v>
      </c>
      <c r="T52" s="9">
        <v>3</v>
      </c>
      <c r="U52" s="26">
        <f t="shared" si="7"/>
        <v>75</v>
      </c>
      <c r="V52" s="9">
        <v>6</v>
      </c>
      <c r="W52" s="9">
        <v>3</v>
      </c>
      <c r="X52" s="8">
        <f t="shared" si="8"/>
        <v>50</v>
      </c>
      <c r="Y52" s="9">
        <v>3</v>
      </c>
      <c r="Z52" s="9">
        <v>1</v>
      </c>
      <c r="AA52" s="8">
        <f t="shared" si="9"/>
        <v>33.333333333333329</v>
      </c>
      <c r="AB52" s="40">
        <v>4</v>
      </c>
      <c r="AC52" s="42">
        <v>1</v>
      </c>
      <c r="AD52" s="41">
        <f t="shared" si="0"/>
        <v>25</v>
      </c>
      <c r="AE52" s="42">
        <v>4</v>
      </c>
      <c r="AF52" s="42">
        <v>0</v>
      </c>
      <c r="AG52" s="41">
        <f t="shared" si="1"/>
        <v>0</v>
      </c>
      <c r="AH52" s="9">
        <v>8</v>
      </c>
      <c r="AI52" s="9">
        <v>3</v>
      </c>
      <c r="AJ52" s="8">
        <f t="shared" si="10"/>
        <v>37.5</v>
      </c>
      <c r="AK52" s="9">
        <v>6</v>
      </c>
      <c r="AL52" s="9">
        <v>1</v>
      </c>
      <c r="AM52" s="8">
        <f t="shared" si="11"/>
        <v>16.666666666666664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10">
        <f t="shared" si="12"/>
        <v>34</v>
      </c>
      <c r="AU52" s="10">
        <f t="shared" si="12"/>
        <v>13</v>
      </c>
      <c r="AV52" s="26">
        <f t="shared" si="13"/>
        <v>38.235294117647058</v>
      </c>
      <c r="AW52" s="10">
        <f t="shared" si="14"/>
        <v>24</v>
      </c>
      <c r="AX52" s="10">
        <f t="shared" si="14"/>
        <v>6</v>
      </c>
      <c r="AY52" s="26">
        <f t="shared" si="15"/>
        <v>25</v>
      </c>
      <c r="AZ52" s="10">
        <f t="shared" si="16"/>
        <v>58</v>
      </c>
      <c r="BA52" s="10">
        <f t="shared" si="16"/>
        <v>19</v>
      </c>
      <c r="BB52" s="27">
        <f t="shared" si="17"/>
        <v>32.758620689655174</v>
      </c>
    </row>
    <row r="53" spans="1:54" s="11" customFormat="1">
      <c r="A53" s="12">
        <v>47</v>
      </c>
      <c r="B53" s="13">
        <v>1230321044</v>
      </c>
      <c r="C53" s="14" t="s">
        <v>69</v>
      </c>
      <c r="D53" s="7">
        <v>4</v>
      </c>
      <c r="E53" s="9">
        <v>0</v>
      </c>
      <c r="F53" s="8">
        <f t="shared" si="2"/>
        <v>0</v>
      </c>
      <c r="G53" s="7">
        <v>2</v>
      </c>
      <c r="H53" s="9">
        <v>0</v>
      </c>
      <c r="I53" s="8">
        <f t="shared" si="3"/>
        <v>0</v>
      </c>
      <c r="J53" s="7">
        <v>8</v>
      </c>
      <c r="K53" s="9">
        <v>7</v>
      </c>
      <c r="L53" s="8">
        <f t="shared" si="4"/>
        <v>87.5</v>
      </c>
      <c r="M53" s="9">
        <v>5</v>
      </c>
      <c r="N53" s="9">
        <v>2</v>
      </c>
      <c r="O53" s="8">
        <f t="shared" si="5"/>
        <v>40</v>
      </c>
      <c r="P53" s="7">
        <v>4</v>
      </c>
      <c r="Q53" s="9">
        <v>2</v>
      </c>
      <c r="R53" s="26">
        <f t="shared" si="6"/>
        <v>50</v>
      </c>
      <c r="S53" s="18">
        <v>4</v>
      </c>
      <c r="T53" s="9">
        <v>2</v>
      </c>
      <c r="U53" s="26">
        <f t="shared" si="7"/>
        <v>50</v>
      </c>
      <c r="V53" s="9">
        <v>6</v>
      </c>
      <c r="W53" s="9">
        <v>3</v>
      </c>
      <c r="X53" s="8">
        <f t="shared" si="8"/>
        <v>50</v>
      </c>
      <c r="Y53" s="9">
        <v>3</v>
      </c>
      <c r="Z53" s="9">
        <v>1</v>
      </c>
      <c r="AA53" s="8">
        <f t="shared" si="9"/>
        <v>33.333333333333329</v>
      </c>
      <c r="AB53" s="40">
        <v>4</v>
      </c>
      <c r="AC53" s="42">
        <v>3</v>
      </c>
      <c r="AD53" s="41">
        <f t="shared" si="0"/>
        <v>75</v>
      </c>
      <c r="AE53" s="42">
        <v>4</v>
      </c>
      <c r="AF53" s="42">
        <v>2</v>
      </c>
      <c r="AG53" s="41">
        <f t="shared" si="1"/>
        <v>50</v>
      </c>
      <c r="AH53" s="9">
        <v>8</v>
      </c>
      <c r="AI53" s="9">
        <v>4</v>
      </c>
      <c r="AJ53" s="8">
        <f t="shared" si="10"/>
        <v>50</v>
      </c>
      <c r="AK53" s="9">
        <v>6</v>
      </c>
      <c r="AL53" s="9">
        <v>2</v>
      </c>
      <c r="AM53" s="8">
        <f t="shared" si="11"/>
        <v>33.333333333333329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10">
        <f t="shared" si="12"/>
        <v>34</v>
      </c>
      <c r="AU53" s="10">
        <f t="shared" si="12"/>
        <v>19</v>
      </c>
      <c r="AV53" s="26">
        <f t="shared" si="13"/>
        <v>55.882352941176471</v>
      </c>
      <c r="AW53" s="10">
        <f t="shared" si="14"/>
        <v>24</v>
      </c>
      <c r="AX53" s="10">
        <f t="shared" si="14"/>
        <v>9</v>
      </c>
      <c r="AY53" s="26">
        <f t="shared" si="15"/>
        <v>37.5</v>
      </c>
      <c r="AZ53" s="10">
        <f t="shared" si="16"/>
        <v>58</v>
      </c>
      <c r="BA53" s="10">
        <f t="shared" si="16"/>
        <v>28</v>
      </c>
      <c r="BB53" s="27">
        <f t="shared" si="17"/>
        <v>48.275862068965516</v>
      </c>
    </row>
    <row r="54" spans="1:54" s="11" customFormat="1">
      <c r="A54" s="12">
        <v>48</v>
      </c>
      <c r="B54" s="13">
        <v>1230321045</v>
      </c>
      <c r="C54" s="14" t="s">
        <v>70</v>
      </c>
      <c r="D54" s="7">
        <v>4</v>
      </c>
      <c r="E54" s="9">
        <v>2</v>
      </c>
      <c r="F54" s="8">
        <f t="shared" si="2"/>
        <v>50</v>
      </c>
      <c r="G54" s="7">
        <v>2</v>
      </c>
      <c r="H54" s="9">
        <v>1</v>
      </c>
      <c r="I54" s="8">
        <f t="shared" si="3"/>
        <v>50</v>
      </c>
      <c r="J54" s="7">
        <v>8</v>
      </c>
      <c r="K54" s="9">
        <v>5</v>
      </c>
      <c r="L54" s="8">
        <f t="shared" si="4"/>
        <v>62.5</v>
      </c>
      <c r="M54" s="9">
        <v>5</v>
      </c>
      <c r="N54" s="9">
        <v>1</v>
      </c>
      <c r="O54" s="8">
        <f t="shared" si="5"/>
        <v>20</v>
      </c>
      <c r="P54" s="7">
        <v>4</v>
      </c>
      <c r="Q54" s="9">
        <v>1</v>
      </c>
      <c r="R54" s="26">
        <f t="shared" si="6"/>
        <v>25</v>
      </c>
      <c r="S54" s="18">
        <v>4</v>
      </c>
      <c r="T54" s="9">
        <v>1</v>
      </c>
      <c r="U54" s="26">
        <f t="shared" si="7"/>
        <v>25</v>
      </c>
      <c r="V54" s="9">
        <v>6</v>
      </c>
      <c r="W54" s="9">
        <v>2</v>
      </c>
      <c r="X54" s="8">
        <f t="shared" si="8"/>
        <v>33.333333333333329</v>
      </c>
      <c r="Y54" s="9">
        <v>3</v>
      </c>
      <c r="Z54" s="9">
        <v>0</v>
      </c>
      <c r="AA54" s="8">
        <f t="shared" si="9"/>
        <v>0</v>
      </c>
      <c r="AB54" s="40">
        <v>4</v>
      </c>
      <c r="AC54" s="42">
        <v>3</v>
      </c>
      <c r="AD54" s="41">
        <f t="shared" si="0"/>
        <v>75</v>
      </c>
      <c r="AE54" s="42">
        <v>4</v>
      </c>
      <c r="AF54" s="42">
        <v>2</v>
      </c>
      <c r="AG54" s="41">
        <f t="shared" si="1"/>
        <v>50</v>
      </c>
      <c r="AH54" s="9">
        <v>8</v>
      </c>
      <c r="AI54" s="9">
        <v>5</v>
      </c>
      <c r="AJ54" s="8">
        <f t="shared" si="10"/>
        <v>62.5</v>
      </c>
      <c r="AK54" s="9">
        <v>6</v>
      </c>
      <c r="AL54" s="9">
        <v>5</v>
      </c>
      <c r="AM54" s="8">
        <f t="shared" si="11"/>
        <v>83.333333333333343</v>
      </c>
      <c r="AN54" s="9">
        <v>0</v>
      </c>
      <c r="AO54" s="9">
        <v>0</v>
      </c>
      <c r="AP54" s="9">
        <v>0</v>
      </c>
      <c r="AQ54" s="9">
        <v>0</v>
      </c>
      <c r="AR54" s="9">
        <v>0</v>
      </c>
      <c r="AS54" s="9">
        <v>0</v>
      </c>
      <c r="AT54" s="10">
        <f t="shared" si="12"/>
        <v>34</v>
      </c>
      <c r="AU54" s="10">
        <f t="shared" si="12"/>
        <v>18</v>
      </c>
      <c r="AV54" s="26">
        <f t="shared" si="13"/>
        <v>52.941176470588239</v>
      </c>
      <c r="AW54" s="10">
        <f t="shared" si="14"/>
        <v>24</v>
      </c>
      <c r="AX54" s="10">
        <f t="shared" si="14"/>
        <v>10</v>
      </c>
      <c r="AY54" s="26">
        <f t="shared" si="15"/>
        <v>41.666666666666671</v>
      </c>
      <c r="AZ54" s="10">
        <f t="shared" si="16"/>
        <v>58</v>
      </c>
      <c r="BA54" s="10">
        <f t="shared" si="16"/>
        <v>28</v>
      </c>
      <c r="BB54" s="27">
        <f t="shared" si="17"/>
        <v>48.275862068965516</v>
      </c>
    </row>
    <row r="55" spans="1:54" s="11" customFormat="1">
      <c r="A55" s="12">
        <v>49</v>
      </c>
      <c r="B55" s="13">
        <v>1230321046</v>
      </c>
      <c r="C55" s="14" t="s">
        <v>71</v>
      </c>
      <c r="D55" s="7">
        <v>4</v>
      </c>
      <c r="E55" s="9">
        <v>3</v>
      </c>
      <c r="F55" s="8">
        <f t="shared" si="2"/>
        <v>75</v>
      </c>
      <c r="G55" s="7">
        <v>2</v>
      </c>
      <c r="H55" s="9">
        <v>2</v>
      </c>
      <c r="I55" s="8">
        <f t="shared" si="3"/>
        <v>100</v>
      </c>
      <c r="J55" s="7">
        <v>8</v>
      </c>
      <c r="K55" s="9">
        <v>4</v>
      </c>
      <c r="L55" s="8">
        <f t="shared" si="4"/>
        <v>50</v>
      </c>
      <c r="M55" s="9">
        <v>5</v>
      </c>
      <c r="N55" s="9">
        <v>1</v>
      </c>
      <c r="O55" s="8">
        <f t="shared" si="5"/>
        <v>20</v>
      </c>
      <c r="P55" s="7">
        <v>4</v>
      </c>
      <c r="Q55" s="9">
        <v>2</v>
      </c>
      <c r="R55" s="26">
        <f t="shared" si="6"/>
        <v>50</v>
      </c>
      <c r="S55" s="18">
        <v>4</v>
      </c>
      <c r="T55" s="9">
        <v>2</v>
      </c>
      <c r="U55" s="26">
        <f t="shared" si="7"/>
        <v>50</v>
      </c>
      <c r="V55" s="9">
        <v>6</v>
      </c>
      <c r="W55" s="9">
        <v>3</v>
      </c>
      <c r="X55" s="8">
        <f t="shared" si="8"/>
        <v>50</v>
      </c>
      <c r="Y55" s="9">
        <v>3</v>
      </c>
      <c r="Z55" s="9">
        <v>0</v>
      </c>
      <c r="AA55" s="8">
        <f t="shared" si="9"/>
        <v>0</v>
      </c>
      <c r="AB55" s="40">
        <v>4</v>
      </c>
      <c r="AC55" s="42">
        <v>3</v>
      </c>
      <c r="AD55" s="41">
        <f t="shared" si="0"/>
        <v>75</v>
      </c>
      <c r="AE55" s="42">
        <v>4</v>
      </c>
      <c r="AF55" s="42">
        <v>1</v>
      </c>
      <c r="AG55" s="41">
        <f t="shared" si="1"/>
        <v>25</v>
      </c>
      <c r="AH55" s="9">
        <v>8</v>
      </c>
      <c r="AI55" s="9">
        <v>3</v>
      </c>
      <c r="AJ55" s="8">
        <f t="shared" si="10"/>
        <v>37.5</v>
      </c>
      <c r="AK55" s="9">
        <v>6</v>
      </c>
      <c r="AL55" s="9">
        <v>1</v>
      </c>
      <c r="AM55" s="8">
        <f t="shared" si="11"/>
        <v>16.666666666666664</v>
      </c>
      <c r="AN55" s="9">
        <v>0</v>
      </c>
      <c r="AO55" s="9">
        <v>0</v>
      </c>
      <c r="AP55" s="9">
        <v>0</v>
      </c>
      <c r="AQ55" s="9">
        <v>0</v>
      </c>
      <c r="AR55" s="9">
        <v>0</v>
      </c>
      <c r="AS55" s="9">
        <v>0</v>
      </c>
      <c r="AT55" s="10">
        <f t="shared" si="12"/>
        <v>34</v>
      </c>
      <c r="AU55" s="10">
        <f t="shared" si="12"/>
        <v>18</v>
      </c>
      <c r="AV55" s="26">
        <f t="shared" si="13"/>
        <v>52.941176470588239</v>
      </c>
      <c r="AW55" s="10">
        <f t="shared" si="14"/>
        <v>24</v>
      </c>
      <c r="AX55" s="10">
        <f t="shared" si="14"/>
        <v>7</v>
      </c>
      <c r="AY55" s="26">
        <f t="shared" si="15"/>
        <v>29.166666666666668</v>
      </c>
      <c r="AZ55" s="10">
        <f t="shared" si="16"/>
        <v>58</v>
      </c>
      <c r="BA55" s="10">
        <f t="shared" si="16"/>
        <v>25</v>
      </c>
      <c r="BB55" s="27">
        <f t="shared" si="17"/>
        <v>43.103448275862064</v>
      </c>
    </row>
    <row r="56" spans="1:54" s="11" customFormat="1">
      <c r="A56" s="12">
        <v>50</v>
      </c>
      <c r="B56" s="13">
        <v>1230321047</v>
      </c>
      <c r="C56" s="14" t="s">
        <v>72</v>
      </c>
      <c r="D56" s="7">
        <v>4</v>
      </c>
      <c r="E56" s="9">
        <v>0</v>
      </c>
      <c r="F56" s="8">
        <f t="shared" si="2"/>
        <v>0</v>
      </c>
      <c r="G56" s="7">
        <v>2</v>
      </c>
      <c r="H56" s="9">
        <v>0</v>
      </c>
      <c r="I56" s="8">
        <f t="shared" si="3"/>
        <v>0</v>
      </c>
      <c r="J56" s="7">
        <v>8</v>
      </c>
      <c r="K56" s="9">
        <v>5</v>
      </c>
      <c r="L56" s="8">
        <f t="shared" si="4"/>
        <v>62.5</v>
      </c>
      <c r="M56" s="9">
        <v>5</v>
      </c>
      <c r="N56" s="9">
        <v>1</v>
      </c>
      <c r="O56" s="8">
        <f t="shared" si="5"/>
        <v>20</v>
      </c>
      <c r="P56" s="7">
        <v>4</v>
      </c>
      <c r="Q56" s="9">
        <v>4</v>
      </c>
      <c r="R56" s="26">
        <f t="shared" si="6"/>
        <v>100</v>
      </c>
      <c r="S56" s="18">
        <v>4</v>
      </c>
      <c r="T56" s="9">
        <v>4</v>
      </c>
      <c r="U56" s="26">
        <f t="shared" si="7"/>
        <v>100</v>
      </c>
      <c r="V56" s="9">
        <v>6</v>
      </c>
      <c r="W56" s="9">
        <v>6</v>
      </c>
      <c r="X56" s="8">
        <f t="shared" si="8"/>
        <v>100</v>
      </c>
      <c r="Y56" s="9">
        <v>3</v>
      </c>
      <c r="Z56" s="9">
        <v>1</v>
      </c>
      <c r="AA56" s="8">
        <f t="shared" si="9"/>
        <v>33.333333333333329</v>
      </c>
      <c r="AB56" s="40">
        <v>4</v>
      </c>
      <c r="AC56" s="42">
        <v>4</v>
      </c>
      <c r="AD56" s="41">
        <f t="shared" si="0"/>
        <v>100</v>
      </c>
      <c r="AE56" s="42">
        <v>4</v>
      </c>
      <c r="AF56" s="42">
        <v>2</v>
      </c>
      <c r="AG56" s="41">
        <f t="shared" si="1"/>
        <v>50</v>
      </c>
      <c r="AH56" s="9">
        <v>8</v>
      </c>
      <c r="AI56" s="9">
        <v>4</v>
      </c>
      <c r="AJ56" s="8">
        <f t="shared" si="10"/>
        <v>50</v>
      </c>
      <c r="AK56" s="9">
        <v>6</v>
      </c>
      <c r="AL56" s="9">
        <v>4</v>
      </c>
      <c r="AM56" s="8">
        <f t="shared" si="11"/>
        <v>66.666666666666657</v>
      </c>
      <c r="AN56" s="9">
        <v>0</v>
      </c>
      <c r="AO56" s="9">
        <v>0</v>
      </c>
      <c r="AP56" s="9">
        <v>0</v>
      </c>
      <c r="AQ56" s="9">
        <v>0</v>
      </c>
      <c r="AR56" s="9">
        <v>0</v>
      </c>
      <c r="AS56" s="9">
        <v>0</v>
      </c>
      <c r="AT56" s="10">
        <f t="shared" si="12"/>
        <v>34</v>
      </c>
      <c r="AU56" s="10">
        <f t="shared" si="12"/>
        <v>23</v>
      </c>
      <c r="AV56" s="26">
        <f t="shared" si="13"/>
        <v>67.64705882352942</v>
      </c>
      <c r="AW56" s="10">
        <f t="shared" si="14"/>
        <v>24</v>
      </c>
      <c r="AX56" s="10">
        <f t="shared" si="14"/>
        <v>12</v>
      </c>
      <c r="AY56" s="26">
        <f t="shared" si="15"/>
        <v>50</v>
      </c>
      <c r="AZ56" s="10">
        <f t="shared" si="16"/>
        <v>58</v>
      </c>
      <c r="BA56" s="10">
        <f t="shared" si="16"/>
        <v>35</v>
      </c>
      <c r="BB56" s="27">
        <f t="shared" si="17"/>
        <v>60.344827586206897</v>
      </c>
    </row>
    <row r="57" spans="1:54" s="11" customFormat="1">
      <c r="A57" s="12">
        <v>51</v>
      </c>
      <c r="B57" s="13">
        <v>1230321048</v>
      </c>
      <c r="C57" s="14" t="s">
        <v>73</v>
      </c>
      <c r="D57" s="7">
        <v>4</v>
      </c>
      <c r="E57" s="9">
        <v>3</v>
      </c>
      <c r="F57" s="8">
        <f t="shared" si="2"/>
        <v>75</v>
      </c>
      <c r="G57" s="7">
        <v>2</v>
      </c>
      <c r="H57" s="9">
        <v>1</v>
      </c>
      <c r="I57" s="8">
        <f t="shared" si="3"/>
        <v>50</v>
      </c>
      <c r="J57" s="7">
        <v>8</v>
      </c>
      <c r="K57" s="9">
        <v>5</v>
      </c>
      <c r="L57" s="8">
        <f t="shared" si="4"/>
        <v>62.5</v>
      </c>
      <c r="M57" s="9">
        <v>5</v>
      </c>
      <c r="N57" s="9">
        <v>1</v>
      </c>
      <c r="O57" s="8">
        <f t="shared" si="5"/>
        <v>20</v>
      </c>
      <c r="P57" s="7">
        <v>4</v>
      </c>
      <c r="Q57" s="9">
        <v>3</v>
      </c>
      <c r="R57" s="26">
        <f t="shared" si="6"/>
        <v>75</v>
      </c>
      <c r="S57" s="18">
        <v>4</v>
      </c>
      <c r="T57" s="9">
        <v>3</v>
      </c>
      <c r="U57" s="26">
        <f t="shared" si="7"/>
        <v>75</v>
      </c>
      <c r="V57" s="9">
        <v>6</v>
      </c>
      <c r="W57" s="9">
        <v>2</v>
      </c>
      <c r="X57" s="8">
        <f t="shared" si="8"/>
        <v>33.333333333333329</v>
      </c>
      <c r="Y57" s="9">
        <v>3</v>
      </c>
      <c r="Z57" s="9">
        <v>1</v>
      </c>
      <c r="AA57" s="8">
        <f t="shared" si="9"/>
        <v>33.333333333333329</v>
      </c>
      <c r="AB57" s="40">
        <v>4</v>
      </c>
      <c r="AC57" s="42">
        <v>3</v>
      </c>
      <c r="AD57" s="41">
        <f t="shared" si="0"/>
        <v>75</v>
      </c>
      <c r="AE57" s="42">
        <v>4</v>
      </c>
      <c r="AF57" s="42">
        <v>3</v>
      </c>
      <c r="AG57" s="41">
        <f t="shared" si="1"/>
        <v>75</v>
      </c>
      <c r="AH57" s="9">
        <v>8</v>
      </c>
      <c r="AI57" s="9">
        <v>6</v>
      </c>
      <c r="AJ57" s="8">
        <f t="shared" si="10"/>
        <v>75</v>
      </c>
      <c r="AK57" s="9">
        <v>6</v>
      </c>
      <c r="AL57" s="9">
        <v>3</v>
      </c>
      <c r="AM57" s="8">
        <f t="shared" si="11"/>
        <v>50</v>
      </c>
      <c r="AN57" s="9">
        <v>0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10">
        <f t="shared" si="12"/>
        <v>34</v>
      </c>
      <c r="AU57" s="10">
        <f t="shared" si="12"/>
        <v>22</v>
      </c>
      <c r="AV57" s="26">
        <f t="shared" si="13"/>
        <v>64.705882352941174</v>
      </c>
      <c r="AW57" s="10">
        <f t="shared" si="14"/>
        <v>24</v>
      </c>
      <c r="AX57" s="10">
        <f t="shared" si="14"/>
        <v>12</v>
      </c>
      <c r="AY57" s="26">
        <f t="shared" si="15"/>
        <v>50</v>
      </c>
      <c r="AZ57" s="10">
        <f t="shared" si="16"/>
        <v>58</v>
      </c>
      <c r="BA57" s="10">
        <f t="shared" si="16"/>
        <v>34</v>
      </c>
      <c r="BB57" s="27">
        <f t="shared" si="17"/>
        <v>58.620689655172406</v>
      </c>
    </row>
    <row r="58" spans="1:54" s="11" customFormat="1">
      <c r="A58" s="12">
        <v>52</v>
      </c>
      <c r="B58" s="13">
        <v>1230321049</v>
      </c>
      <c r="C58" s="14" t="s">
        <v>74</v>
      </c>
      <c r="D58" s="7">
        <v>4</v>
      </c>
      <c r="E58" s="9">
        <v>3</v>
      </c>
      <c r="F58" s="8">
        <f t="shared" si="2"/>
        <v>75</v>
      </c>
      <c r="G58" s="7">
        <v>2</v>
      </c>
      <c r="H58" s="9">
        <v>2</v>
      </c>
      <c r="I58" s="8">
        <f t="shared" si="3"/>
        <v>100</v>
      </c>
      <c r="J58" s="7">
        <v>8</v>
      </c>
      <c r="K58" s="9">
        <v>6</v>
      </c>
      <c r="L58" s="8">
        <f t="shared" si="4"/>
        <v>75</v>
      </c>
      <c r="M58" s="9">
        <v>5</v>
      </c>
      <c r="N58" s="9">
        <v>2</v>
      </c>
      <c r="O58" s="8">
        <f t="shared" si="5"/>
        <v>40</v>
      </c>
      <c r="P58" s="7">
        <v>4</v>
      </c>
      <c r="Q58" s="9">
        <v>3</v>
      </c>
      <c r="R58" s="26">
        <f t="shared" si="6"/>
        <v>75</v>
      </c>
      <c r="S58" s="18">
        <v>4</v>
      </c>
      <c r="T58" s="9">
        <v>4</v>
      </c>
      <c r="U58" s="26">
        <f t="shared" si="7"/>
        <v>100</v>
      </c>
      <c r="V58" s="9">
        <v>6</v>
      </c>
      <c r="W58" s="9">
        <v>4</v>
      </c>
      <c r="X58" s="8">
        <f t="shared" si="8"/>
        <v>66.666666666666657</v>
      </c>
      <c r="Y58" s="9">
        <v>3</v>
      </c>
      <c r="Z58" s="9">
        <v>3</v>
      </c>
      <c r="AA58" s="8">
        <f t="shared" si="9"/>
        <v>100</v>
      </c>
      <c r="AB58" s="40">
        <v>4</v>
      </c>
      <c r="AC58" s="42">
        <v>4</v>
      </c>
      <c r="AD58" s="41">
        <f t="shared" si="0"/>
        <v>100</v>
      </c>
      <c r="AE58" s="42">
        <v>4</v>
      </c>
      <c r="AF58" s="42">
        <v>3</v>
      </c>
      <c r="AG58" s="41">
        <f t="shared" si="1"/>
        <v>75</v>
      </c>
      <c r="AH58" s="9">
        <v>8</v>
      </c>
      <c r="AI58" s="9">
        <v>4</v>
      </c>
      <c r="AJ58" s="8">
        <f t="shared" si="10"/>
        <v>50</v>
      </c>
      <c r="AK58" s="9">
        <v>6</v>
      </c>
      <c r="AL58" s="9">
        <v>2</v>
      </c>
      <c r="AM58" s="8">
        <f t="shared" si="11"/>
        <v>33.333333333333329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10">
        <f t="shared" si="12"/>
        <v>34</v>
      </c>
      <c r="AU58" s="10">
        <f t="shared" si="12"/>
        <v>24</v>
      </c>
      <c r="AV58" s="26">
        <f t="shared" si="13"/>
        <v>70.588235294117652</v>
      </c>
      <c r="AW58" s="10">
        <f t="shared" si="14"/>
        <v>24</v>
      </c>
      <c r="AX58" s="10">
        <f t="shared" si="14"/>
        <v>16</v>
      </c>
      <c r="AY58" s="26">
        <f t="shared" si="15"/>
        <v>66.666666666666657</v>
      </c>
      <c r="AZ58" s="10">
        <f t="shared" si="16"/>
        <v>58</v>
      </c>
      <c r="BA58" s="10">
        <f t="shared" si="16"/>
        <v>40</v>
      </c>
      <c r="BB58" s="27">
        <f t="shared" si="17"/>
        <v>68.965517241379317</v>
      </c>
    </row>
    <row r="59" spans="1:54" s="11" customFormat="1">
      <c r="A59" s="12">
        <v>53</v>
      </c>
      <c r="B59" s="13">
        <v>1230321050</v>
      </c>
      <c r="C59" s="14" t="s">
        <v>75</v>
      </c>
      <c r="D59" s="7">
        <v>4</v>
      </c>
      <c r="E59" s="9">
        <v>3</v>
      </c>
      <c r="F59" s="8">
        <f t="shared" si="2"/>
        <v>75</v>
      </c>
      <c r="G59" s="7">
        <v>2</v>
      </c>
      <c r="H59" s="9">
        <v>2</v>
      </c>
      <c r="I59" s="8">
        <f t="shared" si="3"/>
        <v>100</v>
      </c>
      <c r="J59" s="7">
        <v>8</v>
      </c>
      <c r="K59" s="9">
        <v>5</v>
      </c>
      <c r="L59" s="8">
        <f t="shared" si="4"/>
        <v>62.5</v>
      </c>
      <c r="M59" s="9">
        <v>5</v>
      </c>
      <c r="N59" s="9">
        <v>1</v>
      </c>
      <c r="O59" s="8">
        <f t="shared" si="5"/>
        <v>20</v>
      </c>
      <c r="P59" s="7">
        <v>4</v>
      </c>
      <c r="Q59" s="9">
        <v>4</v>
      </c>
      <c r="R59" s="26">
        <f t="shared" si="6"/>
        <v>100</v>
      </c>
      <c r="S59" s="18">
        <v>4</v>
      </c>
      <c r="T59" s="9">
        <v>4</v>
      </c>
      <c r="U59" s="26">
        <f t="shared" si="7"/>
        <v>100</v>
      </c>
      <c r="V59" s="9">
        <v>6</v>
      </c>
      <c r="W59" s="9">
        <v>6</v>
      </c>
      <c r="X59" s="8">
        <f t="shared" si="8"/>
        <v>100</v>
      </c>
      <c r="Y59" s="9">
        <v>3</v>
      </c>
      <c r="Z59" s="9">
        <v>1</v>
      </c>
      <c r="AA59" s="8">
        <f t="shared" si="9"/>
        <v>33.333333333333329</v>
      </c>
      <c r="AB59" s="40">
        <v>4</v>
      </c>
      <c r="AC59" s="42">
        <v>4</v>
      </c>
      <c r="AD59" s="41">
        <f t="shared" si="0"/>
        <v>100</v>
      </c>
      <c r="AE59" s="42">
        <v>4</v>
      </c>
      <c r="AF59" s="42">
        <v>4</v>
      </c>
      <c r="AG59" s="41">
        <f t="shared" si="1"/>
        <v>100</v>
      </c>
      <c r="AH59" s="9">
        <v>8</v>
      </c>
      <c r="AI59" s="9">
        <v>4</v>
      </c>
      <c r="AJ59" s="8">
        <f t="shared" si="10"/>
        <v>50</v>
      </c>
      <c r="AK59" s="9">
        <v>6</v>
      </c>
      <c r="AL59" s="9">
        <v>4</v>
      </c>
      <c r="AM59" s="8">
        <f t="shared" si="11"/>
        <v>66.666666666666657</v>
      </c>
      <c r="AN59" s="9">
        <v>0</v>
      </c>
      <c r="AO59" s="9">
        <v>0</v>
      </c>
      <c r="AP59" s="9">
        <v>0</v>
      </c>
      <c r="AQ59" s="9">
        <v>0</v>
      </c>
      <c r="AR59" s="9">
        <v>0</v>
      </c>
      <c r="AS59" s="9">
        <v>0</v>
      </c>
      <c r="AT59" s="10">
        <f t="shared" si="12"/>
        <v>34</v>
      </c>
      <c r="AU59" s="10">
        <f t="shared" si="12"/>
        <v>26</v>
      </c>
      <c r="AV59" s="26">
        <f t="shared" si="13"/>
        <v>76.470588235294116</v>
      </c>
      <c r="AW59" s="10">
        <f t="shared" si="14"/>
        <v>24</v>
      </c>
      <c r="AX59" s="10">
        <f t="shared" si="14"/>
        <v>16</v>
      </c>
      <c r="AY59" s="26">
        <f t="shared" si="15"/>
        <v>66.666666666666657</v>
      </c>
      <c r="AZ59" s="10">
        <f t="shared" si="16"/>
        <v>58</v>
      </c>
      <c r="BA59" s="10">
        <f t="shared" si="16"/>
        <v>42</v>
      </c>
      <c r="BB59" s="27">
        <f t="shared" si="17"/>
        <v>72.41379310344827</v>
      </c>
    </row>
    <row r="60" spans="1:54" s="11" customFormat="1">
      <c r="A60" s="12">
        <v>54</v>
      </c>
      <c r="B60" s="13">
        <v>1230321052</v>
      </c>
      <c r="C60" s="14" t="s">
        <v>76</v>
      </c>
      <c r="D60" s="7">
        <v>4</v>
      </c>
      <c r="E60" s="9">
        <v>0</v>
      </c>
      <c r="F60" s="8">
        <f t="shared" si="2"/>
        <v>0</v>
      </c>
      <c r="G60" s="7">
        <v>2</v>
      </c>
      <c r="H60" s="9">
        <v>0</v>
      </c>
      <c r="I60" s="8">
        <f t="shared" si="3"/>
        <v>0</v>
      </c>
      <c r="J60" s="7">
        <v>8</v>
      </c>
      <c r="K60" s="9">
        <v>3</v>
      </c>
      <c r="L60" s="8">
        <f t="shared" si="4"/>
        <v>37.5</v>
      </c>
      <c r="M60" s="9">
        <v>5</v>
      </c>
      <c r="N60" s="9">
        <v>1</v>
      </c>
      <c r="O60" s="8">
        <f t="shared" si="5"/>
        <v>20</v>
      </c>
      <c r="P60" s="7">
        <v>4</v>
      </c>
      <c r="Q60" s="9">
        <v>3</v>
      </c>
      <c r="R60" s="26">
        <f t="shared" si="6"/>
        <v>75</v>
      </c>
      <c r="S60" s="18">
        <v>4</v>
      </c>
      <c r="T60" s="9">
        <v>3</v>
      </c>
      <c r="U60" s="26">
        <f t="shared" si="7"/>
        <v>75</v>
      </c>
      <c r="V60" s="9">
        <v>6</v>
      </c>
      <c r="W60" s="9">
        <v>3</v>
      </c>
      <c r="X60" s="8">
        <f t="shared" si="8"/>
        <v>50</v>
      </c>
      <c r="Y60" s="9">
        <v>3</v>
      </c>
      <c r="Z60" s="9">
        <v>0</v>
      </c>
      <c r="AA60" s="8">
        <f t="shared" si="9"/>
        <v>0</v>
      </c>
      <c r="AB60" s="40">
        <v>4</v>
      </c>
      <c r="AC60" s="42">
        <v>1</v>
      </c>
      <c r="AD60" s="41">
        <f t="shared" si="0"/>
        <v>25</v>
      </c>
      <c r="AE60" s="42">
        <v>4</v>
      </c>
      <c r="AF60" s="42">
        <v>2</v>
      </c>
      <c r="AG60" s="41">
        <f t="shared" si="1"/>
        <v>50</v>
      </c>
      <c r="AH60" s="9">
        <v>8</v>
      </c>
      <c r="AI60" s="9">
        <v>2</v>
      </c>
      <c r="AJ60" s="8">
        <f t="shared" si="10"/>
        <v>25</v>
      </c>
      <c r="AK60" s="9">
        <v>6</v>
      </c>
      <c r="AL60" s="9">
        <v>1</v>
      </c>
      <c r="AM60" s="8">
        <f t="shared" si="11"/>
        <v>16.666666666666664</v>
      </c>
      <c r="AN60" s="9">
        <v>0</v>
      </c>
      <c r="AO60" s="9">
        <v>0</v>
      </c>
      <c r="AP60" s="9">
        <v>0</v>
      </c>
      <c r="AQ60" s="9">
        <v>0</v>
      </c>
      <c r="AR60" s="9">
        <v>0</v>
      </c>
      <c r="AS60" s="9">
        <v>0</v>
      </c>
      <c r="AT60" s="10">
        <f t="shared" si="12"/>
        <v>34</v>
      </c>
      <c r="AU60" s="10">
        <f t="shared" si="12"/>
        <v>12</v>
      </c>
      <c r="AV60" s="26">
        <f t="shared" si="13"/>
        <v>35.294117647058826</v>
      </c>
      <c r="AW60" s="10">
        <f t="shared" si="14"/>
        <v>24</v>
      </c>
      <c r="AX60" s="10">
        <f t="shared" si="14"/>
        <v>7</v>
      </c>
      <c r="AY60" s="26">
        <f t="shared" si="15"/>
        <v>29.166666666666668</v>
      </c>
      <c r="AZ60" s="10">
        <f t="shared" si="16"/>
        <v>58</v>
      </c>
      <c r="BA60" s="10">
        <f t="shared" si="16"/>
        <v>19</v>
      </c>
      <c r="BB60" s="27">
        <f t="shared" si="17"/>
        <v>32.758620689655174</v>
      </c>
    </row>
    <row r="61" spans="1:54" s="11" customFormat="1">
      <c r="A61" s="12">
        <v>55</v>
      </c>
      <c r="B61" s="13">
        <v>1230321053</v>
      </c>
      <c r="C61" s="14" t="s">
        <v>77</v>
      </c>
      <c r="D61" s="7">
        <v>4</v>
      </c>
      <c r="E61" s="9">
        <v>2</v>
      </c>
      <c r="F61" s="8">
        <f t="shared" si="2"/>
        <v>50</v>
      </c>
      <c r="G61" s="7">
        <v>2</v>
      </c>
      <c r="H61" s="9">
        <v>1</v>
      </c>
      <c r="I61" s="8">
        <f t="shared" si="3"/>
        <v>50</v>
      </c>
      <c r="J61" s="7">
        <v>8</v>
      </c>
      <c r="K61" s="9">
        <v>8</v>
      </c>
      <c r="L61" s="8">
        <f t="shared" si="4"/>
        <v>100</v>
      </c>
      <c r="M61" s="9">
        <v>5</v>
      </c>
      <c r="N61" s="9">
        <v>3</v>
      </c>
      <c r="O61" s="8">
        <f t="shared" si="5"/>
        <v>60</v>
      </c>
      <c r="P61" s="7">
        <v>4</v>
      </c>
      <c r="Q61" s="9">
        <v>3</v>
      </c>
      <c r="R61" s="26">
        <f t="shared" si="6"/>
        <v>75</v>
      </c>
      <c r="S61" s="18">
        <v>4</v>
      </c>
      <c r="T61" s="9">
        <v>3</v>
      </c>
      <c r="U61" s="26">
        <f t="shared" si="7"/>
        <v>75</v>
      </c>
      <c r="V61" s="9">
        <v>6</v>
      </c>
      <c r="W61" s="9">
        <v>4</v>
      </c>
      <c r="X61" s="8">
        <f t="shared" si="8"/>
        <v>66.666666666666657</v>
      </c>
      <c r="Y61" s="9">
        <v>3</v>
      </c>
      <c r="Z61" s="9">
        <v>3</v>
      </c>
      <c r="AA61" s="8">
        <f t="shared" si="9"/>
        <v>100</v>
      </c>
      <c r="AB61" s="40">
        <v>4</v>
      </c>
      <c r="AC61" s="42">
        <v>3</v>
      </c>
      <c r="AD61" s="41">
        <f t="shared" si="0"/>
        <v>75</v>
      </c>
      <c r="AE61" s="42">
        <v>4</v>
      </c>
      <c r="AF61" s="42">
        <v>4</v>
      </c>
      <c r="AG61" s="41">
        <f t="shared" si="1"/>
        <v>100</v>
      </c>
      <c r="AH61" s="9">
        <v>8</v>
      </c>
      <c r="AI61" s="9">
        <v>4</v>
      </c>
      <c r="AJ61" s="8">
        <f t="shared" si="10"/>
        <v>50</v>
      </c>
      <c r="AK61" s="9">
        <v>6</v>
      </c>
      <c r="AL61" s="9">
        <v>2</v>
      </c>
      <c r="AM61" s="8">
        <f t="shared" si="11"/>
        <v>33.333333333333329</v>
      </c>
      <c r="AN61" s="9">
        <v>0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10">
        <f t="shared" si="12"/>
        <v>34</v>
      </c>
      <c r="AU61" s="10">
        <f t="shared" si="12"/>
        <v>24</v>
      </c>
      <c r="AV61" s="26">
        <f t="shared" si="13"/>
        <v>70.588235294117652</v>
      </c>
      <c r="AW61" s="10">
        <f t="shared" si="14"/>
        <v>24</v>
      </c>
      <c r="AX61" s="10">
        <f t="shared" si="14"/>
        <v>16</v>
      </c>
      <c r="AY61" s="26">
        <f t="shared" si="15"/>
        <v>66.666666666666657</v>
      </c>
      <c r="AZ61" s="10">
        <f t="shared" si="16"/>
        <v>58</v>
      </c>
      <c r="BA61" s="10">
        <f t="shared" si="16"/>
        <v>40</v>
      </c>
      <c r="BB61" s="27">
        <f t="shared" si="17"/>
        <v>68.965517241379317</v>
      </c>
    </row>
    <row r="62" spans="1:54" s="11" customFormat="1">
      <c r="A62" s="12">
        <v>56</v>
      </c>
      <c r="B62" s="13">
        <v>1230321054</v>
      </c>
      <c r="C62" s="14" t="s">
        <v>100</v>
      </c>
      <c r="D62" s="7">
        <v>4</v>
      </c>
      <c r="E62" s="9">
        <v>0</v>
      </c>
      <c r="F62" s="8">
        <f t="shared" si="2"/>
        <v>0</v>
      </c>
      <c r="G62" s="7">
        <v>2</v>
      </c>
      <c r="H62" s="9">
        <v>0</v>
      </c>
      <c r="I62" s="8">
        <f t="shared" si="3"/>
        <v>0</v>
      </c>
      <c r="J62" s="7">
        <v>8</v>
      </c>
      <c r="K62" s="9">
        <v>3</v>
      </c>
      <c r="L62" s="8">
        <f t="shared" si="4"/>
        <v>37.5</v>
      </c>
      <c r="M62" s="9">
        <v>5</v>
      </c>
      <c r="N62" s="9">
        <v>0</v>
      </c>
      <c r="O62" s="8">
        <f t="shared" si="5"/>
        <v>0</v>
      </c>
      <c r="P62" s="7">
        <v>4</v>
      </c>
      <c r="Q62" s="9">
        <v>0</v>
      </c>
      <c r="R62" s="26">
        <f t="shared" si="6"/>
        <v>0</v>
      </c>
      <c r="S62" s="18">
        <v>4</v>
      </c>
      <c r="T62" s="9">
        <v>0</v>
      </c>
      <c r="U62" s="26">
        <f t="shared" si="7"/>
        <v>0</v>
      </c>
      <c r="V62" s="9">
        <v>6</v>
      </c>
      <c r="W62" s="9">
        <v>1</v>
      </c>
      <c r="X62" s="8">
        <f t="shared" si="8"/>
        <v>16.666666666666664</v>
      </c>
      <c r="Y62" s="9">
        <v>3</v>
      </c>
      <c r="Z62" s="9">
        <v>0</v>
      </c>
      <c r="AA62" s="8">
        <f t="shared" si="9"/>
        <v>0</v>
      </c>
      <c r="AB62" s="40">
        <v>4</v>
      </c>
      <c r="AC62" s="42">
        <v>2</v>
      </c>
      <c r="AD62" s="41">
        <f t="shared" si="0"/>
        <v>50</v>
      </c>
      <c r="AE62" s="42">
        <v>4</v>
      </c>
      <c r="AF62" s="42">
        <v>0</v>
      </c>
      <c r="AG62" s="41">
        <f t="shared" si="1"/>
        <v>0</v>
      </c>
      <c r="AH62" s="9">
        <v>8</v>
      </c>
      <c r="AI62" s="9">
        <v>2</v>
      </c>
      <c r="AJ62" s="8">
        <f t="shared" si="10"/>
        <v>25</v>
      </c>
      <c r="AK62" s="9">
        <v>6</v>
      </c>
      <c r="AL62" s="9">
        <v>1</v>
      </c>
      <c r="AM62" s="8">
        <f t="shared" si="11"/>
        <v>16.666666666666664</v>
      </c>
      <c r="AN62" s="9">
        <v>0</v>
      </c>
      <c r="AO62" s="9">
        <v>0</v>
      </c>
      <c r="AP62" s="9">
        <v>0</v>
      </c>
      <c r="AQ62" s="9">
        <v>0</v>
      </c>
      <c r="AR62" s="9">
        <v>0</v>
      </c>
      <c r="AS62" s="9">
        <v>0</v>
      </c>
      <c r="AT62" s="10">
        <f t="shared" si="12"/>
        <v>34</v>
      </c>
      <c r="AU62" s="10">
        <f t="shared" si="12"/>
        <v>8</v>
      </c>
      <c r="AV62" s="26">
        <f t="shared" si="13"/>
        <v>23.52941176470588</v>
      </c>
      <c r="AW62" s="10">
        <f t="shared" si="14"/>
        <v>24</v>
      </c>
      <c r="AX62" s="10">
        <f t="shared" si="14"/>
        <v>1</v>
      </c>
      <c r="AY62" s="26">
        <f t="shared" si="15"/>
        <v>4.1666666666666661</v>
      </c>
      <c r="AZ62" s="10">
        <f t="shared" si="16"/>
        <v>58</v>
      </c>
      <c r="BA62" s="10">
        <f t="shared" si="16"/>
        <v>9</v>
      </c>
      <c r="BB62" s="27">
        <f t="shared" si="17"/>
        <v>15.517241379310345</v>
      </c>
    </row>
    <row r="63" spans="1:54">
      <c r="A63" s="12">
        <v>57</v>
      </c>
      <c r="B63" s="13">
        <v>1230321055</v>
      </c>
      <c r="C63" s="14" t="s">
        <v>78</v>
      </c>
      <c r="D63" s="7">
        <v>4</v>
      </c>
      <c r="E63" s="7">
        <v>0</v>
      </c>
      <c r="F63" s="8">
        <f t="shared" si="2"/>
        <v>0</v>
      </c>
      <c r="G63" s="7">
        <v>2</v>
      </c>
      <c r="H63" s="7">
        <v>0</v>
      </c>
      <c r="I63" s="8">
        <f t="shared" si="3"/>
        <v>0</v>
      </c>
      <c r="J63" s="7">
        <v>8</v>
      </c>
      <c r="K63" s="7">
        <v>8</v>
      </c>
      <c r="L63" s="8">
        <f t="shared" si="4"/>
        <v>100</v>
      </c>
      <c r="M63" s="9">
        <v>5</v>
      </c>
      <c r="N63" s="7">
        <v>3</v>
      </c>
      <c r="O63" s="8">
        <f t="shared" si="5"/>
        <v>60</v>
      </c>
      <c r="P63" s="7">
        <v>4</v>
      </c>
      <c r="Q63" s="7">
        <v>4</v>
      </c>
      <c r="R63" s="26">
        <f t="shared" si="6"/>
        <v>100</v>
      </c>
      <c r="S63" s="18">
        <v>4</v>
      </c>
      <c r="T63" s="7">
        <v>4</v>
      </c>
      <c r="U63" s="26">
        <f t="shared" si="7"/>
        <v>100</v>
      </c>
      <c r="V63" s="7">
        <v>6</v>
      </c>
      <c r="W63" s="7">
        <v>5</v>
      </c>
      <c r="X63" s="8">
        <f t="shared" si="8"/>
        <v>83.333333333333343</v>
      </c>
      <c r="Y63" s="9">
        <v>3</v>
      </c>
      <c r="Z63" s="7">
        <v>0</v>
      </c>
      <c r="AA63" s="8">
        <f t="shared" si="9"/>
        <v>0</v>
      </c>
      <c r="AB63" s="40">
        <v>4</v>
      </c>
      <c r="AC63" s="40">
        <v>2</v>
      </c>
      <c r="AD63" s="41">
        <f t="shared" si="0"/>
        <v>50</v>
      </c>
      <c r="AE63" s="42">
        <v>4</v>
      </c>
      <c r="AF63" s="40">
        <v>3</v>
      </c>
      <c r="AG63" s="41">
        <f t="shared" si="1"/>
        <v>75</v>
      </c>
      <c r="AH63" s="7">
        <v>8</v>
      </c>
      <c r="AI63" s="7">
        <v>6</v>
      </c>
      <c r="AJ63" s="8">
        <f t="shared" si="10"/>
        <v>75</v>
      </c>
      <c r="AK63" s="9">
        <v>6</v>
      </c>
      <c r="AL63" s="7">
        <v>5</v>
      </c>
      <c r="AM63" s="8">
        <f t="shared" si="11"/>
        <v>83.333333333333343</v>
      </c>
      <c r="AN63" s="9">
        <v>0</v>
      </c>
      <c r="AO63" s="9">
        <v>0</v>
      </c>
      <c r="AP63" s="9">
        <v>0</v>
      </c>
      <c r="AQ63" s="9">
        <v>0</v>
      </c>
      <c r="AR63" s="9">
        <v>0</v>
      </c>
      <c r="AS63" s="9">
        <v>0</v>
      </c>
      <c r="AT63" s="10">
        <f t="shared" si="12"/>
        <v>34</v>
      </c>
      <c r="AU63" s="10">
        <f t="shared" si="12"/>
        <v>25</v>
      </c>
      <c r="AV63" s="26">
        <f t="shared" si="13"/>
        <v>73.529411764705884</v>
      </c>
      <c r="AW63" s="10">
        <f t="shared" si="14"/>
        <v>24</v>
      </c>
      <c r="AX63" s="10">
        <f t="shared" si="14"/>
        <v>15</v>
      </c>
      <c r="AY63" s="26">
        <f t="shared" si="15"/>
        <v>62.5</v>
      </c>
      <c r="AZ63" s="10">
        <f t="shared" si="16"/>
        <v>58</v>
      </c>
      <c r="BA63" s="10">
        <f t="shared" si="16"/>
        <v>40</v>
      </c>
      <c r="BB63" s="27">
        <f t="shared" si="17"/>
        <v>68.965517241379317</v>
      </c>
    </row>
    <row r="64" spans="1:54">
      <c r="A64" s="12">
        <v>58</v>
      </c>
      <c r="B64" s="13">
        <v>1230321056</v>
      </c>
      <c r="C64" s="14" t="s">
        <v>79</v>
      </c>
      <c r="D64" s="7">
        <v>4</v>
      </c>
      <c r="E64" s="7">
        <v>3</v>
      </c>
      <c r="F64" s="8">
        <f t="shared" si="2"/>
        <v>75</v>
      </c>
      <c r="G64" s="7">
        <v>2</v>
      </c>
      <c r="H64" s="7">
        <v>1</v>
      </c>
      <c r="I64" s="8">
        <f t="shared" si="3"/>
        <v>50</v>
      </c>
      <c r="J64" s="7">
        <v>8</v>
      </c>
      <c r="K64" s="7">
        <v>5</v>
      </c>
      <c r="L64" s="8">
        <f t="shared" si="4"/>
        <v>62.5</v>
      </c>
      <c r="M64" s="9">
        <v>5</v>
      </c>
      <c r="N64" s="7">
        <v>2</v>
      </c>
      <c r="O64" s="8">
        <f t="shared" si="5"/>
        <v>40</v>
      </c>
      <c r="P64" s="7">
        <v>4</v>
      </c>
      <c r="Q64" s="7">
        <v>4</v>
      </c>
      <c r="R64" s="26">
        <f t="shared" si="6"/>
        <v>100</v>
      </c>
      <c r="S64" s="18">
        <v>4</v>
      </c>
      <c r="T64" s="7">
        <v>4</v>
      </c>
      <c r="U64" s="26">
        <f t="shared" si="7"/>
        <v>100</v>
      </c>
      <c r="V64" s="7">
        <v>6</v>
      </c>
      <c r="W64" s="7">
        <v>5</v>
      </c>
      <c r="X64" s="8">
        <f t="shared" si="8"/>
        <v>83.333333333333343</v>
      </c>
      <c r="Y64" s="9">
        <v>3</v>
      </c>
      <c r="Z64" s="7">
        <v>0</v>
      </c>
      <c r="AA64" s="8">
        <f t="shared" si="9"/>
        <v>0</v>
      </c>
      <c r="AB64" s="40">
        <v>4</v>
      </c>
      <c r="AC64" s="40">
        <v>4</v>
      </c>
      <c r="AD64" s="41">
        <f t="shared" si="0"/>
        <v>100</v>
      </c>
      <c r="AE64" s="42">
        <v>4</v>
      </c>
      <c r="AF64" s="40">
        <v>4</v>
      </c>
      <c r="AG64" s="41">
        <f t="shared" si="1"/>
        <v>100</v>
      </c>
      <c r="AH64" s="7">
        <v>8</v>
      </c>
      <c r="AI64" s="7">
        <v>5</v>
      </c>
      <c r="AJ64" s="8">
        <f t="shared" si="10"/>
        <v>62.5</v>
      </c>
      <c r="AK64" s="9">
        <v>6</v>
      </c>
      <c r="AL64" s="7">
        <v>4</v>
      </c>
      <c r="AM64" s="8">
        <f t="shared" si="11"/>
        <v>66.666666666666657</v>
      </c>
      <c r="AN64" s="9">
        <v>0</v>
      </c>
      <c r="AO64" s="9">
        <v>0</v>
      </c>
      <c r="AP64" s="9">
        <v>0</v>
      </c>
      <c r="AQ64" s="9">
        <v>0</v>
      </c>
      <c r="AR64" s="9">
        <v>0</v>
      </c>
      <c r="AS64" s="9">
        <v>0</v>
      </c>
      <c r="AT64" s="10">
        <f t="shared" si="12"/>
        <v>34</v>
      </c>
      <c r="AU64" s="10">
        <f t="shared" si="12"/>
        <v>26</v>
      </c>
      <c r="AV64" s="26">
        <f t="shared" si="13"/>
        <v>76.470588235294116</v>
      </c>
      <c r="AW64" s="10">
        <f t="shared" si="14"/>
        <v>24</v>
      </c>
      <c r="AX64" s="10">
        <f t="shared" si="14"/>
        <v>15</v>
      </c>
      <c r="AY64" s="26">
        <f t="shared" si="15"/>
        <v>62.5</v>
      </c>
      <c r="AZ64" s="10">
        <f t="shared" si="16"/>
        <v>58</v>
      </c>
      <c r="BA64" s="10">
        <f t="shared" si="16"/>
        <v>41</v>
      </c>
      <c r="BB64" s="27">
        <f t="shared" si="17"/>
        <v>70.689655172413794</v>
      </c>
    </row>
    <row r="65" spans="1:54">
      <c r="A65" s="12">
        <v>59</v>
      </c>
      <c r="B65" s="13">
        <v>1230321057</v>
      </c>
      <c r="C65" s="14" t="s">
        <v>80</v>
      </c>
      <c r="D65" s="7">
        <v>4</v>
      </c>
      <c r="E65" s="7">
        <v>0</v>
      </c>
      <c r="F65" s="8">
        <f t="shared" si="2"/>
        <v>0</v>
      </c>
      <c r="G65" s="7">
        <v>2</v>
      </c>
      <c r="H65" s="7">
        <v>0</v>
      </c>
      <c r="I65" s="8">
        <f t="shared" si="3"/>
        <v>0</v>
      </c>
      <c r="J65" s="7">
        <v>8</v>
      </c>
      <c r="K65" s="7">
        <v>6</v>
      </c>
      <c r="L65" s="8">
        <f t="shared" si="4"/>
        <v>75</v>
      </c>
      <c r="M65" s="9">
        <v>5</v>
      </c>
      <c r="N65" s="7">
        <v>3</v>
      </c>
      <c r="O65" s="8">
        <f t="shared" si="5"/>
        <v>60</v>
      </c>
      <c r="P65" s="7">
        <v>4</v>
      </c>
      <c r="Q65" s="7">
        <v>4</v>
      </c>
      <c r="R65" s="26">
        <f t="shared" si="6"/>
        <v>100</v>
      </c>
      <c r="S65" s="18">
        <v>4</v>
      </c>
      <c r="T65" s="7">
        <v>4</v>
      </c>
      <c r="U65" s="26">
        <f t="shared" si="7"/>
        <v>100</v>
      </c>
      <c r="V65" s="7">
        <v>6</v>
      </c>
      <c r="W65" s="7">
        <v>4</v>
      </c>
      <c r="X65" s="8">
        <f t="shared" si="8"/>
        <v>66.666666666666657</v>
      </c>
      <c r="Y65" s="9">
        <v>3</v>
      </c>
      <c r="Z65" s="7">
        <v>1</v>
      </c>
      <c r="AA65" s="8">
        <f t="shared" si="9"/>
        <v>33.333333333333329</v>
      </c>
      <c r="AB65" s="40">
        <v>4</v>
      </c>
      <c r="AC65" s="40">
        <v>4</v>
      </c>
      <c r="AD65" s="41">
        <f t="shared" si="0"/>
        <v>100</v>
      </c>
      <c r="AE65" s="42">
        <v>4</v>
      </c>
      <c r="AF65" s="40">
        <v>1</v>
      </c>
      <c r="AG65" s="41">
        <f t="shared" si="1"/>
        <v>25</v>
      </c>
      <c r="AH65" s="7">
        <v>8</v>
      </c>
      <c r="AI65" s="7">
        <v>6</v>
      </c>
      <c r="AJ65" s="8">
        <f t="shared" si="10"/>
        <v>75</v>
      </c>
      <c r="AK65" s="9">
        <v>6</v>
      </c>
      <c r="AL65" s="7">
        <v>2</v>
      </c>
      <c r="AM65" s="8">
        <f t="shared" si="11"/>
        <v>33.333333333333329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10">
        <f t="shared" si="12"/>
        <v>34</v>
      </c>
      <c r="AU65" s="10">
        <f t="shared" si="12"/>
        <v>24</v>
      </c>
      <c r="AV65" s="26">
        <f t="shared" si="13"/>
        <v>70.588235294117652</v>
      </c>
      <c r="AW65" s="10">
        <f t="shared" si="14"/>
        <v>24</v>
      </c>
      <c r="AX65" s="10">
        <f t="shared" si="14"/>
        <v>11</v>
      </c>
      <c r="AY65" s="26">
        <f t="shared" si="15"/>
        <v>45.833333333333329</v>
      </c>
      <c r="AZ65" s="10">
        <f t="shared" si="16"/>
        <v>58</v>
      </c>
      <c r="BA65" s="10">
        <f t="shared" si="16"/>
        <v>35</v>
      </c>
      <c r="BB65" s="27">
        <f t="shared" si="17"/>
        <v>60.344827586206897</v>
      </c>
    </row>
    <row r="66" spans="1:54">
      <c r="A66" s="12">
        <v>60</v>
      </c>
      <c r="B66" s="13">
        <v>1230321058</v>
      </c>
      <c r="C66" s="14" t="s">
        <v>81</v>
      </c>
      <c r="D66" s="7">
        <v>4</v>
      </c>
      <c r="E66" s="7">
        <v>0</v>
      </c>
      <c r="F66" s="8">
        <f t="shared" si="2"/>
        <v>0</v>
      </c>
      <c r="G66" s="7">
        <v>2</v>
      </c>
      <c r="H66" s="7">
        <v>0</v>
      </c>
      <c r="I66" s="8">
        <f t="shared" si="3"/>
        <v>0</v>
      </c>
      <c r="J66" s="7">
        <v>8</v>
      </c>
      <c r="K66" s="7">
        <v>7</v>
      </c>
      <c r="L66" s="8">
        <f t="shared" si="4"/>
        <v>87.5</v>
      </c>
      <c r="M66" s="9">
        <v>5</v>
      </c>
      <c r="N66" s="7">
        <v>2</v>
      </c>
      <c r="O66" s="8">
        <f t="shared" si="5"/>
        <v>40</v>
      </c>
      <c r="P66" s="7">
        <v>4</v>
      </c>
      <c r="Q66" s="7">
        <v>4</v>
      </c>
      <c r="R66" s="26">
        <f t="shared" si="6"/>
        <v>100</v>
      </c>
      <c r="S66" s="18">
        <v>4</v>
      </c>
      <c r="T66" s="7">
        <v>4</v>
      </c>
      <c r="U66" s="26">
        <f t="shared" si="7"/>
        <v>100</v>
      </c>
      <c r="V66" s="7">
        <v>6</v>
      </c>
      <c r="W66" s="7">
        <v>5</v>
      </c>
      <c r="X66" s="8">
        <f t="shared" si="8"/>
        <v>83.333333333333343</v>
      </c>
      <c r="Y66" s="9">
        <v>3</v>
      </c>
      <c r="Z66" s="7">
        <v>1</v>
      </c>
      <c r="AA66" s="8">
        <f t="shared" si="9"/>
        <v>33.333333333333329</v>
      </c>
      <c r="AB66" s="40">
        <v>4</v>
      </c>
      <c r="AC66" s="40">
        <v>3</v>
      </c>
      <c r="AD66" s="41">
        <f t="shared" si="0"/>
        <v>75</v>
      </c>
      <c r="AE66" s="42">
        <v>4</v>
      </c>
      <c r="AF66" s="40">
        <v>2</v>
      </c>
      <c r="AG66" s="41">
        <f t="shared" si="1"/>
        <v>50</v>
      </c>
      <c r="AH66" s="7">
        <v>8</v>
      </c>
      <c r="AI66" s="7">
        <v>6</v>
      </c>
      <c r="AJ66" s="8">
        <f t="shared" si="10"/>
        <v>75</v>
      </c>
      <c r="AK66" s="9">
        <v>6</v>
      </c>
      <c r="AL66" s="7">
        <v>3</v>
      </c>
      <c r="AM66" s="8">
        <f t="shared" si="11"/>
        <v>50</v>
      </c>
      <c r="AN66" s="9">
        <v>0</v>
      </c>
      <c r="AO66" s="9">
        <v>0</v>
      </c>
      <c r="AP66" s="9">
        <v>0</v>
      </c>
      <c r="AQ66" s="9">
        <v>0</v>
      </c>
      <c r="AR66" s="9">
        <v>0</v>
      </c>
      <c r="AS66" s="9">
        <v>0</v>
      </c>
      <c r="AT66" s="10">
        <f t="shared" si="12"/>
        <v>34</v>
      </c>
      <c r="AU66" s="10">
        <f t="shared" si="12"/>
        <v>25</v>
      </c>
      <c r="AV66" s="26">
        <f t="shared" si="13"/>
        <v>73.529411764705884</v>
      </c>
      <c r="AW66" s="10">
        <f t="shared" si="14"/>
        <v>24</v>
      </c>
      <c r="AX66" s="10">
        <f t="shared" si="14"/>
        <v>12</v>
      </c>
      <c r="AY66" s="26">
        <f t="shared" si="15"/>
        <v>50</v>
      </c>
      <c r="AZ66" s="10">
        <f t="shared" si="16"/>
        <v>58</v>
      </c>
      <c r="BA66" s="10">
        <f t="shared" si="16"/>
        <v>37</v>
      </c>
      <c r="BB66" s="27">
        <f t="shared" si="17"/>
        <v>63.793103448275865</v>
      </c>
    </row>
    <row r="67" spans="1:54">
      <c r="A67" s="12">
        <v>61</v>
      </c>
      <c r="B67" s="13">
        <v>1230321060</v>
      </c>
      <c r="C67" s="14" t="s">
        <v>82</v>
      </c>
      <c r="D67" s="7">
        <v>4</v>
      </c>
      <c r="E67" s="7">
        <v>2</v>
      </c>
      <c r="F67" s="8">
        <f t="shared" si="2"/>
        <v>50</v>
      </c>
      <c r="G67" s="7">
        <v>2</v>
      </c>
      <c r="H67" s="7">
        <v>1</v>
      </c>
      <c r="I67" s="8">
        <f t="shared" si="3"/>
        <v>50</v>
      </c>
      <c r="J67" s="7">
        <v>8</v>
      </c>
      <c r="K67" s="7">
        <v>1</v>
      </c>
      <c r="L67" s="8">
        <f t="shared" si="4"/>
        <v>12.5</v>
      </c>
      <c r="M67" s="9">
        <v>5</v>
      </c>
      <c r="N67" s="7">
        <v>0</v>
      </c>
      <c r="O67" s="8">
        <f t="shared" si="5"/>
        <v>0</v>
      </c>
      <c r="P67" s="7">
        <v>4</v>
      </c>
      <c r="Q67" s="7">
        <v>3</v>
      </c>
      <c r="R67" s="26">
        <f t="shared" si="6"/>
        <v>75</v>
      </c>
      <c r="S67" s="18">
        <v>4</v>
      </c>
      <c r="T67" s="7">
        <v>3</v>
      </c>
      <c r="U67" s="26">
        <f t="shared" si="7"/>
        <v>75</v>
      </c>
      <c r="V67" s="7">
        <v>6</v>
      </c>
      <c r="W67" s="7">
        <v>2</v>
      </c>
      <c r="X67" s="8">
        <f t="shared" si="8"/>
        <v>33.333333333333329</v>
      </c>
      <c r="Y67" s="9">
        <v>3</v>
      </c>
      <c r="Z67" s="7">
        <v>1</v>
      </c>
      <c r="AA67" s="8">
        <f t="shared" si="9"/>
        <v>33.333333333333329</v>
      </c>
      <c r="AB67" s="40">
        <v>4</v>
      </c>
      <c r="AC67" s="40">
        <v>1</v>
      </c>
      <c r="AD67" s="41">
        <f t="shared" si="0"/>
        <v>25</v>
      </c>
      <c r="AE67" s="42">
        <v>4</v>
      </c>
      <c r="AF67" s="40">
        <v>1</v>
      </c>
      <c r="AG67" s="41">
        <f t="shared" si="1"/>
        <v>25</v>
      </c>
      <c r="AH67" s="7">
        <v>8</v>
      </c>
      <c r="AI67" s="7">
        <v>3</v>
      </c>
      <c r="AJ67" s="8">
        <f t="shared" si="10"/>
        <v>37.5</v>
      </c>
      <c r="AK67" s="9">
        <v>6</v>
      </c>
      <c r="AL67" s="7">
        <v>1</v>
      </c>
      <c r="AM67" s="8">
        <f t="shared" si="11"/>
        <v>16.666666666666664</v>
      </c>
      <c r="AN67" s="9">
        <v>0</v>
      </c>
      <c r="AO67" s="9">
        <v>0</v>
      </c>
      <c r="AP67" s="9">
        <v>0</v>
      </c>
      <c r="AQ67" s="9">
        <v>0</v>
      </c>
      <c r="AR67" s="9">
        <v>0</v>
      </c>
      <c r="AS67" s="9">
        <v>0</v>
      </c>
      <c r="AT67" s="10">
        <f t="shared" si="12"/>
        <v>34</v>
      </c>
      <c r="AU67" s="10">
        <f t="shared" si="12"/>
        <v>12</v>
      </c>
      <c r="AV67" s="26">
        <f t="shared" si="13"/>
        <v>35.294117647058826</v>
      </c>
      <c r="AW67" s="10">
        <f t="shared" si="14"/>
        <v>24</v>
      </c>
      <c r="AX67" s="10">
        <f t="shared" si="14"/>
        <v>7</v>
      </c>
      <c r="AY67" s="26">
        <f t="shared" si="15"/>
        <v>29.166666666666668</v>
      </c>
      <c r="AZ67" s="10">
        <f t="shared" si="16"/>
        <v>58</v>
      </c>
      <c r="BA67" s="10">
        <f t="shared" si="16"/>
        <v>19</v>
      </c>
      <c r="BB67" s="27">
        <f t="shared" si="17"/>
        <v>32.758620689655174</v>
      </c>
    </row>
    <row r="68" spans="1:54">
      <c r="A68" s="12">
        <v>62</v>
      </c>
      <c r="B68" s="13">
        <v>1230321061</v>
      </c>
      <c r="C68" s="14" t="s">
        <v>101</v>
      </c>
      <c r="D68" s="7">
        <v>4</v>
      </c>
      <c r="E68" s="7">
        <v>1</v>
      </c>
      <c r="F68" s="8">
        <f t="shared" si="2"/>
        <v>25</v>
      </c>
      <c r="G68" s="7">
        <v>2</v>
      </c>
      <c r="H68" s="7">
        <v>0</v>
      </c>
      <c r="I68" s="8">
        <f t="shared" si="3"/>
        <v>0</v>
      </c>
      <c r="J68" s="7">
        <v>8</v>
      </c>
      <c r="K68" s="7">
        <v>0</v>
      </c>
      <c r="L68" s="8">
        <f t="shared" si="4"/>
        <v>0</v>
      </c>
      <c r="M68" s="9">
        <v>5</v>
      </c>
      <c r="N68" s="7">
        <v>0</v>
      </c>
      <c r="O68" s="8">
        <f t="shared" si="5"/>
        <v>0</v>
      </c>
      <c r="P68" s="7">
        <v>4</v>
      </c>
      <c r="Q68" s="7">
        <v>0</v>
      </c>
      <c r="R68" s="26">
        <f t="shared" si="6"/>
        <v>0</v>
      </c>
      <c r="S68" s="18">
        <v>4</v>
      </c>
      <c r="T68" s="7">
        <v>0</v>
      </c>
      <c r="U68" s="26">
        <f t="shared" si="7"/>
        <v>0</v>
      </c>
      <c r="V68" s="7">
        <v>6</v>
      </c>
      <c r="W68" s="7">
        <v>0</v>
      </c>
      <c r="X68" s="8">
        <f t="shared" si="8"/>
        <v>0</v>
      </c>
      <c r="Y68" s="9">
        <v>3</v>
      </c>
      <c r="Z68" s="7">
        <v>0</v>
      </c>
      <c r="AA68" s="8">
        <f t="shared" si="9"/>
        <v>0</v>
      </c>
      <c r="AB68" s="40">
        <v>4</v>
      </c>
      <c r="AC68" s="40">
        <v>0</v>
      </c>
      <c r="AD68" s="41">
        <f t="shared" si="0"/>
        <v>0</v>
      </c>
      <c r="AE68" s="42">
        <v>4</v>
      </c>
      <c r="AF68" s="40">
        <v>0</v>
      </c>
      <c r="AG68" s="41">
        <f t="shared" si="1"/>
        <v>0</v>
      </c>
      <c r="AH68" s="7">
        <v>8</v>
      </c>
      <c r="AI68" s="7">
        <v>0</v>
      </c>
      <c r="AJ68" s="8">
        <f t="shared" si="10"/>
        <v>0</v>
      </c>
      <c r="AK68" s="9">
        <v>6</v>
      </c>
      <c r="AL68" s="7">
        <v>0</v>
      </c>
      <c r="AM68" s="8">
        <f t="shared" si="11"/>
        <v>0</v>
      </c>
      <c r="AN68" s="9">
        <v>0</v>
      </c>
      <c r="AO68" s="9">
        <v>0</v>
      </c>
      <c r="AP68" s="9">
        <v>0</v>
      </c>
      <c r="AQ68" s="9">
        <v>0</v>
      </c>
      <c r="AR68" s="9">
        <v>0</v>
      </c>
      <c r="AS68" s="9">
        <v>0</v>
      </c>
      <c r="AT68" s="10">
        <f t="shared" si="12"/>
        <v>34</v>
      </c>
      <c r="AU68" s="10">
        <f t="shared" si="12"/>
        <v>1</v>
      </c>
      <c r="AV68" s="26">
        <f t="shared" si="13"/>
        <v>2.9411764705882351</v>
      </c>
      <c r="AW68" s="10">
        <f t="shared" si="14"/>
        <v>24</v>
      </c>
      <c r="AX68" s="10">
        <f t="shared" si="14"/>
        <v>0</v>
      </c>
      <c r="AY68" s="26">
        <f t="shared" si="15"/>
        <v>0</v>
      </c>
      <c r="AZ68" s="10">
        <f t="shared" si="16"/>
        <v>58</v>
      </c>
      <c r="BA68" s="10">
        <f t="shared" si="16"/>
        <v>1</v>
      </c>
      <c r="BB68" s="27">
        <f t="shared" si="17"/>
        <v>1.7241379310344827</v>
      </c>
    </row>
    <row r="69" spans="1:54">
      <c r="A69" s="12">
        <v>63</v>
      </c>
      <c r="B69" s="13">
        <v>1230321062</v>
      </c>
      <c r="C69" s="14" t="s">
        <v>83</v>
      </c>
      <c r="D69" s="7">
        <v>4</v>
      </c>
      <c r="E69" s="7">
        <v>3</v>
      </c>
      <c r="F69" s="8">
        <f t="shared" si="2"/>
        <v>75</v>
      </c>
      <c r="G69" s="7">
        <v>2</v>
      </c>
      <c r="H69" s="7">
        <v>2</v>
      </c>
      <c r="I69" s="8">
        <f t="shared" si="3"/>
        <v>100</v>
      </c>
      <c r="J69" s="7">
        <v>8</v>
      </c>
      <c r="K69" s="7">
        <v>4</v>
      </c>
      <c r="L69" s="8">
        <f t="shared" si="4"/>
        <v>50</v>
      </c>
      <c r="M69" s="9">
        <v>5</v>
      </c>
      <c r="N69" s="7">
        <v>1</v>
      </c>
      <c r="O69" s="8">
        <f t="shared" si="5"/>
        <v>20</v>
      </c>
      <c r="P69" s="7">
        <v>4</v>
      </c>
      <c r="Q69" s="7">
        <v>3</v>
      </c>
      <c r="R69" s="26">
        <f t="shared" si="6"/>
        <v>75</v>
      </c>
      <c r="S69" s="18">
        <v>4</v>
      </c>
      <c r="T69" s="7">
        <v>3</v>
      </c>
      <c r="U69" s="26">
        <f t="shared" si="7"/>
        <v>75</v>
      </c>
      <c r="V69" s="7">
        <v>6</v>
      </c>
      <c r="W69" s="7">
        <v>3</v>
      </c>
      <c r="X69" s="8">
        <f t="shared" si="8"/>
        <v>50</v>
      </c>
      <c r="Y69" s="9">
        <v>3</v>
      </c>
      <c r="Z69" s="7">
        <v>1</v>
      </c>
      <c r="AA69" s="8">
        <f t="shared" si="9"/>
        <v>33.333333333333329</v>
      </c>
      <c r="AB69" s="40">
        <v>4</v>
      </c>
      <c r="AC69" s="40">
        <v>3</v>
      </c>
      <c r="AD69" s="41">
        <f t="shared" si="0"/>
        <v>75</v>
      </c>
      <c r="AE69" s="42">
        <v>4</v>
      </c>
      <c r="AF69" s="40">
        <v>1</v>
      </c>
      <c r="AG69" s="41">
        <f t="shared" si="1"/>
        <v>25</v>
      </c>
      <c r="AH69" s="7">
        <v>8</v>
      </c>
      <c r="AI69" s="7">
        <v>3</v>
      </c>
      <c r="AJ69" s="8">
        <f t="shared" si="10"/>
        <v>37.5</v>
      </c>
      <c r="AK69" s="9">
        <v>6</v>
      </c>
      <c r="AL69" s="7">
        <v>1</v>
      </c>
      <c r="AM69" s="8">
        <f t="shared" si="11"/>
        <v>16.666666666666664</v>
      </c>
      <c r="AN69" s="9">
        <v>0</v>
      </c>
      <c r="AO69" s="9">
        <v>0</v>
      </c>
      <c r="AP69" s="9">
        <v>0</v>
      </c>
      <c r="AQ69" s="9">
        <v>0</v>
      </c>
      <c r="AR69" s="9">
        <v>0</v>
      </c>
      <c r="AS69" s="9">
        <v>0</v>
      </c>
      <c r="AT69" s="10">
        <f t="shared" si="12"/>
        <v>34</v>
      </c>
      <c r="AU69" s="10">
        <f t="shared" si="12"/>
        <v>19</v>
      </c>
      <c r="AV69" s="26">
        <f t="shared" si="13"/>
        <v>55.882352941176471</v>
      </c>
      <c r="AW69" s="10">
        <f t="shared" si="14"/>
        <v>24</v>
      </c>
      <c r="AX69" s="10">
        <f t="shared" si="14"/>
        <v>9</v>
      </c>
      <c r="AY69" s="26">
        <f t="shared" si="15"/>
        <v>37.5</v>
      </c>
      <c r="AZ69" s="10">
        <f t="shared" si="16"/>
        <v>58</v>
      </c>
      <c r="BA69" s="10">
        <f t="shared" si="16"/>
        <v>28</v>
      </c>
      <c r="BB69" s="27">
        <f t="shared" si="17"/>
        <v>48.275862068965516</v>
      </c>
    </row>
    <row r="70" spans="1:54">
      <c r="A70" s="12">
        <v>64</v>
      </c>
      <c r="B70" s="13">
        <v>1230321063</v>
      </c>
      <c r="C70" s="14" t="s">
        <v>84</v>
      </c>
      <c r="D70" s="7">
        <v>4</v>
      </c>
      <c r="E70" s="7">
        <v>3</v>
      </c>
      <c r="F70" s="8">
        <f t="shared" si="2"/>
        <v>75</v>
      </c>
      <c r="G70" s="7">
        <v>2</v>
      </c>
      <c r="H70" s="7">
        <v>2</v>
      </c>
      <c r="I70" s="8">
        <f t="shared" si="3"/>
        <v>100</v>
      </c>
      <c r="J70" s="7">
        <v>8</v>
      </c>
      <c r="K70" s="7">
        <v>4</v>
      </c>
      <c r="L70" s="8">
        <f t="shared" si="4"/>
        <v>50</v>
      </c>
      <c r="M70" s="9">
        <v>5</v>
      </c>
      <c r="N70" s="7">
        <v>0</v>
      </c>
      <c r="O70" s="8">
        <f t="shared" si="5"/>
        <v>0</v>
      </c>
      <c r="P70" s="7">
        <v>4</v>
      </c>
      <c r="Q70" s="7">
        <v>4</v>
      </c>
      <c r="R70" s="26">
        <f t="shared" si="6"/>
        <v>100</v>
      </c>
      <c r="S70" s="18">
        <v>4</v>
      </c>
      <c r="T70" s="7">
        <v>4</v>
      </c>
      <c r="U70" s="26">
        <f t="shared" si="7"/>
        <v>100</v>
      </c>
      <c r="V70" s="7">
        <v>6</v>
      </c>
      <c r="W70" s="7">
        <v>4</v>
      </c>
      <c r="X70" s="8">
        <f t="shared" si="8"/>
        <v>66.666666666666657</v>
      </c>
      <c r="Y70" s="9">
        <v>3</v>
      </c>
      <c r="Z70" s="7">
        <v>0</v>
      </c>
      <c r="AA70" s="8">
        <f t="shared" si="9"/>
        <v>0</v>
      </c>
      <c r="AB70" s="40">
        <v>4</v>
      </c>
      <c r="AC70" s="40">
        <v>4</v>
      </c>
      <c r="AD70" s="41">
        <f t="shared" si="0"/>
        <v>100</v>
      </c>
      <c r="AE70" s="42">
        <v>4</v>
      </c>
      <c r="AF70" s="40">
        <v>4</v>
      </c>
      <c r="AG70" s="41">
        <f t="shared" si="1"/>
        <v>100</v>
      </c>
      <c r="AH70" s="7">
        <v>8</v>
      </c>
      <c r="AI70" s="7">
        <v>5</v>
      </c>
      <c r="AJ70" s="8">
        <f t="shared" si="10"/>
        <v>62.5</v>
      </c>
      <c r="AK70" s="9">
        <v>6</v>
      </c>
      <c r="AL70" s="7">
        <v>4</v>
      </c>
      <c r="AM70" s="8">
        <f t="shared" si="11"/>
        <v>66.666666666666657</v>
      </c>
      <c r="AN70" s="9">
        <v>0</v>
      </c>
      <c r="AO70" s="9">
        <v>0</v>
      </c>
      <c r="AP70" s="9">
        <v>0</v>
      </c>
      <c r="AQ70" s="9">
        <v>0</v>
      </c>
      <c r="AR70" s="9">
        <v>0</v>
      </c>
      <c r="AS70" s="9">
        <v>0</v>
      </c>
      <c r="AT70" s="10">
        <f t="shared" si="12"/>
        <v>34</v>
      </c>
      <c r="AU70" s="10">
        <f t="shared" si="12"/>
        <v>24</v>
      </c>
      <c r="AV70" s="26">
        <f t="shared" si="13"/>
        <v>70.588235294117652</v>
      </c>
      <c r="AW70" s="10">
        <f t="shared" si="14"/>
        <v>24</v>
      </c>
      <c r="AX70" s="10">
        <f t="shared" si="14"/>
        <v>14</v>
      </c>
      <c r="AY70" s="26">
        <f t="shared" si="15"/>
        <v>58.333333333333336</v>
      </c>
      <c r="AZ70" s="10">
        <f t="shared" si="16"/>
        <v>58</v>
      </c>
      <c r="BA70" s="10">
        <f t="shared" si="16"/>
        <v>38</v>
      </c>
      <c r="BB70" s="27">
        <f t="shared" si="17"/>
        <v>65.517241379310349</v>
      </c>
    </row>
    <row r="71" spans="1:54">
      <c r="A71" s="12">
        <v>65</v>
      </c>
      <c r="B71" s="13">
        <v>1230321064</v>
      </c>
      <c r="C71" s="14" t="s">
        <v>102</v>
      </c>
      <c r="D71" s="7">
        <v>4</v>
      </c>
      <c r="E71" s="7">
        <v>2</v>
      </c>
      <c r="F71" s="8">
        <f t="shared" si="2"/>
        <v>50</v>
      </c>
      <c r="G71" s="7">
        <v>2</v>
      </c>
      <c r="H71" s="7">
        <v>2</v>
      </c>
      <c r="I71" s="8">
        <f t="shared" si="3"/>
        <v>100</v>
      </c>
      <c r="J71" s="7">
        <v>8</v>
      </c>
      <c r="K71" s="7">
        <v>4</v>
      </c>
      <c r="L71" s="8">
        <f t="shared" si="4"/>
        <v>50</v>
      </c>
      <c r="M71" s="9">
        <v>5</v>
      </c>
      <c r="N71" s="7">
        <v>3</v>
      </c>
      <c r="O71" s="8">
        <f t="shared" si="5"/>
        <v>60</v>
      </c>
      <c r="P71" s="7">
        <v>4</v>
      </c>
      <c r="Q71" s="7">
        <v>2</v>
      </c>
      <c r="R71" s="26">
        <f t="shared" si="6"/>
        <v>50</v>
      </c>
      <c r="S71" s="18">
        <v>4</v>
      </c>
      <c r="T71" s="7">
        <v>2</v>
      </c>
      <c r="U71" s="26">
        <f t="shared" si="7"/>
        <v>50</v>
      </c>
      <c r="V71" s="7">
        <v>6</v>
      </c>
      <c r="W71" s="7">
        <v>4</v>
      </c>
      <c r="X71" s="8">
        <f t="shared" si="8"/>
        <v>66.666666666666657</v>
      </c>
      <c r="Y71" s="9">
        <v>3</v>
      </c>
      <c r="Z71" s="7">
        <v>1</v>
      </c>
      <c r="AA71" s="8">
        <f t="shared" si="9"/>
        <v>33.333333333333329</v>
      </c>
      <c r="AB71" s="40">
        <v>4</v>
      </c>
      <c r="AC71" s="40">
        <v>4</v>
      </c>
      <c r="AD71" s="41">
        <f t="shared" ref="AD71:AD83" si="18">AC71/AB71*100</f>
        <v>100</v>
      </c>
      <c r="AE71" s="42">
        <v>4</v>
      </c>
      <c r="AF71" s="40">
        <v>2</v>
      </c>
      <c r="AG71" s="41">
        <f t="shared" ref="AG71:AG83" si="19">AF71/AE71*100</f>
        <v>50</v>
      </c>
      <c r="AH71" s="7">
        <v>8</v>
      </c>
      <c r="AI71" s="7">
        <v>5</v>
      </c>
      <c r="AJ71" s="8">
        <f t="shared" si="10"/>
        <v>62.5</v>
      </c>
      <c r="AK71" s="9">
        <v>6</v>
      </c>
      <c r="AL71" s="7">
        <v>4</v>
      </c>
      <c r="AM71" s="8">
        <f t="shared" si="11"/>
        <v>66.666666666666657</v>
      </c>
      <c r="AN71" s="9">
        <v>0</v>
      </c>
      <c r="AO71" s="9">
        <v>0</v>
      </c>
      <c r="AP71" s="9">
        <v>0</v>
      </c>
      <c r="AQ71" s="9">
        <v>0</v>
      </c>
      <c r="AR71" s="9">
        <v>0</v>
      </c>
      <c r="AS71" s="9">
        <v>0</v>
      </c>
      <c r="AT71" s="10">
        <f t="shared" si="12"/>
        <v>34</v>
      </c>
      <c r="AU71" s="10">
        <f t="shared" si="12"/>
        <v>21</v>
      </c>
      <c r="AV71" s="26">
        <f t="shared" si="13"/>
        <v>61.764705882352942</v>
      </c>
      <c r="AW71" s="10">
        <f t="shared" si="14"/>
        <v>24</v>
      </c>
      <c r="AX71" s="10">
        <f t="shared" si="14"/>
        <v>14</v>
      </c>
      <c r="AY71" s="26">
        <f t="shared" si="15"/>
        <v>58.333333333333336</v>
      </c>
      <c r="AZ71" s="10">
        <f t="shared" si="16"/>
        <v>58</v>
      </c>
      <c r="BA71" s="10">
        <f t="shared" si="16"/>
        <v>35</v>
      </c>
      <c r="BB71" s="27">
        <f t="shared" si="17"/>
        <v>60.344827586206897</v>
      </c>
    </row>
    <row r="72" spans="1:54">
      <c r="A72" s="12">
        <v>66</v>
      </c>
      <c r="B72" s="13">
        <v>1230321065</v>
      </c>
      <c r="C72" s="14" t="s">
        <v>85</v>
      </c>
      <c r="D72" s="7">
        <v>4</v>
      </c>
      <c r="E72" s="7">
        <v>2</v>
      </c>
      <c r="F72" s="8">
        <f t="shared" ref="F72:F83" si="20">E72/D72*100</f>
        <v>50</v>
      </c>
      <c r="G72" s="7">
        <v>2</v>
      </c>
      <c r="H72" s="7">
        <v>2</v>
      </c>
      <c r="I72" s="8">
        <f t="shared" ref="I72:I83" si="21">H72/G72*100</f>
        <v>100</v>
      </c>
      <c r="J72" s="7">
        <v>8</v>
      </c>
      <c r="K72" s="7">
        <v>0</v>
      </c>
      <c r="L72" s="8">
        <f t="shared" ref="L72:L83" si="22">K72/J72*100</f>
        <v>0</v>
      </c>
      <c r="M72" s="9">
        <v>5</v>
      </c>
      <c r="N72" s="7">
        <v>0</v>
      </c>
      <c r="O72" s="8">
        <f t="shared" ref="O72:O83" si="23">N72/M72*100</f>
        <v>0</v>
      </c>
      <c r="P72" s="7">
        <v>4</v>
      </c>
      <c r="Q72" s="7">
        <v>4</v>
      </c>
      <c r="R72" s="26">
        <f t="shared" ref="R72:R83" si="24">Q72/P72*100</f>
        <v>100</v>
      </c>
      <c r="S72" s="18">
        <v>4</v>
      </c>
      <c r="T72" s="7">
        <v>4</v>
      </c>
      <c r="U72" s="26">
        <f t="shared" ref="U72:U83" si="25">T72/S72*100</f>
        <v>100</v>
      </c>
      <c r="V72" s="7">
        <v>6</v>
      </c>
      <c r="W72" s="7">
        <v>4</v>
      </c>
      <c r="X72" s="8">
        <f t="shared" ref="X72:X83" si="26">W72/V72*100</f>
        <v>66.666666666666657</v>
      </c>
      <c r="Y72" s="9">
        <v>3</v>
      </c>
      <c r="Z72" s="7">
        <v>0</v>
      </c>
      <c r="AA72" s="8">
        <f t="shared" ref="AA72:AA83" si="27">Z72/Y72*100</f>
        <v>0</v>
      </c>
      <c r="AB72" s="40">
        <v>4</v>
      </c>
      <c r="AC72" s="40">
        <v>0</v>
      </c>
      <c r="AD72" s="41">
        <f t="shared" si="18"/>
        <v>0</v>
      </c>
      <c r="AE72" s="42">
        <v>4</v>
      </c>
      <c r="AF72" s="40">
        <v>0</v>
      </c>
      <c r="AG72" s="41">
        <f t="shared" si="19"/>
        <v>0</v>
      </c>
      <c r="AH72" s="7">
        <v>8</v>
      </c>
      <c r="AI72" s="7">
        <v>2</v>
      </c>
      <c r="AJ72" s="8">
        <f t="shared" ref="AJ72:AJ83" si="28">AI72/AH72*100</f>
        <v>25</v>
      </c>
      <c r="AK72" s="9">
        <v>6</v>
      </c>
      <c r="AL72" s="7">
        <v>1</v>
      </c>
      <c r="AM72" s="8">
        <f t="shared" ref="AM72:AM83" si="29">AL72/AK72*100</f>
        <v>16.666666666666664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0</v>
      </c>
      <c r="AT72" s="10">
        <f t="shared" ref="AT72:AU83" si="30">SUM(D72,J72,P72,V72,AB72,AH72,AN72)</f>
        <v>34</v>
      </c>
      <c r="AU72" s="10">
        <f t="shared" si="30"/>
        <v>12</v>
      </c>
      <c r="AV72" s="26">
        <f t="shared" ref="AV72:AV83" si="31">AU72/AT72*100</f>
        <v>35.294117647058826</v>
      </c>
      <c r="AW72" s="10">
        <f t="shared" ref="AW72:AX83" si="32">SUM(G72,M72,S72,Y72,AE72,AK72,AQ72)</f>
        <v>24</v>
      </c>
      <c r="AX72" s="10">
        <f t="shared" si="32"/>
        <v>7</v>
      </c>
      <c r="AY72" s="26">
        <f t="shared" ref="AY72:AY83" si="33">AX72/AW72*100</f>
        <v>29.166666666666668</v>
      </c>
      <c r="AZ72" s="10">
        <f t="shared" ref="AZ72:BA83" si="34">SUM(AT72,AW72)</f>
        <v>58</v>
      </c>
      <c r="BA72" s="10">
        <f t="shared" si="34"/>
        <v>19</v>
      </c>
      <c r="BB72" s="27">
        <f t="shared" ref="BB72:BB83" si="35">BA72/AZ72*100</f>
        <v>32.758620689655174</v>
      </c>
    </row>
    <row r="73" spans="1:54">
      <c r="A73" s="12">
        <v>67</v>
      </c>
      <c r="B73" s="13">
        <v>1230321066</v>
      </c>
      <c r="C73" s="14" t="s">
        <v>86</v>
      </c>
      <c r="D73" s="7">
        <v>4</v>
      </c>
      <c r="E73" s="7">
        <v>2</v>
      </c>
      <c r="F73" s="8">
        <f t="shared" si="20"/>
        <v>50</v>
      </c>
      <c r="G73" s="7">
        <v>2</v>
      </c>
      <c r="H73" s="7">
        <v>1</v>
      </c>
      <c r="I73" s="8">
        <f t="shared" si="21"/>
        <v>50</v>
      </c>
      <c r="J73" s="7">
        <v>8</v>
      </c>
      <c r="K73" s="7">
        <v>7</v>
      </c>
      <c r="L73" s="8">
        <f t="shared" si="22"/>
        <v>87.5</v>
      </c>
      <c r="M73" s="9">
        <v>5</v>
      </c>
      <c r="N73" s="7">
        <v>3</v>
      </c>
      <c r="O73" s="8">
        <f t="shared" si="23"/>
        <v>60</v>
      </c>
      <c r="P73" s="7">
        <v>4</v>
      </c>
      <c r="Q73" s="7">
        <v>3</v>
      </c>
      <c r="R73" s="26">
        <f t="shared" si="24"/>
        <v>75</v>
      </c>
      <c r="S73" s="18">
        <v>4</v>
      </c>
      <c r="T73" s="7">
        <v>3</v>
      </c>
      <c r="U73" s="26">
        <f t="shared" si="25"/>
        <v>75</v>
      </c>
      <c r="V73" s="7">
        <v>6</v>
      </c>
      <c r="W73" s="7">
        <v>6</v>
      </c>
      <c r="X73" s="8">
        <f t="shared" si="26"/>
        <v>100</v>
      </c>
      <c r="Y73" s="9">
        <v>3</v>
      </c>
      <c r="Z73" s="7">
        <v>1</v>
      </c>
      <c r="AA73" s="8">
        <f t="shared" si="27"/>
        <v>33.333333333333329</v>
      </c>
      <c r="AB73" s="40">
        <v>4</v>
      </c>
      <c r="AC73" s="40">
        <v>1</v>
      </c>
      <c r="AD73" s="41">
        <f t="shared" si="18"/>
        <v>25</v>
      </c>
      <c r="AE73" s="42">
        <v>4</v>
      </c>
      <c r="AF73" s="40">
        <v>1</v>
      </c>
      <c r="AG73" s="41">
        <f t="shared" si="19"/>
        <v>25</v>
      </c>
      <c r="AH73" s="7">
        <v>8</v>
      </c>
      <c r="AI73" s="7">
        <v>5</v>
      </c>
      <c r="AJ73" s="8">
        <f t="shared" si="28"/>
        <v>62.5</v>
      </c>
      <c r="AK73" s="9">
        <v>6</v>
      </c>
      <c r="AL73" s="7">
        <v>3</v>
      </c>
      <c r="AM73" s="8">
        <f t="shared" si="29"/>
        <v>50</v>
      </c>
      <c r="AN73" s="9">
        <v>0</v>
      </c>
      <c r="AO73" s="9">
        <v>0</v>
      </c>
      <c r="AP73" s="9">
        <v>0</v>
      </c>
      <c r="AQ73" s="9">
        <v>0</v>
      </c>
      <c r="AR73" s="9">
        <v>0</v>
      </c>
      <c r="AS73" s="9">
        <v>0</v>
      </c>
      <c r="AT73" s="10">
        <f t="shared" si="30"/>
        <v>34</v>
      </c>
      <c r="AU73" s="10">
        <f t="shared" si="30"/>
        <v>24</v>
      </c>
      <c r="AV73" s="26">
        <f t="shared" si="31"/>
        <v>70.588235294117652</v>
      </c>
      <c r="AW73" s="10">
        <f t="shared" si="32"/>
        <v>24</v>
      </c>
      <c r="AX73" s="10">
        <f t="shared" si="32"/>
        <v>12</v>
      </c>
      <c r="AY73" s="26">
        <f t="shared" si="33"/>
        <v>50</v>
      </c>
      <c r="AZ73" s="10">
        <f t="shared" si="34"/>
        <v>58</v>
      </c>
      <c r="BA73" s="10">
        <f t="shared" si="34"/>
        <v>36</v>
      </c>
      <c r="BB73" s="27">
        <f t="shared" si="35"/>
        <v>62.068965517241381</v>
      </c>
    </row>
    <row r="74" spans="1:54">
      <c r="A74" s="12">
        <v>68</v>
      </c>
      <c r="B74" s="13">
        <v>1230321067</v>
      </c>
      <c r="C74" s="14" t="s">
        <v>87</v>
      </c>
      <c r="D74" s="7">
        <v>4</v>
      </c>
      <c r="E74" s="7">
        <v>2</v>
      </c>
      <c r="F74" s="8">
        <f t="shared" si="20"/>
        <v>50</v>
      </c>
      <c r="G74" s="7">
        <v>2</v>
      </c>
      <c r="H74" s="7">
        <v>1</v>
      </c>
      <c r="I74" s="8">
        <f t="shared" si="21"/>
        <v>50</v>
      </c>
      <c r="J74" s="7">
        <v>8</v>
      </c>
      <c r="K74" s="7">
        <v>6</v>
      </c>
      <c r="L74" s="8">
        <f t="shared" si="22"/>
        <v>75</v>
      </c>
      <c r="M74" s="9">
        <v>5</v>
      </c>
      <c r="N74" s="7">
        <v>2</v>
      </c>
      <c r="O74" s="8">
        <f t="shared" si="23"/>
        <v>40</v>
      </c>
      <c r="P74" s="7">
        <v>4</v>
      </c>
      <c r="Q74" s="7">
        <v>4</v>
      </c>
      <c r="R74" s="26">
        <f t="shared" si="24"/>
        <v>100</v>
      </c>
      <c r="S74" s="18">
        <v>4</v>
      </c>
      <c r="T74" s="7">
        <v>4</v>
      </c>
      <c r="U74" s="26">
        <f t="shared" si="25"/>
        <v>100</v>
      </c>
      <c r="V74" s="7">
        <v>6</v>
      </c>
      <c r="W74" s="7">
        <v>6</v>
      </c>
      <c r="X74" s="8">
        <f t="shared" si="26"/>
        <v>100</v>
      </c>
      <c r="Y74" s="9">
        <v>3</v>
      </c>
      <c r="Z74" s="7">
        <v>1</v>
      </c>
      <c r="AA74" s="8">
        <f t="shared" si="27"/>
        <v>33.333333333333329</v>
      </c>
      <c r="AB74" s="40">
        <v>4</v>
      </c>
      <c r="AC74" s="40">
        <v>3</v>
      </c>
      <c r="AD74" s="41">
        <f t="shared" si="18"/>
        <v>75</v>
      </c>
      <c r="AE74" s="42">
        <v>4</v>
      </c>
      <c r="AF74" s="40">
        <v>4</v>
      </c>
      <c r="AG74" s="41">
        <f t="shared" si="19"/>
        <v>100</v>
      </c>
      <c r="AH74" s="7">
        <v>8</v>
      </c>
      <c r="AI74" s="7">
        <v>5</v>
      </c>
      <c r="AJ74" s="8">
        <f t="shared" si="28"/>
        <v>62.5</v>
      </c>
      <c r="AK74" s="9">
        <v>6</v>
      </c>
      <c r="AL74" s="7">
        <v>2</v>
      </c>
      <c r="AM74" s="8">
        <f t="shared" si="29"/>
        <v>33.333333333333329</v>
      </c>
      <c r="AN74" s="9">
        <v>0</v>
      </c>
      <c r="AO74" s="9">
        <v>0</v>
      </c>
      <c r="AP74" s="9">
        <v>0</v>
      </c>
      <c r="AQ74" s="9">
        <v>0</v>
      </c>
      <c r="AR74" s="9">
        <v>0</v>
      </c>
      <c r="AS74" s="9">
        <v>0</v>
      </c>
      <c r="AT74" s="10">
        <f t="shared" si="30"/>
        <v>34</v>
      </c>
      <c r="AU74" s="10">
        <f t="shared" si="30"/>
        <v>26</v>
      </c>
      <c r="AV74" s="26">
        <f t="shared" si="31"/>
        <v>76.470588235294116</v>
      </c>
      <c r="AW74" s="10">
        <f t="shared" si="32"/>
        <v>24</v>
      </c>
      <c r="AX74" s="10">
        <f t="shared" si="32"/>
        <v>14</v>
      </c>
      <c r="AY74" s="26">
        <f t="shared" si="33"/>
        <v>58.333333333333336</v>
      </c>
      <c r="AZ74" s="10">
        <f t="shared" si="34"/>
        <v>58</v>
      </c>
      <c r="BA74" s="10">
        <f t="shared" si="34"/>
        <v>40</v>
      </c>
      <c r="BB74" s="27">
        <f t="shared" si="35"/>
        <v>68.965517241379317</v>
      </c>
    </row>
    <row r="75" spans="1:54">
      <c r="A75" s="12">
        <v>69</v>
      </c>
      <c r="B75" s="13">
        <v>1230321068</v>
      </c>
      <c r="C75" s="14" t="s">
        <v>88</v>
      </c>
      <c r="D75" s="7">
        <v>4</v>
      </c>
      <c r="E75" s="7">
        <v>0</v>
      </c>
      <c r="F75" s="8">
        <f t="shared" si="20"/>
        <v>0</v>
      </c>
      <c r="G75" s="7">
        <v>2</v>
      </c>
      <c r="H75" s="7">
        <v>0</v>
      </c>
      <c r="I75" s="8">
        <f t="shared" si="21"/>
        <v>0</v>
      </c>
      <c r="J75" s="7">
        <v>8</v>
      </c>
      <c r="K75" s="7">
        <v>5</v>
      </c>
      <c r="L75" s="8">
        <f t="shared" si="22"/>
        <v>62.5</v>
      </c>
      <c r="M75" s="9">
        <v>5</v>
      </c>
      <c r="N75" s="7">
        <v>1</v>
      </c>
      <c r="O75" s="8">
        <f t="shared" si="23"/>
        <v>20</v>
      </c>
      <c r="P75" s="7">
        <v>4</v>
      </c>
      <c r="Q75" s="7">
        <v>3</v>
      </c>
      <c r="R75" s="26">
        <f t="shared" si="24"/>
        <v>75</v>
      </c>
      <c r="S75" s="18">
        <v>4</v>
      </c>
      <c r="T75" s="7">
        <v>3</v>
      </c>
      <c r="U75" s="26">
        <f t="shared" si="25"/>
        <v>75</v>
      </c>
      <c r="V75" s="7">
        <v>6</v>
      </c>
      <c r="W75" s="7">
        <v>6</v>
      </c>
      <c r="X75" s="8">
        <f t="shared" si="26"/>
        <v>100</v>
      </c>
      <c r="Y75" s="9">
        <v>3</v>
      </c>
      <c r="Z75" s="7">
        <v>1</v>
      </c>
      <c r="AA75" s="8">
        <f t="shared" si="27"/>
        <v>33.333333333333329</v>
      </c>
      <c r="AB75" s="40">
        <v>4</v>
      </c>
      <c r="AC75" s="40">
        <v>4</v>
      </c>
      <c r="AD75" s="41">
        <f t="shared" si="18"/>
        <v>100</v>
      </c>
      <c r="AE75" s="42">
        <v>4</v>
      </c>
      <c r="AF75" s="40">
        <v>3</v>
      </c>
      <c r="AG75" s="41">
        <f t="shared" si="19"/>
        <v>75</v>
      </c>
      <c r="AH75" s="7">
        <v>8</v>
      </c>
      <c r="AI75" s="7">
        <v>5</v>
      </c>
      <c r="AJ75" s="8">
        <f t="shared" si="28"/>
        <v>62.5</v>
      </c>
      <c r="AK75" s="9">
        <v>6</v>
      </c>
      <c r="AL75" s="7">
        <v>2</v>
      </c>
      <c r="AM75" s="8">
        <f t="shared" si="29"/>
        <v>33.333333333333329</v>
      </c>
      <c r="AN75" s="9">
        <v>0</v>
      </c>
      <c r="AO75" s="9">
        <v>0</v>
      </c>
      <c r="AP75" s="9">
        <v>0</v>
      </c>
      <c r="AQ75" s="9">
        <v>0</v>
      </c>
      <c r="AR75" s="9">
        <v>0</v>
      </c>
      <c r="AS75" s="9">
        <v>0</v>
      </c>
      <c r="AT75" s="10">
        <f t="shared" si="30"/>
        <v>34</v>
      </c>
      <c r="AU75" s="10">
        <f t="shared" si="30"/>
        <v>23</v>
      </c>
      <c r="AV75" s="26">
        <f t="shared" si="31"/>
        <v>67.64705882352942</v>
      </c>
      <c r="AW75" s="10">
        <f t="shared" si="32"/>
        <v>24</v>
      </c>
      <c r="AX75" s="10">
        <f t="shared" si="32"/>
        <v>10</v>
      </c>
      <c r="AY75" s="26">
        <f t="shared" si="33"/>
        <v>41.666666666666671</v>
      </c>
      <c r="AZ75" s="10">
        <f t="shared" si="34"/>
        <v>58</v>
      </c>
      <c r="BA75" s="10">
        <f t="shared" si="34"/>
        <v>33</v>
      </c>
      <c r="BB75" s="27">
        <f t="shared" si="35"/>
        <v>56.896551724137936</v>
      </c>
    </row>
    <row r="76" spans="1:54">
      <c r="A76" s="12">
        <v>70</v>
      </c>
      <c r="B76" s="13">
        <v>1230321069</v>
      </c>
      <c r="C76" s="14" t="s">
        <v>89</v>
      </c>
      <c r="D76" s="7">
        <v>4</v>
      </c>
      <c r="E76" s="7">
        <v>0</v>
      </c>
      <c r="F76" s="8">
        <f t="shared" si="20"/>
        <v>0</v>
      </c>
      <c r="G76" s="7">
        <v>2</v>
      </c>
      <c r="H76" s="7">
        <v>0</v>
      </c>
      <c r="I76" s="8">
        <f t="shared" si="21"/>
        <v>0</v>
      </c>
      <c r="J76" s="7">
        <v>8</v>
      </c>
      <c r="K76" s="7">
        <v>5</v>
      </c>
      <c r="L76" s="8">
        <f t="shared" si="22"/>
        <v>62.5</v>
      </c>
      <c r="M76" s="9">
        <v>5</v>
      </c>
      <c r="N76" s="7">
        <v>1</v>
      </c>
      <c r="O76" s="8">
        <f t="shared" si="23"/>
        <v>20</v>
      </c>
      <c r="P76" s="7">
        <v>4</v>
      </c>
      <c r="Q76" s="7">
        <v>3</v>
      </c>
      <c r="R76" s="26">
        <f t="shared" si="24"/>
        <v>75</v>
      </c>
      <c r="S76" s="18">
        <v>4</v>
      </c>
      <c r="T76" s="7">
        <v>3</v>
      </c>
      <c r="U76" s="26">
        <f t="shared" si="25"/>
        <v>75</v>
      </c>
      <c r="V76" s="7">
        <v>6</v>
      </c>
      <c r="W76" s="7">
        <v>5</v>
      </c>
      <c r="X76" s="8">
        <f t="shared" si="26"/>
        <v>83.333333333333343</v>
      </c>
      <c r="Y76" s="9">
        <v>3</v>
      </c>
      <c r="Z76" s="7">
        <v>1</v>
      </c>
      <c r="AA76" s="8">
        <f t="shared" si="27"/>
        <v>33.333333333333329</v>
      </c>
      <c r="AB76" s="40">
        <v>4</v>
      </c>
      <c r="AC76" s="40">
        <v>3</v>
      </c>
      <c r="AD76" s="41">
        <f t="shared" si="18"/>
        <v>75</v>
      </c>
      <c r="AE76" s="42">
        <v>4</v>
      </c>
      <c r="AF76" s="40">
        <v>2</v>
      </c>
      <c r="AG76" s="41">
        <f t="shared" si="19"/>
        <v>50</v>
      </c>
      <c r="AH76" s="7">
        <v>8</v>
      </c>
      <c r="AI76" s="7">
        <v>5</v>
      </c>
      <c r="AJ76" s="8">
        <f t="shared" si="28"/>
        <v>62.5</v>
      </c>
      <c r="AK76" s="9">
        <v>6</v>
      </c>
      <c r="AL76" s="7">
        <v>4</v>
      </c>
      <c r="AM76" s="8">
        <f t="shared" si="29"/>
        <v>66.666666666666657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10">
        <f t="shared" si="30"/>
        <v>34</v>
      </c>
      <c r="AU76" s="10">
        <f t="shared" si="30"/>
        <v>21</v>
      </c>
      <c r="AV76" s="26">
        <f t="shared" si="31"/>
        <v>61.764705882352942</v>
      </c>
      <c r="AW76" s="10">
        <f t="shared" si="32"/>
        <v>24</v>
      </c>
      <c r="AX76" s="10">
        <f t="shared" si="32"/>
        <v>11</v>
      </c>
      <c r="AY76" s="26">
        <f t="shared" si="33"/>
        <v>45.833333333333329</v>
      </c>
      <c r="AZ76" s="10">
        <f t="shared" si="34"/>
        <v>58</v>
      </c>
      <c r="BA76" s="10">
        <f t="shared" si="34"/>
        <v>32</v>
      </c>
      <c r="BB76" s="27">
        <f t="shared" si="35"/>
        <v>55.172413793103445</v>
      </c>
    </row>
    <row r="77" spans="1:54">
      <c r="A77" s="12">
        <v>71</v>
      </c>
      <c r="B77" s="13">
        <v>1230321070</v>
      </c>
      <c r="C77" s="14" t="s">
        <v>90</v>
      </c>
      <c r="D77" s="7">
        <v>4</v>
      </c>
      <c r="E77" s="7">
        <v>0</v>
      </c>
      <c r="F77" s="8">
        <f t="shared" si="20"/>
        <v>0</v>
      </c>
      <c r="G77" s="7">
        <v>2</v>
      </c>
      <c r="H77" s="7">
        <v>0</v>
      </c>
      <c r="I77" s="8">
        <f t="shared" si="21"/>
        <v>0</v>
      </c>
      <c r="J77" s="7">
        <v>8</v>
      </c>
      <c r="K77" s="7">
        <v>2</v>
      </c>
      <c r="L77" s="8">
        <f t="shared" si="22"/>
        <v>25</v>
      </c>
      <c r="M77" s="9">
        <v>5</v>
      </c>
      <c r="N77" s="7">
        <v>0</v>
      </c>
      <c r="O77" s="8">
        <f t="shared" si="23"/>
        <v>0</v>
      </c>
      <c r="P77" s="7">
        <v>4</v>
      </c>
      <c r="Q77" s="7">
        <v>2</v>
      </c>
      <c r="R77" s="26">
        <f t="shared" si="24"/>
        <v>50</v>
      </c>
      <c r="S77" s="18">
        <v>4</v>
      </c>
      <c r="T77" s="7">
        <v>2</v>
      </c>
      <c r="U77" s="26">
        <f t="shared" si="25"/>
        <v>50</v>
      </c>
      <c r="V77" s="7">
        <v>6</v>
      </c>
      <c r="W77" s="7">
        <v>0</v>
      </c>
      <c r="X77" s="8">
        <f t="shared" si="26"/>
        <v>0</v>
      </c>
      <c r="Y77" s="9">
        <v>3</v>
      </c>
      <c r="Z77" s="7">
        <v>0</v>
      </c>
      <c r="AA77" s="8">
        <f t="shared" si="27"/>
        <v>0</v>
      </c>
      <c r="AB77" s="40">
        <v>4</v>
      </c>
      <c r="AC77" s="40">
        <v>3</v>
      </c>
      <c r="AD77" s="41">
        <f t="shared" si="18"/>
        <v>75</v>
      </c>
      <c r="AE77" s="42">
        <v>4</v>
      </c>
      <c r="AF77" s="40">
        <v>0</v>
      </c>
      <c r="AG77" s="41">
        <f t="shared" si="19"/>
        <v>0</v>
      </c>
      <c r="AH77" s="7">
        <v>8</v>
      </c>
      <c r="AI77" s="7">
        <v>5</v>
      </c>
      <c r="AJ77" s="8">
        <f t="shared" si="28"/>
        <v>62.5</v>
      </c>
      <c r="AK77" s="9">
        <v>6</v>
      </c>
      <c r="AL77" s="7">
        <v>2</v>
      </c>
      <c r="AM77" s="8">
        <f t="shared" si="29"/>
        <v>33.333333333333329</v>
      </c>
      <c r="AN77" s="9">
        <v>0</v>
      </c>
      <c r="AO77" s="9">
        <v>0</v>
      </c>
      <c r="AP77" s="9">
        <v>0</v>
      </c>
      <c r="AQ77" s="9">
        <v>0</v>
      </c>
      <c r="AR77" s="9">
        <v>0</v>
      </c>
      <c r="AS77" s="9">
        <v>0</v>
      </c>
      <c r="AT77" s="10">
        <f t="shared" si="30"/>
        <v>34</v>
      </c>
      <c r="AU77" s="10">
        <f t="shared" si="30"/>
        <v>12</v>
      </c>
      <c r="AV77" s="26">
        <f t="shared" si="31"/>
        <v>35.294117647058826</v>
      </c>
      <c r="AW77" s="10">
        <f t="shared" si="32"/>
        <v>24</v>
      </c>
      <c r="AX77" s="10">
        <f t="shared" si="32"/>
        <v>4</v>
      </c>
      <c r="AY77" s="26">
        <f t="shared" si="33"/>
        <v>16.666666666666664</v>
      </c>
      <c r="AZ77" s="10">
        <f t="shared" si="34"/>
        <v>58</v>
      </c>
      <c r="BA77" s="10">
        <f t="shared" si="34"/>
        <v>16</v>
      </c>
      <c r="BB77" s="27">
        <f t="shared" si="35"/>
        <v>27.586206896551722</v>
      </c>
    </row>
    <row r="78" spans="1:54">
      <c r="A78" s="12">
        <v>72</v>
      </c>
      <c r="B78" s="13">
        <v>1230321071</v>
      </c>
      <c r="C78" s="14" t="s">
        <v>91</v>
      </c>
      <c r="D78" s="7">
        <v>4</v>
      </c>
      <c r="E78" s="7">
        <v>0</v>
      </c>
      <c r="F78" s="8">
        <f t="shared" si="20"/>
        <v>0</v>
      </c>
      <c r="G78" s="7">
        <v>2</v>
      </c>
      <c r="H78" s="7">
        <v>0</v>
      </c>
      <c r="I78" s="8">
        <f t="shared" si="21"/>
        <v>0</v>
      </c>
      <c r="J78" s="7">
        <v>8</v>
      </c>
      <c r="K78" s="7">
        <v>5</v>
      </c>
      <c r="L78" s="8">
        <f t="shared" si="22"/>
        <v>62.5</v>
      </c>
      <c r="M78" s="9">
        <v>5</v>
      </c>
      <c r="N78" s="7">
        <v>1</v>
      </c>
      <c r="O78" s="8">
        <f t="shared" si="23"/>
        <v>20</v>
      </c>
      <c r="P78" s="7">
        <v>4</v>
      </c>
      <c r="Q78" s="7">
        <v>3</v>
      </c>
      <c r="R78" s="26">
        <f t="shared" si="24"/>
        <v>75</v>
      </c>
      <c r="S78" s="18">
        <v>4</v>
      </c>
      <c r="T78" s="7">
        <v>3</v>
      </c>
      <c r="U78" s="26">
        <f t="shared" si="25"/>
        <v>75</v>
      </c>
      <c r="V78" s="7">
        <v>6</v>
      </c>
      <c r="W78" s="7">
        <v>5</v>
      </c>
      <c r="X78" s="8">
        <f t="shared" si="26"/>
        <v>83.333333333333343</v>
      </c>
      <c r="Y78" s="9">
        <v>3</v>
      </c>
      <c r="Z78" s="7">
        <v>1</v>
      </c>
      <c r="AA78" s="8">
        <f t="shared" si="27"/>
        <v>33.333333333333329</v>
      </c>
      <c r="AB78" s="40">
        <v>4</v>
      </c>
      <c r="AC78" s="40">
        <v>3</v>
      </c>
      <c r="AD78" s="41">
        <f t="shared" si="18"/>
        <v>75</v>
      </c>
      <c r="AE78" s="42">
        <v>4</v>
      </c>
      <c r="AF78" s="40">
        <v>2</v>
      </c>
      <c r="AG78" s="41">
        <f t="shared" si="19"/>
        <v>50</v>
      </c>
      <c r="AH78" s="7">
        <v>8</v>
      </c>
      <c r="AI78" s="7">
        <v>5</v>
      </c>
      <c r="AJ78" s="8">
        <f t="shared" si="28"/>
        <v>62.5</v>
      </c>
      <c r="AK78" s="9">
        <v>6</v>
      </c>
      <c r="AL78" s="7">
        <v>4</v>
      </c>
      <c r="AM78" s="8">
        <f t="shared" si="29"/>
        <v>66.666666666666657</v>
      </c>
      <c r="AN78" s="9">
        <v>0</v>
      </c>
      <c r="AO78" s="9">
        <v>0</v>
      </c>
      <c r="AP78" s="9">
        <v>0</v>
      </c>
      <c r="AQ78" s="9">
        <v>0</v>
      </c>
      <c r="AR78" s="9">
        <v>0</v>
      </c>
      <c r="AS78" s="9">
        <v>0</v>
      </c>
      <c r="AT78" s="10">
        <f t="shared" si="30"/>
        <v>34</v>
      </c>
      <c r="AU78" s="10">
        <f t="shared" si="30"/>
        <v>21</v>
      </c>
      <c r="AV78" s="26">
        <f t="shared" si="31"/>
        <v>61.764705882352942</v>
      </c>
      <c r="AW78" s="10">
        <f t="shared" si="32"/>
        <v>24</v>
      </c>
      <c r="AX78" s="10">
        <f t="shared" si="32"/>
        <v>11</v>
      </c>
      <c r="AY78" s="26">
        <f t="shared" si="33"/>
        <v>45.833333333333329</v>
      </c>
      <c r="AZ78" s="10">
        <f t="shared" si="34"/>
        <v>58</v>
      </c>
      <c r="BA78" s="10">
        <f t="shared" si="34"/>
        <v>32</v>
      </c>
      <c r="BB78" s="27">
        <f t="shared" si="35"/>
        <v>55.172413793103445</v>
      </c>
    </row>
    <row r="79" spans="1:54">
      <c r="A79" s="12">
        <v>73</v>
      </c>
      <c r="B79" s="13">
        <v>1230321072</v>
      </c>
      <c r="C79" s="14" t="s">
        <v>92</v>
      </c>
      <c r="D79" s="7">
        <v>4</v>
      </c>
      <c r="E79" s="7">
        <v>0</v>
      </c>
      <c r="F79" s="8">
        <f t="shared" si="20"/>
        <v>0</v>
      </c>
      <c r="G79" s="7">
        <v>2</v>
      </c>
      <c r="H79" s="7">
        <v>0</v>
      </c>
      <c r="I79" s="8">
        <f t="shared" si="21"/>
        <v>0</v>
      </c>
      <c r="J79" s="7">
        <v>8</v>
      </c>
      <c r="K79" s="7">
        <v>2</v>
      </c>
      <c r="L79" s="8">
        <f t="shared" si="22"/>
        <v>25</v>
      </c>
      <c r="M79" s="9">
        <v>5</v>
      </c>
      <c r="N79" s="7">
        <v>0</v>
      </c>
      <c r="O79" s="8">
        <f t="shared" si="23"/>
        <v>0</v>
      </c>
      <c r="P79" s="7">
        <v>4</v>
      </c>
      <c r="Q79" s="7">
        <v>3</v>
      </c>
      <c r="R79" s="26">
        <f t="shared" si="24"/>
        <v>75</v>
      </c>
      <c r="S79" s="18">
        <v>4</v>
      </c>
      <c r="T79" s="7">
        <v>3</v>
      </c>
      <c r="U79" s="26">
        <f t="shared" si="25"/>
        <v>75</v>
      </c>
      <c r="V79" s="7">
        <v>6</v>
      </c>
      <c r="W79" s="7">
        <v>2</v>
      </c>
      <c r="X79" s="8">
        <f t="shared" si="26"/>
        <v>33.333333333333329</v>
      </c>
      <c r="Y79" s="9">
        <v>3</v>
      </c>
      <c r="Z79" s="7">
        <v>0</v>
      </c>
      <c r="AA79" s="8">
        <f t="shared" si="27"/>
        <v>0</v>
      </c>
      <c r="AB79" s="40">
        <v>4</v>
      </c>
      <c r="AC79" s="40">
        <v>0</v>
      </c>
      <c r="AD79" s="41">
        <f t="shared" si="18"/>
        <v>0</v>
      </c>
      <c r="AE79" s="42">
        <v>4</v>
      </c>
      <c r="AF79" s="40">
        <v>1</v>
      </c>
      <c r="AG79" s="41">
        <f t="shared" si="19"/>
        <v>25</v>
      </c>
      <c r="AH79" s="7">
        <v>8</v>
      </c>
      <c r="AI79" s="7">
        <v>5</v>
      </c>
      <c r="AJ79" s="8">
        <f t="shared" si="28"/>
        <v>62.5</v>
      </c>
      <c r="AK79" s="9">
        <v>6</v>
      </c>
      <c r="AL79" s="7">
        <v>2</v>
      </c>
      <c r="AM79" s="8">
        <f t="shared" si="29"/>
        <v>33.333333333333329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10">
        <f t="shared" si="30"/>
        <v>34</v>
      </c>
      <c r="AU79" s="10">
        <f t="shared" si="30"/>
        <v>12</v>
      </c>
      <c r="AV79" s="26">
        <f t="shared" si="31"/>
        <v>35.294117647058826</v>
      </c>
      <c r="AW79" s="10">
        <f t="shared" si="32"/>
        <v>24</v>
      </c>
      <c r="AX79" s="10">
        <f t="shared" si="32"/>
        <v>6</v>
      </c>
      <c r="AY79" s="26">
        <f t="shared" si="33"/>
        <v>25</v>
      </c>
      <c r="AZ79" s="10">
        <f t="shared" si="34"/>
        <v>58</v>
      </c>
      <c r="BA79" s="10">
        <f t="shared" si="34"/>
        <v>18</v>
      </c>
      <c r="BB79" s="27">
        <f t="shared" si="35"/>
        <v>31.03448275862069</v>
      </c>
    </row>
    <row r="80" spans="1:54">
      <c r="A80" s="12">
        <v>74</v>
      </c>
      <c r="B80" s="13">
        <v>1230321073</v>
      </c>
      <c r="C80" s="14" t="s">
        <v>93</v>
      </c>
      <c r="D80" s="7">
        <v>4</v>
      </c>
      <c r="E80" s="7">
        <v>0</v>
      </c>
      <c r="F80" s="8">
        <f t="shared" si="20"/>
        <v>0</v>
      </c>
      <c r="G80" s="7">
        <v>2</v>
      </c>
      <c r="H80" s="7">
        <v>0</v>
      </c>
      <c r="I80" s="8">
        <f t="shared" si="21"/>
        <v>0</v>
      </c>
      <c r="J80" s="7">
        <v>8</v>
      </c>
      <c r="K80" s="7">
        <v>5</v>
      </c>
      <c r="L80" s="8">
        <f t="shared" si="22"/>
        <v>62.5</v>
      </c>
      <c r="M80" s="9">
        <v>5</v>
      </c>
      <c r="N80" s="7">
        <v>1</v>
      </c>
      <c r="O80" s="8">
        <f t="shared" si="23"/>
        <v>20</v>
      </c>
      <c r="P80" s="7">
        <v>4</v>
      </c>
      <c r="Q80" s="7">
        <v>3</v>
      </c>
      <c r="R80" s="26">
        <f t="shared" si="24"/>
        <v>75</v>
      </c>
      <c r="S80" s="18">
        <v>4</v>
      </c>
      <c r="T80" s="7">
        <v>4</v>
      </c>
      <c r="U80" s="26">
        <f t="shared" si="25"/>
        <v>100</v>
      </c>
      <c r="V80" s="7">
        <v>6</v>
      </c>
      <c r="W80" s="7">
        <v>2</v>
      </c>
      <c r="X80" s="8">
        <f t="shared" si="26"/>
        <v>33.333333333333329</v>
      </c>
      <c r="Y80" s="9">
        <v>3</v>
      </c>
      <c r="Z80" s="7">
        <v>1</v>
      </c>
      <c r="AA80" s="8">
        <f t="shared" si="27"/>
        <v>33.333333333333329</v>
      </c>
      <c r="AB80" s="40">
        <v>4</v>
      </c>
      <c r="AC80" s="40">
        <v>4</v>
      </c>
      <c r="AD80" s="41">
        <f t="shared" si="18"/>
        <v>100</v>
      </c>
      <c r="AE80" s="42">
        <v>4</v>
      </c>
      <c r="AF80" s="40">
        <v>4</v>
      </c>
      <c r="AG80" s="41">
        <f t="shared" si="19"/>
        <v>100</v>
      </c>
      <c r="AH80" s="7">
        <v>8</v>
      </c>
      <c r="AI80" s="7">
        <v>3</v>
      </c>
      <c r="AJ80" s="8">
        <f t="shared" si="28"/>
        <v>37.5</v>
      </c>
      <c r="AK80" s="9">
        <v>6</v>
      </c>
      <c r="AL80" s="7">
        <v>0</v>
      </c>
      <c r="AM80" s="8">
        <f t="shared" si="29"/>
        <v>0</v>
      </c>
      <c r="AN80" s="9">
        <v>0</v>
      </c>
      <c r="AO80" s="9">
        <v>0</v>
      </c>
      <c r="AP80" s="9">
        <v>0</v>
      </c>
      <c r="AQ80" s="9">
        <v>0</v>
      </c>
      <c r="AR80" s="9">
        <v>0</v>
      </c>
      <c r="AS80" s="9">
        <v>0</v>
      </c>
      <c r="AT80" s="10">
        <f t="shared" si="30"/>
        <v>34</v>
      </c>
      <c r="AU80" s="10">
        <f t="shared" si="30"/>
        <v>17</v>
      </c>
      <c r="AV80" s="26">
        <f t="shared" si="31"/>
        <v>50</v>
      </c>
      <c r="AW80" s="10">
        <f t="shared" si="32"/>
        <v>24</v>
      </c>
      <c r="AX80" s="10">
        <f t="shared" si="32"/>
        <v>10</v>
      </c>
      <c r="AY80" s="26">
        <f t="shared" si="33"/>
        <v>41.666666666666671</v>
      </c>
      <c r="AZ80" s="10">
        <f t="shared" si="34"/>
        <v>58</v>
      </c>
      <c r="BA80" s="10">
        <f t="shared" si="34"/>
        <v>27</v>
      </c>
      <c r="BB80" s="27">
        <f t="shared" si="35"/>
        <v>46.551724137931032</v>
      </c>
    </row>
    <row r="81" spans="1:54">
      <c r="A81" s="12">
        <v>75</v>
      </c>
      <c r="B81" s="13">
        <v>1230321074</v>
      </c>
      <c r="C81" s="14" t="s">
        <v>94</v>
      </c>
      <c r="D81" s="7">
        <v>4</v>
      </c>
      <c r="E81" s="7">
        <v>0</v>
      </c>
      <c r="F81" s="8">
        <f t="shared" si="20"/>
        <v>0</v>
      </c>
      <c r="G81" s="7">
        <v>2</v>
      </c>
      <c r="H81" s="7">
        <v>0</v>
      </c>
      <c r="I81" s="8">
        <f t="shared" si="21"/>
        <v>0</v>
      </c>
      <c r="J81" s="7">
        <v>8</v>
      </c>
      <c r="K81" s="7">
        <v>3</v>
      </c>
      <c r="L81" s="8">
        <f t="shared" si="22"/>
        <v>37.5</v>
      </c>
      <c r="M81" s="9">
        <v>5</v>
      </c>
      <c r="N81" s="7">
        <v>1</v>
      </c>
      <c r="O81" s="8">
        <f t="shared" si="23"/>
        <v>20</v>
      </c>
      <c r="P81" s="7">
        <v>4</v>
      </c>
      <c r="Q81" s="7">
        <v>3</v>
      </c>
      <c r="R81" s="26">
        <f t="shared" si="24"/>
        <v>75</v>
      </c>
      <c r="S81" s="18">
        <v>4</v>
      </c>
      <c r="T81" s="7">
        <v>3</v>
      </c>
      <c r="U81" s="26">
        <f t="shared" si="25"/>
        <v>75</v>
      </c>
      <c r="V81" s="7">
        <v>6</v>
      </c>
      <c r="W81" s="7">
        <v>0</v>
      </c>
      <c r="X81" s="8">
        <f t="shared" si="26"/>
        <v>0</v>
      </c>
      <c r="Y81" s="9">
        <v>3</v>
      </c>
      <c r="Z81" s="7">
        <v>0</v>
      </c>
      <c r="AA81" s="8">
        <f t="shared" si="27"/>
        <v>0</v>
      </c>
      <c r="AB81" s="40">
        <v>4</v>
      </c>
      <c r="AC81" s="40">
        <v>0</v>
      </c>
      <c r="AD81" s="41">
        <f t="shared" si="18"/>
        <v>0</v>
      </c>
      <c r="AE81" s="42">
        <v>4</v>
      </c>
      <c r="AF81" s="40">
        <v>1</v>
      </c>
      <c r="AG81" s="41">
        <f t="shared" si="19"/>
        <v>25</v>
      </c>
      <c r="AH81" s="7">
        <v>8</v>
      </c>
      <c r="AI81" s="7">
        <v>3</v>
      </c>
      <c r="AJ81" s="8">
        <f t="shared" si="28"/>
        <v>37.5</v>
      </c>
      <c r="AK81" s="9">
        <v>6</v>
      </c>
      <c r="AL81" s="7">
        <v>2</v>
      </c>
      <c r="AM81" s="8">
        <f t="shared" si="29"/>
        <v>33.333333333333329</v>
      </c>
      <c r="AN81" s="9">
        <v>0</v>
      </c>
      <c r="AO81" s="9">
        <v>0</v>
      </c>
      <c r="AP81" s="9">
        <v>0</v>
      </c>
      <c r="AQ81" s="9">
        <v>0</v>
      </c>
      <c r="AR81" s="9">
        <v>0</v>
      </c>
      <c r="AS81" s="9">
        <v>0</v>
      </c>
      <c r="AT81" s="10">
        <f t="shared" si="30"/>
        <v>34</v>
      </c>
      <c r="AU81" s="10">
        <f t="shared" si="30"/>
        <v>9</v>
      </c>
      <c r="AV81" s="26">
        <f t="shared" si="31"/>
        <v>26.47058823529412</v>
      </c>
      <c r="AW81" s="10">
        <f t="shared" si="32"/>
        <v>24</v>
      </c>
      <c r="AX81" s="10">
        <f t="shared" si="32"/>
        <v>7</v>
      </c>
      <c r="AY81" s="26">
        <f t="shared" si="33"/>
        <v>29.166666666666668</v>
      </c>
      <c r="AZ81" s="10">
        <f t="shared" si="34"/>
        <v>58</v>
      </c>
      <c r="BA81" s="10">
        <f t="shared" si="34"/>
        <v>16</v>
      </c>
      <c r="BB81" s="27">
        <f t="shared" si="35"/>
        <v>27.586206896551722</v>
      </c>
    </row>
    <row r="82" spans="1:54">
      <c r="A82" s="12">
        <v>76</v>
      </c>
      <c r="B82" s="13">
        <v>1230321075</v>
      </c>
      <c r="C82" s="14" t="s">
        <v>95</v>
      </c>
      <c r="D82" s="7">
        <v>4</v>
      </c>
      <c r="E82" s="7">
        <v>2</v>
      </c>
      <c r="F82" s="8">
        <f t="shared" si="20"/>
        <v>50</v>
      </c>
      <c r="G82" s="7">
        <v>2</v>
      </c>
      <c r="H82" s="7">
        <v>1</v>
      </c>
      <c r="I82" s="8">
        <f t="shared" si="21"/>
        <v>50</v>
      </c>
      <c r="J82" s="7">
        <v>8</v>
      </c>
      <c r="K82" s="7">
        <v>6</v>
      </c>
      <c r="L82" s="8">
        <f t="shared" si="22"/>
        <v>75</v>
      </c>
      <c r="M82" s="9">
        <v>5</v>
      </c>
      <c r="N82" s="7">
        <v>0</v>
      </c>
      <c r="O82" s="8">
        <f t="shared" si="23"/>
        <v>0</v>
      </c>
      <c r="P82" s="7">
        <v>4</v>
      </c>
      <c r="Q82" s="7">
        <v>4</v>
      </c>
      <c r="R82" s="26">
        <f t="shared" si="24"/>
        <v>100</v>
      </c>
      <c r="S82" s="18">
        <v>4</v>
      </c>
      <c r="T82" s="7">
        <v>4</v>
      </c>
      <c r="U82" s="26">
        <f t="shared" si="25"/>
        <v>100</v>
      </c>
      <c r="V82" s="7">
        <v>6</v>
      </c>
      <c r="W82" s="7">
        <v>6</v>
      </c>
      <c r="X82" s="8">
        <f t="shared" si="26"/>
        <v>100</v>
      </c>
      <c r="Y82" s="9">
        <v>3</v>
      </c>
      <c r="Z82" s="7">
        <v>3</v>
      </c>
      <c r="AA82" s="8">
        <f t="shared" si="27"/>
        <v>100</v>
      </c>
      <c r="AB82" s="40">
        <v>4</v>
      </c>
      <c r="AC82" s="40">
        <v>3</v>
      </c>
      <c r="AD82" s="41">
        <f t="shared" si="18"/>
        <v>75</v>
      </c>
      <c r="AE82" s="42">
        <v>4</v>
      </c>
      <c r="AF82" s="40">
        <v>1</v>
      </c>
      <c r="AG82" s="41">
        <f t="shared" si="19"/>
        <v>25</v>
      </c>
      <c r="AH82" s="7">
        <v>8</v>
      </c>
      <c r="AI82" s="7">
        <v>5</v>
      </c>
      <c r="AJ82" s="8">
        <f t="shared" si="28"/>
        <v>62.5</v>
      </c>
      <c r="AK82" s="9">
        <v>6</v>
      </c>
      <c r="AL82" s="7">
        <v>2</v>
      </c>
      <c r="AM82" s="8">
        <f t="shared" si="29"/>
        <v>33.333333333333329</v>
      </c>
      <c r="AN82" s="9">
        <v>0</v>
      </c>
      <c r="AO82" s="9">
        <v>0</v>
      </c>
      <c r="AP82" s="9">
        <v>0</v>
      </c>
      <c r="AQ82" s="9">
        <v>0</v>
      </c>
      <c r="AR82" s="9">
        <v>0</v>
      </c>
      <c r="AS82" s="9">
        <v>0</v>
      </c>
      <c r="AT82" s="10">
        <f t="shared" si="30"/>
        <v>34</v>
      </c>
      <c r="AU82" s="10">
        <f t="shared" si="30"/>
        <v>26</v>
      </c>
      <c r="AV82" s="26">
        <f t="shared" si="31"/>
        <v>76.470588235294116</v>
      </c>
      <c r="AW82" s="10">
        <f t="shared" si="32"/>
        <v>24</v>
      </c>
      <c r="AX82" s="10">
        <f t="shared" si="32"/>
        <v>11</v>
      </c>
      <c r="AY82" s="26">
        <f t="shared" si="33"/>
        <v>45.833333333333329</v>
      </c>
      <c r="AZ82" s="10">
        <f t="shared" si="34"/>
        <v>58</v>
      </c>
      <c r="BA82" s="10">
        <f t="shared" si="34"/>
        <v>37</v>
      </c>
      <c r="BB82" s="27">
        <f t="shared" si="35"/>
        <v>63.793103448275865</v>
      </c>
    </row>
    <row r="83" spans="1:54">
      <c r="A83" s="12">
        <v>77</v>
      </c>
      <c r="B83" s="13">
        <v>1230321076</v>
      </c>
      <c r="C83" s="14" t="s">
        <v>96</v>
      </c>
      <c r="D83" s="7">
        <v>4</v>
      </c>
      <c r="E83" s="7">
        <v>2</v>
      </c>
      <c r="F83" s="8">
        <f t="shared" si="20"/>
        <v>50</v>
      </c>
      <c r="G83" s="7">
        <v>2</v>
      </c>
      <c r="H83" s="7">
        <v>1</v>
      </c>
      <c r="I83" s="8">
        <f t="shared" si="21"/>
        <v>50</v>
      </c>
      <c r="J83" s="7">
        <v>8</v>
      </c>
      <c r="K83" s="7">
        <v>6</v>
      </c>
      <c r="L83" s="8">
        <f t="shared" si="22"/>
        <v>75</v>
      </c>
      <c r="M83" s="9">
        <v>5</v>
      </c>
      <c r="N83" s="7">
        <v>1</v>
      </c>
      <c r="O83" s="8">
        <f t="shared" si="23"/>
        <v>20</v>
      </c>
      <c r="P83" s="7">
        <v>4</v>
      </c>
      <c r="Q83" s="7">
        <v>4</v>
      </c>
      <c r="R83" s="26">
        <f t="shared" si="24"/>
        <v>100</v>
      </c>
      <c r="S83" s="18">
        <v>4</v>
      </c>
      <c r="T83" s="7">
        <v>4</v>
      </c>
      <c r="U83" s="26">
        <f t="shared" si="25"/>
        <v>100</v>
      </c>
      <c r="V83" s="7">
        <v>6</v>
      </c>
      <c r="W83" s="7">
        <v>3</v>
      </c>
      <c r="X83" s="8">
        <f t="shared" si="26"/>
        <v>50</v>
      </c>
      <c r="Y83" s="9">
        <v>3</v>
      </c>
      <c r="Z83" s="7">
        <v>1</v>
      </c>
      <c r="AA83" s="8">
        <f t="shared" si="27"/>
        <v>33.333333333333329</v>
      </c>
      <c r="AB83" s="40">
        <v>4</v>
      </c>
      <c r="AC83" s="40">
        <v>4</v>
      </c>
      <c r="AD83" s="41">
        <f t="shared" si="18"/>
        <v>100</v>
      </c>
      <c r="AE83" s="42">
        <v>4</v>
      </c>
      <c r="AF83" s="40">
        <v>3</v>
      </c>
      <c r="AG83" s="41">
        <f t="shared" si="19"/>
        <v>75</v>
      </c>
      <c r="AH83" s="7">
        <v>8</v>
      </c>
      <c r="AI83" s="7">
        <v>6</v>
      </c>
      <c r="AJ83" s="8">
        <f t="shared" si="28"/>
        <v>75</v>
      </c>
      <c r="AK83" s="9">
        <v>6</v>
      </c>
      <c r="AL83" s="7">
        <v>3</v>
      </c>
      <c r="AM83" s="8">
        <f t="shared" si="29"/>
        <v>50</v>
      </c>
      <c r="AN83" s="9">
        <v>0</v>
      </c>
      <c r="AO83" s="9">
        <v>0</v>
      </c>
      <c r="AP83" s="9">
        <v>0</v>
      </c>
      <c r="AQ83" s="9">
        <v>0</v>
      </c>
      <c r="AR83" s="9">
        <v>0</v>
      </c>
      <c r="AS83" s="9">
        <v>0</v>
      </c>
      <c r="AT83" s="10">
        <f t="shared" si="30"/>
        <v>34</v>
      </c>
      <c r="AU83" s="10">
        <f t="shared" si="30"/>
        <v>25</v>
      </c>
      <c r="AV83" s="26">
        <f t="shared" si="31"/>
        <v>73.529411764705884</v>
      </c>
      <c r="AW83" s="10">
        <f t="shared" si="32"/>
        <v>24</v>
      </c>
      <c r="AX83" s="10">
        <f t="shared" si="32"/>
        <v>13</v>
      </c>
      <c r="AY83" s="26">
        <f t="shared" si="33"/>
        <v>54.166666666666664</v>
      </c>
      <c r="AZ83" s="10">
        <f t="shared" si="34"/>
        <v>58</v>
      </c>
      <c r="BA83" s="10">
        <f t="shared" si="34"/>
        <v>38</v>
      </c>
      <c r="BB83" s="27">
        <f t="shared" si="35"/>
        <v>65.517241379310349</v>
      </c>
    </row>
    <row r="84" spans="1:54" ht="16.5" customHeight="1">
      <c r="A84" s="72" t="s">
        <v>97</v>
      </c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73"/>
      <c r="AW84" s="73"/>
      <c r="AX84" s="73"/>
      <c r="AY84" s="73"/>
      <c r="AZ84" s="73"/>
      <c r="BA84" s="73"/>
      <c r="BB84" s="74"/>
    </row>
    <row r="85" spans="1:54">
      <c r="A85" s="12">
        <v>78</v>
      </c>
      <c r="B85" s="13" t="s">
        <v>0</v>
      </c>
      <c r="C85" s="14" t="s">
        <v>103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  <c r="W85" s="7">
        <v>0</v>
      </c>
      <c r="X85" s="7">
        <v>0</v>
      </c>
      <c r="Y85" s="7">
        <v>0</v>
      </c>
      <c r="Z85" s="7">
        <v>0</v>
      </c>
      <c r="AA85" s="7">
        <v>0</v>
      </c>
      <c r="AB85" s="7">
        <v>0</v>
      </c>
      <c r="AC85" s="7">
        <v>0</v>
      </c>
      <c r="AD85" s="7">
        <v>0</v>
      </c>
      <c r="AE85" s="7">
        <v>0</v>
      </c>
      <c r="AF85" s="7">
        <v>0</v>
      </c>
      <c r="AG85" s="7">
        <v>0</v>
      </c>
      <c r="AH85" s="7">
        <v>0</v>
      </c>
      <c r="AI85" s="7">
        <v>0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  <c r="AY85" s="7">
        <v>0</v>
      </c>
      <c r="AZ85" s="7">
        <v>0</v>
      </c>
      <c r="BA85" s="7">
        <v>0</v>
      </c>
      <c r="BB85" s="7">
        <v>0</v>
      </c>
    </row>
    <row r="86" spans="1:54">
      <c r="A86" s="72" t="s">
        <v>98</v>
      </c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4"/>
    </row>
    <row r="87" spans="1:54">
      <c r="A87" s="12">
        <v>1</v>
      </c>
      <c r="B87" s="15">
        <v>1220321025</v>
      </c>
      <c r="C87" s="15" t="s">
        <v>99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  <c r="W87" s="7">
        <v>0</v>
      </c>
      <c r="X87" s="7">
        <v>0</v>
      </c>
      <c r="Y87" s="7">
        <v>0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0</v>
      </c>
      <c r="AF87" s="7">
        <v>0</v>
      </c>
      <c r="AG87" s="7">
        <v>0</v>
      </c>
      <c r="AH87" s="7">
        <v>0</v>
      </c>
      <c r="AI87" s="7">
        <v>0</v>
      </c>
      <c r="AJ87" s="7">
        <v>0</v>
      </c>
      <c r="AK87" s="7">
        <v>0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  <c r="AY87" s="7">
        <v>0</v>
      </c>
      <c r="AZ87" s="7">
        <v>0</v>
      </c>
      <c r="BA87" s="7">
        <v>0</v>
      </c>
      <c r="BB87" s="7">
        <v>0</v>
      </c>
    </row>
    <row r="88" spans="1:54">
      <c r="A88" s="12">
        <v>2</v>
      </c>
      <c r="B88" s="15">
        <v>1230321051</v>
      </c>
      <c r="C88" s="15" t="s">
        <v>104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  <c r="AY88" s="7">
        <v>0</v>
      </c>
      <c r="AZ88" s="7">
        <v>0</v>
      </c>
      <c r="BA88" s="7">
        <v>0</v>
      </c>
      <c r="BB88" s="7">
        <v>0</v>
      </c>
    </row>
  </sheetData>
  <mergeCells count="17">
    <mergeCell ref="D5:I5"/>
    <mergeCell ref="A84:BB84"/>
    <mergeCell ref="A86:BB86"/>
    <mergeCell ref="AT5:BB5"/>
    <mergeCell ref="A1:BB1"/>
    <mergeCell ref="A2:BB2"/>
    <mergeCell ref="A3:BB3"/>
    <mergeCell ref="A4:BB4"/>
    <mergeCell ref="J5:O5"/>
    <mergeCell ref="P5:U5"/>
    <mergeCell ref="V5:AA5"/>
    <mergeCell ref="AB5:AG5"/>
    <mergeCell ref="AH5:AM5"/>
    <mergeCell ref="AN5:AS5"/>
    <mergeCell ref="A5:A6"/>
    <mergeCell ref="B5:B6"/>
    <mergeCell ref="C5:C6"/>
  </mergeCells>
  <pageMargins left="0" right="0" top="0" bottom="0" header="0" footer="0"/>
  <pageSetup paperSize="9" scale="8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50"/>
  </sheetPr>
  <dimension ref="A1:BB88"/>
  <sheetViews>
    <sheetView topLeftCell="AG58" workbookViewId="0">
      <selection activeCell="BB71" sqref="BB71"/>
    </sheetView>
  </sheetViews>
  <sheetFormatPr defaultRowHeight="16.5"/>
  <cols>
    <col min="1" max="1" width="6.42578125" style="6" bestFit="1" customWidth="1"/>
    <col min="2" max="2" width="12.42578125" style="6" bestFit="1" customWidth="1"/>
    <col min="3" max="3" width="51.140625" style="6" bestFit="1" customWidth="1"/>
    <col min="4" max="4" width="8.42578125" style="6" customWidth="1"/>
    <col min="5" max="5" width="10.28515625" style="6" customWidth="1"/>
    <col min="6" max="6" width="5.5703125" style="6" customWidth="1"/>
    <col min="7" max="7" width="8.85546875" style="6" customWidth="1"/>
    <col min="8" max="8" width="10.28515625" style="6" customWidth="1"/>
    <col min="9" max="9" width="5.5703125" style="6" customWidth="1"/>
    <col min="10" max="10" width="8.42578125" style="6" customWidth="1"/>
    <col min="11" max="11" width="10.28515625" style="6" customWidth="1"/>
    <col min="12" max="12" width="7.7109375" style="6" customWidth="1"/>
    <col min="13" max="13" width="8.85546875" style="6" customWidth="1"/>
    <col min="14" max="14" width="10.28515625" style="6" customWidth="1"/>
    <col min="15" max="15" width="7.7109375" style="6" customWidth="1"/>
    <col min="16" max="16" width="8.42578125" style="20" customWidth="1"/>
    <col min="17" max="17" width="10.28515625" style="20" customWidth="1"/>
    <col min="18" max="18" width="5.5703125" style="20" customWidth="1"/>
    <col min="19" max="19" width="8.85546875" style="20" customWidth="1"/>
    <col min="20" max="20" width="10.28515625" style="20" customWidth="1"/>
    <col min="21" max="21" width="5.5703125" style="20" customWidth="1"/>
    <col min="22" max="22" width="8.42578125" style="6" customWidth="1"/>
    <col min="23" max="23" width="10.28515625" style="6" customWidth="1"/>
    <col min="24" max="24" width="5.5703125" style="6" customWidth="1"/>
    <col min="25" max="25" width="8.85546875" style="6" customWidth="1"/>
    <col min="26" max="26" width="10.28515625" style="6" customWidth="1"/>
    <col min="27" max="27" width="5.5703125" style="6" customWidth="1"/>
    <col min="28" max="28" width="8.42578125" style="6" customWidth="1"/>
    <col min="29" max="29" width="10.28515625" style="6" customWidth="1"/>
    <col min="30" max="30" width="5.85546875" style="6" customWidth="1"/>
    <col min="31" max="31" width="8.85546875" style="6" customWidth="1"/>
    <col min="32" max="32" width="10.28515625" style="6" customWidth="1"/>
    <col min="33" max="33" width="5.5703125" style="6" customWidth="1"/>
    <col min="34" max="34" width="8.42578125" style="6" bestFit="1" customWidth="1"/>
    <col min="35" max="35" width="10.28515625" style="6" bestFit="1" customWidth="1"/>
    <col min="36" max="36" width="6.140625" style="6" bestFit="1" customWidth="1"/>
    <col min="37" max="37" width="8.85546875" style="6" bestFit="1" customWidth="1"/>
    <col min="38" max="38" width="10.28515625" style="6" bestFit="1" customWidth="1"/>
    <col min="39" max="39" width="4.42578125" style="6" bestFit="1" customWidth="1"/>
    <col min="40" max="40" width="8.42578125" style="6" bestFit="1" customWidth="1"/>
    <col min="41" max="41" width="10.28515625" style="6" bestFit="1" customWidth="1"/>
    <col min="42" max="42" width="6.140625" style="6" bestFit="1" customWidth="1"/>
    <col min="43" max="43" width="8.85546875" style="6" bestFit="1" customWidth="1"/>
    <col min="44" max="44" width="10.28515625" style="6" bestFit="1" customWidth="1"/>
    <col min="45" max="45" width="5.5703125" style="6" bestFit="1" customWidth="1"/>
    <col min="46" max="16384" width="9.140625" style="6"/>
  </cols>
  <sheetData>
    <row r="1" spans="1:54" ht="18.75">
      <c r="A1" s="68" t="s">
        <v>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</row>
    <row r="2" spans="1:54" ht="18.75">
      <c r="A2" s="68" t="s">
        <v>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</row>
    <row r="3" spans="1:54" ht="18.75">
      <c r="A3" s="68" t="s">
        <v>22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</row>
    <row r="4" spans="1:54">
      <c r="A4" s="69" t="s">
        <v>111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</row>
    <row r="5" spans="1:54" ht="46.5" customHeight="1">
      <c r="A5" s="71" t="s">
        <v>3</v>
      </c>
      <c r="B5" s="71" t="s">
        <v>4</v>
      </c>
      <c r="C5" s="71" t="s">
        <v>5</v>
      </c>
      <c r="D5" s="70" t="s">
        <v>112</v>
      </c>
      <c r="E5" s="70"/>
      <c r="F5" s="70"/>
      <c r="G5" s="70"/>
      <c r="H5" s="70"/>
      <c r="I5" s="70"/>
      <c r="J5" s="70" t="s">
        <v>113</v>
      </c>
      <c r="K5" s="70"/>
      <c r="L5" s="70"/>
      <c r="M5" s="70"/>
      <c r="N5" s="70"/>
      <c r="O5" s="70"/>
      <c r="P5" s="70" t="s">
        <v>114</v>
      </c>
      <c r="Q5" s="70"/>
      <c r="R5" s="70"/>
      <c r="S5" s="70"/>
      <c r="T5" s="70"/>
      <c r="U5" s="70"/>
      <c r="V5" s="70" t="s">
        <v>115</v>
      </c>
      <c r="W5" s="70"/>
      <c r="X5" s="70"/>
      <c r="Y5" s="70"/>
      <c r="Z5" s="70"/>
      <c r="AA5" s="70"/>
      <c r="AB5" s="70" t="s">
        <v>116</v>
      </c>
      <c r="AC5" s="70"/>
      <c r="AD5" s="70"/>
      <c r="AE5" s="70"/>
      <c r="AF5" s="70"/>
      <c r="AG5" s="70"/>
      <c r="AH5" s="70" t="s">
        <v>117</v>
      </c>
      <c r="AI5" s="70"/>
      <c r="AJ5" s="70"/>
      <c r="AK5" s="70"/>
      <c r="AL5" s="70"/>
      <c r="AM5" s="70"/>
      <c r="AN5" s="70" t="s">
        <v>118</v>
      </c>
      <c r="AO5" s="70"/>
      <c r="AP5" s="70"/>
      <c r="AQ5" s="70"/>
      <c r="AR5" s="70"/>
      <c r="AS5" s="70"/>
      <c r="AT5" s="64" t="s">
        <v>127</v>
      </c>
      <c r="AU5" s="64"/>
      <c r="AV5" s="64"/>
      <c r="AW5" s="64"/>
      <c r="AX5" s="64"/>
      <c r="AY5" s="64"/>
      <c r="AZ5" s="64"/>
      <c r="BA5" s="64"/>
      <c r="BB5" s="64"/>
    </row>
    <row r="6" spans="1:54" ht="30">
      <c r="A6" s="71"/>
      <c r="B6" s="71"/>
      <c r="C6" s="71"/>
      <c r="D6" s="17" t="s">
        <v>6</v>
      </c>
      <c r="E6" s="17" t="s">
        <v>7</v>
      </c>
      <c r="F6" s="17" t="s">
        <v>8</v>
      </c>
      <c r="G6" s="17" t="s">
        <v>9</v>
      </c>
      <c r="H6" s="17" t="s">
        <v>10</v>
      </c>
      <c r="I6" s="17" t="s">
        <v>8</v>
      </c>
      <c r="J6" s="17" t="s">
        <v>6</v>
      </c>
      <c r="K6" s="17" t="s">
        <v>7</v>
      </c>
      <c r="L6" s="17" t="s">
        <v>8</v>
      </c>
      <c r="M6" s="17" t="s">
        <v>9</v>
      </c>
      <c r="N6" s="17" t="s">
        <v>10</v>
      </c>
      <c r="O6" s="17" t="s">
        <v>8</v>
      </c>
      <c r="P6" s="17" t="s">
        <v>6</v>
      </c>
      <c r="Q6" s="17" t="s">
        <v>7</v>
      </c>
      <c r="R6" s="17" t="s">
        <v>8</v>
      </c>
      <c r="S6" s="17" t="s">
        <v>9</v>
      </c>
      <c r="T6" s="17" t="s">
        <v>10</v>
      </c>
      <c r="U6" s="17" t="s">
        <v>8</v>
      </c>
      <c r="V6" s="17" t="s">
        <v>6</v>
      </c>
      <c r="W6" s="17" t="s">
        <v>7</v>
      </c>
      <c r="X6" s="17" t="s">
        <v>8</v>
      </c>
      <c r="Y6" s="17" t="s">
        <v>9</v>
      </c>
      <c r="Z6" s="17" t="s">
        <v>10</v>
      </c>
      <c r="AA6" s="17" t="s">
        <v>8</v>
      </c>
      <c r="AB6" s="17" t="s">
        <v>6</v>
      </c>
      <c r="AC6" s="17" t="s">
        <v>7</v>
      </c>
      <c r="AD6" s="17" t="s">
        <v>8</v>
      </c>
      <c r="AE6" s="17" t="s">
        <v>9</v>
      </c>
      <c r="AF6" s="17" t="s">
        <v>10</v>
      </c>
      <c r="AG6" s="17" t="s">
        <v>8</v>
      </c>
      <c r="AH6" s="17" t="s">
        <v>6</v>
      </c>
      <c r="AI6" s="17" t="s">
        <v>7</v>
      </c>
      <c r="AJ6" s="17" t="s">
        <v>8</v>
      </c>
      <c r="AK6" s="17" t="s">
        <v>9</v>
      </c>
      <c r="AL6" s="17" t="s">
        <v>10</v>
      </c>
      <c r="AM6" s="17" t="s">
        <v>8</v>
      </c>
      <c r="AN6" s="17" t="s">
        <v>6</v>
      </c>
      <c r="AO6" s="17" t="s">
        <v>7</v>
      </c>
      <c r="AP6" s="17" t="s">
        <v>8</v>
      </c>
      <c r="AQ6" s="17" t="s">
        <v>9</v>
      </c>
      <c r="AR6" s="17" t="s">
        <v>10</v>
      </c>
      <c r="AS6" s="17" t="s">
        <v>8</v>
      </c>
      <c r="AT6" s="24" t="s">
        <v>119</v>
      </c>
      <c r="AU6" s="24" t="s">
        <v>120</v>
      </c>
      <c r="AV6" s="24" t="s">
        <v>121</v>
      </c>
      <c r="AW6" s="24" t="s">
        <v>122</v>
      </c>
      <c r="AX6" s="24" t="s">
        <v>123</v>
      </c>
      <c r="AY6" s="25" t="s">
        <v>121</v>
      </c>
      <c r="AZ6" s="17" t="s">
        <v>124</v>
      </c>
      <c r="BA6" s="17" t="s">
        <v>125</v>
      </c>
      <c r="BB6" s="17" t="s">
        <v>126</v>
      </c>
    </row>
    <row r="7" spans="1:54">
      <c r="A7" s="12">
        <v>1</v>
      </c>
      <c r="B7" s="13">
        <v>1220321013</v>
      </c>
      <c r="C7" s="14" t="s">
        <v>23</v>
      </c>
      <c r="D7" s="7">
        <v>2</v>
      </c>
      <c r="E7" s="7">
        <v>0</v>
      </c>
      <c r="F7" s="19">
        <f>E7/D7*100</f>
        <v>0</v>
      </c>
      <c r="G7" s="9">
        <v>4</v>
      </c>
      <c r="H7" s="9">
        <v>2</v>
      </c>
      <c r="I7" s="19">
        <f>H7/G7*100</f>
        <v>50</v>
      </c>
      <c r="J7" s="7">
        <v>4</v>
      </c>
      <c r="K7" s="7">
        <v>1</v>
      </c>
      <c r="L7" s="19">
        <f>K7/J7*100</f>
        <v>25</v>
      </c>
      <c r="M7" s="9">
        <v>11</v>
      </c>
      <c r="N7" s="9">
        <v>0</v>
      </c>
      <c r="O7" s="19">
        <f>N7/M7*100</f>
        <v>0</v>
      </c>
      <c r="P7" s="7">
        <v>10</v>
      </c>
      <c r="Q7" s="7">
        <v>0</v>
      </c>
      <c r="R7" s="19">
        <f>Q7/P7*100</f>
        <v>0</v>
      </c>
      <c r="S7" s="9">
        <v>5</v>
      </c>
      <c r="T7" s="9">
        <v>0</v>
      </c>
      <c r="U7" s="19">
        <f>T7/S7*100</f>
        <v>0</v>
      </c>
      <c r="V7" s="7">
        <v>2</v>
      </c>
      <c r="W7" s="7">
        <v>0</v>
      </c>
      <c r="X7" s="19">
        <f>W7/V7*100</f>
        <v>0</v>
      </c>
      <c r="Y7" s="9">
        <v>6</v>
      </c>
      <c r="Z7" s="9">
        <v>0</v>
      </c>
      <c r="AA7" s="19">
        <f>Z7/Y7*100</f>
        <v>0</v>
      </c>
      <c r="AB7" s="7">
        <v>2</v>
      </c>
      <c r="AC7" s="7">
        <v>0</v>
      </c>
      <c r="AD7" s="19">
        <f>AC7/AB7*100</f>
        <v>0</v>
      </c>
      <c r="AE7" s="9">
        <v>7</v>
      </c>
      <c r="AF7" s="9">
        <v>0</v>
      </c>
      <c r="AG7" s="19">
        <f>AF7/AE7*100</f>
        <v>0</v>
      </c>
      <c r="AH7" s="7">
        <v>4</v>
      </c>
      <c r="AI7" s="7">
        <v>1</v>
      </c>
      <c r="AJ7" s="19">
        <f>AI7/AH7*100</f>
        <v>25</v>
      </c>
      <c r="AK7" s="9">
        <v>10</v>
      </c>
      <c r="AL7" s="9">
        <v>3</v>
      </c>
      <c r="AM7" s="19">
        <f>AL7/AK7*100</f>
        <v>30</v>
      </c>
      <c r="AN7" s="7">
        <v>4</v>
      </c>
      <c r="AO7" s="7">
        <v>1</v>
      </c>
      <c r="AP7" s="19">
        <f>AO7/AN7*100</f>
        <v>25</v>
      </c>
      <c r="AQ7" s="9">
        <v>8</v>
      </c>
      <c r="AR7" s="9">
        <v>2</v>
      </c>
      <c r="AS7" s="19">
        <f>AR7/AQ7*100</f>
        <v>25</v>
      </c>
      <c r="AT7" s="10">
        <f>SUM(D7,J7,P7,V7,AB7,AH7,AN7)</f>
        <v>28</v>
      </c>
      <c r="AU7" s="10">
        <f>SUM(E7,K7,Q7,W7,AC7,AI7,AO7)</f>
        <v>3</v>
      </c>
      <c r="AV7" s="26">
        <f>AU7/AT7*100</f>
        <v>10.714285714285714</v>
      </c>
      <c r="AW7" s="10">
        <f>SUM(G7,M7,S7,Y7,AE7,AK7,AQ7)</f>
        <v>51</v>
      </c>
      <c r="AX7" s="10">
        <f>SUM(H7,N7,T7,Z7,AF7,AL7,AR7)</f>
        <v>7</v>
      </c>
      <c r="AY7" s="26">
        <f>AX7/AW7*100</f>
        <v>13.725490196078432</v>
      </c>
      <c r="AZ7" s="10">
        <f>SUM(AT7,AW7)</f>
        <v>79</v>
      </c>
      <c r="BA7" s="10">
        <f>SUM(AU7,AX7)</f>
        <v>10</v>
      </c>
      <c r="BB7" s="27">
        <f>BA7/AZ7*100</f>
        <v>12.658227848101266</v>
      </c>
    </row>
    <row r="8" spans="1:54">
      <c r="A8" s="12">
        <v>2</v>
      </c>
      <c r="B8" s="13">
        <v>1220321039</v>
      </c>
      <c r="C8" s="14" t="s">
        <v>24</v>
      </c>
      <c r="D8" s="7">
        <v>2</v>
      </c>
      <c r="E8" s="7">
        <v>1</v>
      </c>
      <c r="F8" s="19">
        <f t="shared" ref="F8:F71" si="0">E8/D8*100</f>
        <v>50</v>
      </c>
      <c r="G8" s="9">
        <v>4</v>
      </c>
      <c r="H8" s="9">
        <v>2</v>
      </c>
      <c r="I8" s="19">
        <f t="shared" ref="I8:I71" si="1">H8/G8*100</f>
        <v>50</v>
      </c>
      <c r="J8" s="7">
        <v>4</v>
      </c>
      <c r="K8" s="7">
        <v>2</v>
      </c>
      <c r="L8" s="19">
        <f t="shared" ref="L8:L71" si="2">K8/J8*100</f>
        <v>50</v>
      </c>
      <c r="M8" s="9">
        <v>11</v>
      </c>
      <c r="N8" s="9">
        <v>4</v>
      </c>
      <c r="O8" s="19">
        <f t="shared" ref="O8:O71" si="3">N8/M8*100</f>
        <v>36.363636363636367</v>
      </c>
      <c r="P8" s="7">
        <v>10</v>
      </c>
      <c r="Q8" s="7">
        <v>4</v>
      </c>
      <c r="R8" s="19">
        <f t="shared" ref="R8:R71" si="4">Q8/P8*100</f>
        <v>40</v>
      </c>
      <c r="S8" s="9">
        <v>5</v>
      </c>
      <c r="T8" s="9">
        <v>3</v>
      </c>
      <c r="U8" s="19">
        <f t="shared" ref="U8:U71" si="5">T8/S8*100</f>
        <v>60</v>
      </c>
      <c r="V8" s="7">
        <v>2</v>
      </c>
      <c r="W8" s="7">
        <v>2</v>
      </c>
      <c r="X8" s="19">
        <f t="shared" ref="X8:X71" si="6">W8/V8*100</f>
        <v>100</v>
      </c>
      <c r="Y8" s="9">
        <v>6</v>
      </c>
      <c r="Z8" s="9">
        <v>4</v>
      </c>
      <c r="AA8" s="19">
        <f t="shared" ref="AA8:AA71" si="7">Z8/Y8*100</f>
        <v>66.666666666666657</v>
      </c>
      <c r="AB8" s="7">
        <v>2</v>
      </c>
      <c r="AC8" s="7">
        <v>1</v>
      </c>
      <c r="AD8" s="19">
        <f t="shared" ref="AD8:AD71" si="8">AC8/AB8*100</f>
        <v>50</v>
      </c>
      <c r="AE8" s="9">
        <v>7</v>
      </c>
      <c r="AF8" s="9">
        <v>4</v>
      </c>
      <c r="AG8" s="19">
        <f t="shared" ref="AG8:AG71" si="9">AF8/AE8*100</f>
        <v>57.142857142857139</v>
      </c>
      <c r="AH8" s="7">
        <v>4</v>
      </c>
      <c r="AI8" s="7">
        <v>2</v>
      </c>
      <c r="AJ8" s="19">
        <f t="shared" ref="AJ8:AJ71" si="10">AI8/AH8*100</f>
        <v>50</v>
      </c>
      <c r="AK8" s="9">
        <v>9</v>
      </c>
      <c r="AL8" s="9">
        <v>5</v>
      </c>
      <c r="AM8" s="19">
        <f t="shared" ref="AM8:AM71" si="11">AL8/AK8*100</f>
        <v>55.555555555555557</v>
      </c>
      <c r="AN8" s="7">
        <v>4</v>
      </c>
      <c r="AO8" s="7">
        <v>2</v>
      </c>
      <c r="AP8" s="19">
        <f t="shared" ref="AP8:AP71" si="12">AO8/AN8*100</f>
        <v>50</v>
      </c>
      <c r="AQ8" s="9">
        <v>9</v>
      </c>
      <c r="AR8" s="9">
        <v>5</v>
      </c>
      <c r="AS8" s="19">
        <f t="shared" ref="AS8:AS71" si="13">AR8/AQ8*100</f>
        <v>55.555555555555557</v>
      </c>
      <c r="AT8" s="10">
        <f t="shared" ref="AT8:AT71" si="14">SUM(D8,J8,P8,V8,AB8,AH8,AN8)</f>
        <v>28</v>
      </c>
      <c r="AU8" s="10">
        <f t="shared" ref="AU8:AU71" si="15">SUM(E8,K8,Q8,W8,AC8,AI8,AO8)</f>
        <v>14</v>
      </c>
      <c r="AV8" s="26">
        <f t="shared" ref="AV8:AV71" si="16">AU8/AT8*100</f>
        <v>50</v>
      </c>
      <c r="AW8" s="10">
        <f t="shared" ref="AW8:AW71" si="17">SUM(G8,M8,S8,Y8,AE8,AK8,AQ8)</f>
        <v>51</v>
      </c>
      <c r="AX8" s="10">
        <f t="shared" ref="AX8:AX71" si="18">SUM(H8,N8,T8,Z8,AF8,AL8,AR8)</f>
        <v>27</v>
      </c>
      <c r="AY8" s="26">
        <f t="shared" ref="AY8:AY71" si="19">AX8/AW8*100</f>
        <v>52.941176470588239</v>
      </c>
      <c r="AZ8" s="10">
        <f t="shared" ref="AZ8:AZ71" si="20">SUM(AT8,AW8)</f>
        <v>79</v>
      </c>
      <c r="BA8" s="10">
        <f t="shared" ref="BA8:BA71" si="21">SUM(AU8,AX8)</f>
        <v>41</v>
      </c>
      <c r="BB8" s="27">
        <f t="shared" ref="BB8:BB71" si="22">BA8/AZ8*100</f>
        <v>51.898734177215189</v>
      </c>
    </row>
    <row r="9" spans="1:54">
      <c r="A9" s="12">
        <v>3</v>
      </c>
      <c r="B9" s="13">
        <v>1220321040</v>
      </c>
      <c r="C9" s="14" t="s">
        <v>25</v>
      </c>
      <c r="D9" s="7">
        <v>2</v>
      </c>
      <c r="E9" s="7">
        <v>0</v>
      </c>
      <c r="F9" s="19">
        <f t="shared" si="0"/>
        <v>0</v>
      </c>
      <c r="G9" s="9">
        <v>4</v>
      </c>
      <c r="H9" s="9">
        <v>0</v>
      </c>
      <c r="I9" s="19">
        <f t="shared" si="1"/>
        <v>0</v>
      </c>
      <c r="J9" s="7">
        <v>4</v>
      </c>
      <c r="K9" s="7">
        <v>2</v>
      </c>
      <c r="L9" s="19">
        <f t="shared" si="2"/>
        <v>50</v>
      </c>
      <c r="M9" s="9">
        <v>11</v>
      </c>
      <c r="N9" s="9">
        <v>1</v>
      </c>
      <c r="O9" s="19">
        <f t="shared" si="3"/>
        <v>9.0909090909090917</v>
      </c>
      <c r="P9" s="7">
        <v>10</v>
      </c>
      <c r="Q9" s="7">
        <v>2</v>
      </c>
      <c r="R9" s="19">
        <f t="shared" si="4"/>
        <v>20</v>
      </c>
      <c r="S9" s="9">
        <v>5</v>
      </c>
      <c r="T9" s="9">
        <v>1</v>
      </c>
      <c r="U9" s="19">
        <f t="shared" si="5"/>
        <v>20</v>
      </c>
      <c r="V9" s="7">
        <v>2</v>
      </c>
      <c r="W9" s="7">
        <v>0</v>
      </c>
      <c r="X9" s="19">
        <f t="shared" si="6"/>
        <v>0</v>
      </c>
      <c r="Y9" s="9">
        <v>6</v>
      </c>
      <c r="Z9" s="9">
        <v>0</v>
      </c>
      <c r="AA9" s="19">
        <f t="shared" si="7"/>
        <v>0</v>
      </c>
      <c r="AB9" s="7">
        <v>2</v>
      </c>
      <c r="AC9" s="7">
        <v>1</v>
      </c>
      <c r="AD9" s="19">
        <f t="shared" si="8"/>
        <v>50</v>
      </c>
      <c r="AE9" s="9">
        <v>7</v>
      </c>
      <c r="AF9" s="9">
        <v>0</v>
      </c>
      <c r="AG9" s="19">
        <f t="shared" si="9"/>
        <v>0</v>
      </c>
      <c r="AH9" s="7">
        <v>4</v>
      </c>
      <c r="AI9" s="7">
        <v>3</v>
      </c>
      <c r="AJ9" s="19">
        <f t="shared" si="10"/>
        <v>75</v>
      </c>
      <c r="AK9" s="9">
        <v>9</v>
      </c>
      <c r="AL9" s="9">
        <v>0</v>
      </c>
      <c r="AM9" s="19">
        <f t="shared" si="11"/>
        <v>0</v>
      </c>
      <c r="AN9" s="7">
        <v>4</v>
      </c>
      <c r="AO9" s="7">
        <v>0</v>
      </c>
      <c r="AP9" s="19">
        <f t="shared" si="12"/>
        <v>0</v>
      </c>
      <c r="AQ9" s="9">
        <v>8</v>
      </c>
      <c r="AR9" s="9">
        <v>3</v>
      </c>
      <c r="AS9" s="19">
        <f t="shared" si="13"/>
        <v>37.5</v>
      </c>
      <c r="AT9" s="10">
        <f t="shared" si="14"/>
        <v>28</v>
      </c>
      <c r="AU9" s="10">
        <f t="shared" si="15"/>
        <v>8</v>
      </c>
      <c r="AV9" s="26">
        <f t="shared" si="16"/>
        <v>28.571428571428569</v>
      </c>
      <c r="AW9" s="10">
        <f t="shared" si="17"/>
        <v>50</v>
      </c>
      <c r="AX9" s="10">
        <f t="shared" si="18"/>
        <v>5</v>
      </c>
      <c r="AY9" s="26">
        <f t="shared" si="19"/>
        <v>10</v>
      </c>
      <c r="AZ9" s="10">
        <f t="shared" si="20"/>
        <v>78</v>
      </c>
      <c r="BA9" s="10">
        <f t="shared" si="21"/>
        <v>13</v>
      </c>
      <c r="BB9" s="27">
        <f t="shared" si="22"/>
        <v>16.666666666666664</v>
      </c>
    </row>
    <row r="10" spans="1:54">
      <c r="A10" s="12">
        <v>4</v>
      </c>
      <c r="B10" s="13">
        <v>1220321049</v>
      </c>
      <c r="C10" s="14" t="s">
        <v>26</v>
      </c>
      <c r="D10" s="7">
        <v>2</v>
      </c>
      <c r="E10" s="7">
        <v>0</v>
      </c>
      <c r="F10" s="19">
        <f t="shared" si="0"/>
        <v>0</v>
      </c>
      <c r="G10" s="9">
        <v>4</v>
      </c>
      <c r="H10" s="9">
        <v>0</v>
      </c>
      <c r="I10" s="19">
        <f t="shared" si="1"/>
        <v>0</v>
      </c>
      <c r="J10" s="7">
        <v>4</v>
      </c>
      <c r="K10" s="7">
        <v>0</v>
      </c>
      <c r="L10" s="19">
        <f t="shared" si="2"/>
        <v>0</v>
      </c>
      <c r="M10" s="9">
        <v>11</v>
      </c>
      <c r="N10" s="9">
        <v>0</v>
      </c>
      <c r="O10" s="19">
        <f t="shared" si="3"/>
        <v>0</v>
      </c>
      <c r="P10" s="7">
        <v>10</v>
      </c>
      <c r="Q10" s="7">
        <v>3</v>
      </c>
      <c r="R10" s="19">
        <f t="shared" si="4"/>
        <v>30</v>
      </c>
      <c r="S10" s="9">
        <v>5</v>
      </c>
      <c r="T10" s="9">
        <v>1</v>
      </c>
      <c r="U10" s="19">
        <f t="shared" si="5"/>
        <v>20</v>
      </c>
      <c r="V10" s="7">
        <v>2</v>
      </c>
      <c r="W10" s="7">
        <v>1</v>
      </c>
      <c r="X10" s="19">
        <f t="shared" si="6"/>
        <v>50</v>
      </c>
      <c r="Y10" s="9">
        <v>6</v>
      </c>
      <c r="Z10" s="9">
        <v>1</v>
      </c>
      <c r="AA10" s="19">
        <f t="shared" si="7"/>
        <v>16.666666666666664</v>
      </c>
      <c r="AB10" s="7">
        <v>2</v>
      </c>
      <c r="AC10" s="7">
        <v>0</v>
      </c>
      <c r="AD10" s="19">
        <f t="shared" si="8"/>
        <v>0</v>
      </c>
      <c r="AE10" s="9">
        <v>7</v>
      </c>
      <c r="AF10" s="9">
        <v>0</v>
      </c>
      <c r="AG10" s="19">
        <f t="shared" si="9"/>
        <v>0</v>
      </c>
      <c r="AH10" s="7">
        <v>4</v>
      </c>
      <c r="AI10" s="7">
        <v>2</v>
      </c>
      <c r="AJ10" s="19">
        <f t="shared" si="10"/>
        <v>50</v>
      </c>
      <c r="AK10" s="9">
        <v>9</v>
      </c>
      <c r="AL10" s="9">
        <v>5</v>
      </c>
      <c r="AM10" s="19">
        <f t="shared" si="11"/>
        <v>55.555555555555557</v>
      </c>
      <c r="AN10" s="7">
        <v>4</v>
      </c>
      <c r="AO10" s="7">
        <v>0</v>
      </c>
      <c r="AP10" s="19">
        <f t="shared" si="12"/>
        <v>0</v>
      </c>
      <c r="AQ10" s="9">
        <v>9</v>
      </c>
      <c r="AR10" s="9">
        <v>2</v>
      </c>
      <c r="AS10" s="19">
        <f t="shared" si="13"/>
        <v>22.222222222222221</v>
      </c>
      <c r="AT10" s="10">
        <f t="shared" si="14"/>
        <v>28</v>
      </c>
      <c r="AU10" s="10">
        <f t="shared" si="15"/>
        <v>6</v>
      </c>
      <c r="AV10" s="26">
        <f t="shared" si="16"/>
        <v>21.428571428571427</v>
      </c>
      <c r="AW10" s="10">
        <f t="shared" si="17"/>
        <v>51</v>
      </c>
      <c r="AX10" s="10">
        <f t="shared" si="18"/>
        <v>9</v>
      </c>
      <c r="AY10" s="26">
        <f t="shared" si="19"/>
        <v>17.647058823529413</v>
      </c>
      <c r="AZ10" s="10">
        <f t="shared" si="20"/>
        <v>79</v>
      </c>
      <c r="BA10" s="10">
        <f t="shared" si="21"/>
        <v>15</v>
      </c>
      <c r="BB10" s="27">
        <f t="shared" si="22"/>
        <v>18.9873417721519</v>
      </c>
    </row>
    <row r="11" spans="1:54">
      <c r="A11" s="12">
        <v>5</v>
      </c>
      <c r="B11" s="13">
        <v>1230321002</v>
      </c>
      <c r="C11" s="14" t="s">
        <v>27</v>
      </c>
      <c r="D11" s="7">
        <v>2</v>
      </c>
      <c r="E11" s="7">
        <v>0</v>
      </c>
      <c r="F11" s="19">
        <f t="shared" si="0"/>
        <v>0</v>
      </c>
      <c r="G11" s="9">
        <v>4</v>
      </c>
      <c r="H11" s="9">
        <v>2</v>
      </c>
      <c r="I11" s="19">
        <f t="shared" si="1"/>
        <v>50</v>
      </c>
      <c r="J11" s="7">
        <v>4</v>
      </c>
      <c r="K11" s="7">
        <v>2</v>
      </c>
      <c r="L11" s="19">
        <f t="shared" si="2"/>
        <v>50</v>
      </c>
      <c r="M11" s="9">
        <v>11</v>
      </c>
      <c r="N11" s="9">
        <v>5</v>
      </c>
      <c r="O11" s="19">
        <f t="shared" si="3"/>
        <v>45.454545454545453</v>
      </c>
      <c r="P11" s="7">
        <v>10</v>
      </c>
      <c r="Q11" s="7">
        <v>6</v>
      </c>
      <c r="R11" s="19">
        <f t="shared" si="4"/>
        <v>60</v>
      </c>
      <c r="S11" s="9">
        <v>5</v>
      </c>
      <c r="T11" s="9">
        <v>3</v>
      </c>
      <c r="U11" s="19">
        <f t="shared" si="5"/>
        <v>60</v>
      </c>
      <c r="V11" s="7">
        <v>2</v>
      </c>
      <c r="W11" s="7">
        <v>1</v>
      </c>
      <c r="X11" s="19">
        <f t="shared" si="6"/>
        <v>50</v>
      </c>
      <c r="Y11" s="9">
        <v>6</v>
      </c>
      <c r="Z11" s="9">
        <v>2</v>
      </c>
      <c r="AA11" s="19">
        <f t="shared" si="7"/>
        <v>33.333333333333329</v>
      </c>
      <c r="AB11" s="7">
        <v>2</v>
      </c>
      <c r="AC11" s="7">
        <v>2</v>
      </c>
      <c r="AD11" s="19">
        <f t="shared" si="8"/>
        <v>100</v>
      </c>
      <c r="AE11" s="9">
        <v>7</v>
      </c>
      <c r="AF11" s="9">
        <v>7</v>
      </c>
      <c r="AG11" s="19">
        <f t="shared" si="9"/>
        <v>100</v>
      </c>
      <c r="AH11" s="7">
        <v>4</v>
      </c>
      <c r="AI11" s="7">
        <v>4</v>
      </c>
      <c r="AJ11" s="19">
        <f t="shared" si="10"/>
        <v>100</v>
      </c>
      <c r="AK11" s="9">
        <v>9</v>
      </c>
      <c r="AL11" s="9">
        <v>8</v>
      </c>
      <c r="AM11" s="19">
        <f t="shared" si="11"/>
        <v>88.888888888888886</v>
      </c>
      <c r="AN11" s="7">
        <v>4</v>
      </c>
      <c r="AO11" s="7">
        <v>4</v>
      </c>
      <c r="AP11" s="19">
        <f t="shared" si="12"/>
        <v>100</v>
      </c>
      <c r="AQ11" s="9">
        <v>8</v>
      </c>
      <c r="AR11" s="9">
        <v>6</v>
      </c>
      <c r="AS11" s="19">
        <f t="shared" si="13"/>
        <v>75</v>
      </c>
      <c r="AT11" s="10">
        <f t="shared" si="14"/>
        <v>28</v>
      </c>
      <c r="AU11" s="10">
        <f t="shared" si="15"/>
        <v>19</v>
      </c>
      <c r="AV11" s="26">
        <f t="shared" si="16"/>
        <v>67.857142857142861</v>
      </c>
      <c r="AW11" s="10">
        <f t="shared" si="17"/>
        <v>50</v>
      </c>
      <c r="AX11" s="10">
        <f t="shared" si="18"/>
        <v>33</v>
      </c>
      <c r="AY11" s="26">
        <f t="shared" si="19"/>
        <v>66</v>
      </c>
      <c r="AZ11" s="10">
        <f t="shared" si="20"/>
        <v>78</v>
      </c>
      <c r="BA11" s="10">
        <f t="shared" si="21"/>
        <v>52</v>
      </c>
      <c r="BB11" s="27">
        <f t="shared" si="22"/>
        <v>66.666666666666657</v>
      </c>
    </row>
    <row r="12" spans="1:54">
      <c r="A12" s="12">
        <v>6</v>
      </c>
      <c r="B12" s="13">
        <v>1230321003</v>
      </c>
      <c r="C12" s="14" t="s">
        <v>28</v>
      </c>
      <c r="D12" s="7">
        <v>2</v>
      </c>
      <c r="E12" s="7">
        <v>0</v>
      </c>
      <c r="F12" s="19">
        <f t="shared" si="0"/>
        <v>0</v>
      </c>
      <c r="G12" s="9">
        <v>4</v>
      </c>
      <c r="H12" s="9">
        <v>0</v>
      </c>
      <c r="I12" s="19">
        <f t="shared" si="1"/>
        <v>0</v>
      </c>
      <c r="J12" s="7">
        <v>4</v>
      </c>
      <c r="K12" s="7">
        <v>1</v>
      </c>
      <c r="L12" s="19">
        <f t="shared" si="2"/>
        <v>25</v>
      </c>
      <c r="M12" s="9">
        <v>11</v>
      </c>
      <c r="N12" s="9">
        <v>2</v>
      </c>
      <c r="O12" s="19">
        <f t="shared" si="3"/>
        <v>18.181818181818183</v>
      </c>
      <c r="P12" s="7">
        <v>10</v>
      </c>
      <c r="Q12" s="7">
        <v>6</v>
      </c>
      <c r="R12" s="19">
        <f t="shared" si="4"/>
        <v>60</v>
      </c>
      <c r="S12" s="9">
        <v>5</v>
      </c>
      <c r="T12" s="9">
        <v>2</v>
      </c>
      <c r="U12" s="19">
        <f t="shared" si="5"/>
        <v>40</v>
      </c>
      <c r="V12" s="7">
        <v>2</v>
      </c>
      <c r="W12" s="7">
        <v>1</v>
      </c>
      <c r="X12" s="19">
        <f t="shared" si="6"/>
        <v>50</v>
      </c>
      <c r="Y12" s="9">
        <v>6</v>
      </c>
      <c r="Z12" s="9">
        <v>3</v>
      </c>
      <c r="AA12" s="19">
        <f t="shared" si="7"/>
        <v>50</v>
      </c>
      <c r="AB12" s="7">
        <v>2</v>
      </c>
      <c r="AC12" s="7">
        <v>2</v>
      </c>
      <c r="AD12" s="19">
        <f t="shared" si="8"/>
        <v>100</v>
      </c>
      <c r="AE12" s="9">
        <v>7</v>
      </c>
      <c r="AF12" s="9">
        <v>4</v>
      </c>
      <c r="AG12" s="19">
        <f t="shared" si="9"/>
        <v>57.142857142857139</v>
      </c>
      <c r="AH12" s="7">
        <v>4</v>
      </c>
      <c r="AI12" s="7">
        <v>3</v>
      </c>
      <c r="AJ12" s="19">
        <f t="shared" si="10"/>
        <v>75</v>
      </c>
      <c r="AK12" s="9">
        <v>9</v>
      </c>
      <c r="AL12" s="9">
        <v>4</v>
      </c>
      <c r="AM12" s="19">
        <f t="shared" si="11"/>
        <v>44.444444444444443</v>
      </c>
      <c r="AN12" s="7">
        <v>4</v>
      </c>
      <c r="AO12" s="7">
        <v>3</v>
      </c>
      <c r="AP12" s="19">
        <f t="shared" si="12"/>
        <v>75</v>
      </c>
      <c r="AQ12" s="9">
        <v>8</v>
      </c>
      <c r="AR12" s="9">
        <v>3</v>
      </c>
      <c r="AS12" s="19">
        <f t="shared" si="13"/>
        <v>37.5</v>
      </c>
      <c r="AT12" s="10">
        <f t="shared" si="14"/>
        <v>28</v>
      </c>
      <c r="AU12" s="10">
        <f t="shared" si="15"/>
        <v>16</v>
      </c>
      <c r="AV12" s="26">
        <f t="shared" si="16"/>
        <v>57.142857142857139</v>
      </c>
      <c r="AW12" s="10">
        <f t="shared" si="17"/>
        <v>50</v>
      </c>
      <c r="AX12" s="10">
        <f t="shared" si="18"/>
        <v>18</v>
      </c>
      <c r="AY12" s="26">
        <f t="shared" si="19"/>
        <v>36</v>
      </c>
      <c r="AZ12" s="10">
        <f t="shared" si="20"/>
        <v>78</v>
      </c>
      <c r="BA12" s="10">
        <f t="shared" si="21"/>
        <v>34</v>
      </c>
      <c r="BB12" s="27">
        <f t="shared" si="22"/>
        <v>43.589743589743591</v>
      </c>
    </row>
    <row r="13" spans="1:54">
      <c r="A13" s="12">
        <v>7</v>
      </c>
      <c r="B13" s="13">
        <v>1230321004</v>
      </c>
      <c r="C13" s="14" t="s">
        <v>29</v>
      </c>
      <c r="D13" s="7">
        <v>2</v>
      </c>
      <c r="E13" s="7">
        <v>0</v>
      </c>
      <c r="F13" s="19">
        <f t="shared" si="0"/>
        <v>0</v>
      </c>
      <c r="G13" s="9">
        <v>4</v>
      </c>
      <c r="H13" s="9">
        <v>0</v>
      </c>
      <c r="I13" s="19">
        <f t="shared" si="1"/>
        <v>0</v>
      </c>
      <c r="J13" s="7">
        <v>4</v>
      </c>
      <c r="K13" s="7">
        <v>1</v>
      </c>
      <c r="L13" s="19">
        <f t="shared" si="2"/>
        <v>25</v>
      </c>
      <c r="M13" s="9">
        <v>11</v>
      </c>
      <c r="N13" s="9">
        <v>4</v>
      </c>
      <c r="O13" s="19">
        <f t="shared" si="3"/>
        <v>36.363636363636367</v>
      </c>
      <c r="P13" s="7">
        <v>10</v>
      </c>
      <c r="Q13" s="7">
        <v>5</v>
      </c>
      <c r="R13" s="19">
        <f t="shared" si="4"/>
        <v>50</v>
      </c>
      <c r="S13" s="9">
        <v>5</v>
      </c>
      <c r="T13" s="9">
        <v>0</v>
      </c>
      <c r="U13" s="19">
        <f t="shared" si="5"/>
        <v>0</v>
      </c>
      <c r="V13" s="7">
        <v>2</v>
      </c>
      <c r="W13" s="7">
        <v>1</v>
      </c>
      <c r="X13" s="19">
        <f t="shared" si="6"/>
        <v>50</v>
      </c>
      <c r="Y13" s="9">
        <v>6</v>
      </c>
      <c r="Z13" s="9">
        <v>3</v>
      </c>
      <c r="AA13" s="19">
        <f t="shared" si="7"/>
        <v>50</v>
      </c>
      <c r="AB13" s="7">
        <v>2</v>
      </c>
      <c r="AC13" s="7">
        <v>1</v>
      </c>
      <c r="AD13" s="19">
        <f t="shared" si="8"/>
        <v>50</v>
      </c>
      <c r="AE13" s="9">
        <v>7</v>
      </c>
      <c r="AF13" s="9">
        <v>4</v>
      </c>
      <c r="AG13" s="19">
        <f t="shared" si="9"/>
        <v>57.142857142857139</v>
      </c>
      <c r="AH13" s="7">
        <v>4</v>
      </c>
      <c r="AI13" s="7">
        <v>0</v>
      </c>
      <c r="AJ13" s="19">
        <f t="shared" si="10"/>
        <v>0</v>
      </c>
      <c r="AK13" s="9">
        <v>9</v>
      </c>
      <c r="AL13" s="9">
        <v>5</v>
      </c>
      <c r="AM13" s="19">
        <f t="shared" si="11"/>
        <v>55.555555555555557</v>
      </c>
      <c r="AN13" s="7">
        <v>4</v>
      </c>
      <c r="AO13" s="7">
        <v>4</v>
      </c>
      <c r="AP13" s="19">
        <f t="shared" si="12"/>
        <v>100</v>
      </c>
      <c r="AQ13" s="9">
        <v>8</v>
      </c>
      <c r="AR13" s="9">
        <v>7</v>
      </c>
      <c r="AS13" s="19">
        <f t="shared" si="13"/>
        <v>87.5</v>
      </c>
      <c r="AT13" s="10">
        <f t="shared" si="14"/>
        <v>28</v>
      </c>
      <c r="AU13" s="10">
        <f t="shared" si="15"/>
        <v>12</v>
      </c>
      <c r="AV13" s="26">
        <f t="shared" si="16"/>
        <v>42.857142857142854</v>
      </c>
      <c r="AW13" s="10">
        <f t="shared" si="17"/>
        <v>50</v>
      </c>
      <c r="AX13" s="10">
        <f t="shared" si="18"/>
        <v>23</v>
      </c>
      <c r="AY13" s="26">
        <f t="shared" si="19"/>
        <v>46</v>
      </c>
      <c r="AZ13" s="10">
        <f t="shared" si="20"/>
        <v>78</v>
      </c>
      <c r="BA13" s="10">
        <f t="shared" si="21"/>
        <v>35</v>
      </c>
      <c r="BB13" s="27">
        <f t="shared" si="22"/>
        <v>44.871794871794876</v>
      </c>
    </row>
    <row r="14" spans="1:54">
      <c r="A14" s="12">
        <v>8</v>
      </c>
      <c r="B14" s="13">
        <v>1230321005</v>
      </c>
      <c r="C14" s="14" t="s">
        <v>30</v>
      </c>
      <c r="D14" s="7">
        <v>2</v>
      </c>
      <c r="E14" s="7">
        <v>0</v>
      </c>
      <c r="F14" s="19">
        <f t="shared" si="0"/>
        <v>0</v>
      </c>
      <c r="G14" s="9">
        <v>4</v>
      </c>
      <c r="H14" s="9">
        <v>2</v>
      </c>
      <c r="I14" s="19">
        <f t="shared" si="1"/>
        <v>50</v>
      </c>
      <c r="J14" s="7">
        <v>4</v>
      </c>
      <c r="K14" s="7">
        <v>3</v>
      </c>
      <c r="L14" s="19">
        <f t="shared" si="2"/>
        <v>75</v>
      </c>
      <c r="M14" s="9">
        <v>11</v>
      </c>
      <c r="N14" s="9">
        <v>7</v>
      </c>
      <c r="O14" s="19">
        <f t="shared" si="3"/>
        <v>63.636363636363633</v>
      </c>
      <c r="P14" s="7">
        <v>10</v>
      </c>
      <c r="Q14" s="7">
        <v>8</v>
      </c>
      <c r="R14" s="19">
        <f t="shared" si="4"/>
        <v>80</v>
      </c>
      <c r="S14" s="9">
        <v>5</v>
      </c>
      <c r="T14" s="9">
        <v>3</v>
      </c>
      <c r="U14" s="19">
        <f t="shared" si="5"/>
        <v>60</v>
      </c>
      <c r="V14" s="7">
        <v>2</v>
      </c>
      <c r="W14" s="7">
        <v>2</v>
      </c>
      <c r="X14" s="19">
        <f t="shared" si="6"/>
        <v>100</v>
      </c>
      <c r="Y14" s="9">
        <v>6</v>
      </c>
      <c r="Z14" s="9">
        <v>3</v>
      </c>
      <c r="AA14" s="19">
        <f t="shared" si="7"/>
        <v>50</v>
      </c>
      <c r="AB14" s="7">
        <v>2</v>
      </c>
      <c r="AC14" s="7">
        <v>2</v>
      </c>
      <c r="AD14" s="19">
        <f t="shared" si="8"/>
        <v>100</v>
      </c>
      <c r="AE14" s="9">
        <v>7</v>
      </c>
      <c r="AF14" s="9">
        <v>5</v>
      </c>
      <c r="AG14" s="19">
        <f t="shared" si="9"/>
        <v>71.428571428571431</v>
      </c>
      <c r="AH14" s="7">
        <v>4</v>
      </c>
      <c r="AI14" s="7">
        <v>3</v>
      </c>
      <c r="AJ14" s="19">
        <f t="shared" si="10"/>
        <v>75</v>
      </c>
      <c r="AK14" s="9">
        <v>9</v>
      </c>
      <c r="AL14" s="9">
        <v>6</v>
      </c>
      <c r="AM14" s="19">
        <f t="shared" si="11"/>
        <v>66.666666666666657</v>
      </c>
      <c r="AN14" s="7">
        <v>4</v>
      </c>
      <c r="AO14" s="7">
        <v>4</v>
      </c>
      <c r="AP14" s="19">
        <f t="shared" si="12"/>
        <v>100</v>
      </c>
      <c r="AQ14" s="9">
        <v>8</v>
      </c>
      <c r="AR14" s="9">
        <v>7</v>
      </c>
      <c r="AS14" s="19">
        <f t="shared" si="13"/>
        <v>87.5</v>
      </c>
      <c r="AT14" s="10">
        <f t="shared" si="14"/>
        <v>28</v>
      </c>
      <c r="AU14" s="10">
        <f t="shared" si="15"/>
        <v>22</v>
      </c>
      <c r="AV14" s="26">
        <f t="shared" si="16"/>
        <v>78.571428571428569</v>
      </c>
      <c r="AW14" s="10">
        <f t="shared" si="17"/>
        <v>50</v>
      </c>
      <c r="AX14" s="10">
        <f t="shared" si="18"/>
        <v>33</v>
      </c>
      <c r="AY14" s="26">
        <f t="shared" si="19"/>
        <v>66</v>
      </c>
      <c r="AZ14" s="10">
        <f t="shared" si="20"/>
        <v>78</v>
      </c>
      <c r="BA14" s="10">
        <f t="shared" si="21"/>
        <v>55</v>
      </c>
      <c r="BB14" s="27">
        <f t="shared" si="22"/>
        <v>70.512820512820511</v>
      </c>
    </row>
    <row r="15" spans="1:54">
      <c r="A15" s="12">
        <v>9</v>
      </c>
      <c r="B15" s="13">
        <v>1230321006</v>
      </c>
      <c r="C15" s="14" t="s">
        <v>31</v>
      </c>
      <c r="D15" s="7">
        <v>2</v>
      </c>
      <c r="E15" s="7">
        <v>0</v>
      </c>
      <c r="F15" s="19">
        <f t="shared" si="0"/>
        <v>0</v>
      </c>
      <c r="G15" s="9">
        <v>4</v>
      </c>
      <c r="H15" s="9">
        <v>1</v>
      </c>
      <c r="I15" s="19">
        <f t="shared" si="1"/>
        <v>25</v>
      </c>
      <c r="J15" s="7">
        <v>4</v>
      </c>
      <c r="K15" s="7">
        <v>4</v>
      </c>
      <c r="L15" s="19">
        <f t="shared" si="2"/>
        <v>100</v>
      </c>
      <c r="M15" s="9">
        <v>11</v>
      </c>
      <c r="N15" s="9">
        <v>4</v>
      </c>
      <c r="O15" s="19">
        <f t="shared" si="3"/>
        <v>36.363636363636367</v>
      </c>
      <c r="P15" s="7">
        <v>10</v>
      </c>
      <c r="Q15" s="7">
        <v>5</v>
      </c>
      <c r="R15" s="19">
        <f t="shared" si="4"/>
        <v>50</v>
      </c>
      <c r="S15" s="9">
        <v>5</v>
      </c>
      <c r="T15" s="9">
        <v>2</v>
      </c>
      <c r="U15" s="19">
        <f t="shared" si="5"/>
        <v>40</v>
      </c>
      <c r="V15" s="7">
        <v>2</v>
      </c>
      <c r="W15" s="7">
        <v>2</v>
      </c>
      <c r="X15" s="19">
        <f t="shared" si="6"/>
        <v>100</v>
      </c>
      <c r="Y15" s="9">
        <v>6</v>
      </c>
      <c r="Z15" s="9">
        <v>5</v>
      </c>
      <c r="AA15" s="19">
        <f t="shared" si="7"/>
        <v>83.333333333333343</v>
      </c>
      <c r="AB15" s="7">
        <v>2</v>
      </c>
      <c r="AC15" s="7">
        <v>2</v>
      </c>
      <c r="AD15" s="19">
        <f t="shared" si="8"/>
        <v>100</v>
      </c>
      <c r="AE15" s="9">
        <v>7</v>
      </c>
      <c r="AF15" s="9">
        <v>6</v>
      </c>
      <c r="AG15" s="19">
        <f t="shared" si="9"/>
        <v>85.714285714285708</v>
      </c>
      <c r="AH15" s="7">
        <v>4</v>
      </c>
      <c r="AI15" s="7">
        <v>2</v>
      </c>
      <c r="AJ15" s="19">
        <f t="shared" si="10"/>
        <v>50</v>
      </c>
      <c r="AK15" s="9">
        <v>9</v>
      </c>
      <c r="AL15" s="9">
        <v>6</v>
      </c>
      <c r="AM15" s="19">
        <f t="shared" si="11"/>
        <v>66.666666666666657</v>
      </c>
      <c r="AN15" s="7">
        <v>4</v>
      </c>
      <c r="AO15" s="7">
        <v>4</v>
      </c>
      <c r="AP15" s="19">
        <f t="shared" si="12"/>
        <v>100</v>
      </c>
      <c r="AQ15" s="9">
        <v>8</v>
      </c>
      <c r="AR15" s="9">
        <v>7</v>
      </c>
      <c r="AS15" s="19">
        <f t="shared" si="13"/>
        <v>87.5</v>
      </c>
      <c r="AT15" s="10">
        <f t="shared" si="14"/>
        <v>28</v>
      </c>
      <c r="AU15" s="10">
        <f t="shared" si="15"/>
        <v>19</v>
      </c>
      <c r="AV15" s="26">
        <f t="shared" si="16"/>
        <v>67.857142857142861</v>
      </c>
      <c r="AW15" s="10">
        <f t="shared" si="17"/>
        <v>50</v>
      </c>
      <c r="AX15" s="10">
        <f t="shared" si="18"/>
        <v>31</v>
      </c>
      <c r="AY15" s="26">
        <f t="shared" si="19"/>
        <v>62</v>
      </c>
      <c r="AZ15" s="10">
        <f t="shared" si="20"/>
        <v>78</v>
      </c>
      <c r="BA15" s="10">
        <f t="shared" si="21"/>
        <v>50</v>
      </c>
      <c r="BB15" s="27">
        <f t="shared" si="22"/>
        <v>64.102564102564102</v>
      </c>
    </row>
    <row r="16" spans="1:54">
      <c r="A16" s="12">
        <v>10</v>
      </c>
      <c r="B16" s="13">
        <v>1230321007</v>
      </c>
      <c r="C16" s="14" t="s">
        <v>32</v>
      </c>
      <c r="D16" s="7">
        <v>2</v>
      </c>
      <c r="E16" s="10">
        <v>0</v>
      </c>
      <c r="F16" s="19">
        <f t="shared" si="0"/>
        <v>0</v>
      </c>
      <c r="G16" s="9">
        <v>4</v>
      </c>
      <c r="H16" s="9">
        <v>2</v>
      </c>
      <c r="I16" s="19">
        <f t="shared" si="1"/>
        <v>50</v>
      </c>
      <c r="J16" s="7">
        <v>4</v>
      </c>
      <c r="K16" s="10">
        <v>2</v>
      </c>
      <c r="L16" s="19">
        <f t="shared" si="2"/>
        <v>50</v>
      </c>
      <c r="M16" s="9">
        <v>11</v>
      </c>
      <c r="N16" s="9">
        <v>4</v>
      </c>
      <c r="O16" s="19">
        <f t="shared" si="3"/>
        <v>36.363636363636367</v>
      </c>
      <c r="P16" s="7">
        <v>10</v>
      </c>
      <c r="Q16" s="10">
        <v>8</v>
      </c>
      <c r="R16" s="19">
        <f t="shared" si="4"/>
        <v>80</v>
      </c>
      <c r="S16" s="9">
        <v>5</v>
      </c>
      <c r="T16" s="9">
        <v>4</v>
      </c>
      <c r="U16" s="19">
        <f t="shared" si="5"/>
        <v>80</v>
      </c>
      <c r="V16" s="7">
        <v>2</v>
      </c>
      <c r="W16" s="10">
        <v>2</v>
      </c>
      <c r="X16" s="19">
        <f t="shared" si="6"/>
        <v>100</v>
      </c>
      <c r="Y16" s="9">
        <v>6</v>
      </c>
      <c r="Z16" s="9">
        <v>6</v>
      </c>
      <c r="AA16" s="19">
        <f t="shared" si="7"/>
        <v>100</v>
      </c>
      <c r="AB16" s="7">
        <v>2</v>
      </c>
      <c r="AC16" s="10">
        <v>2</v>
      </c>
      <c r="AD16" s="19">
        <f t="shared" si="8"/>
        <v>100</v>
      </c>
      <c r="AE16" s="9">
        <v>7</v>
      </c>
      <c r="AF16" s="9">
        <v>6</v>
      </c>
      <c r="AG16" s="19">
        <f t="shared" si="9"/>
        <v>85.714285714285708</v>
      </c>
      <c r="AH16" s="7">
        <v>4</v>
      </c>
      <c r="AI16" s="10">
        <v>1</v>
      </c>
      <c r="AJ16" s="19">
        <f t="shared" si="10"/>
        <v>25</v>
      </c>
      <c r="AK16" s="9">
        <v>9</v>
      </c>
      <c r="AL16" s="9">
        <v>5</v>
      </c>
      <c r="AM16" s="19">
        <f t="shared" si="11"/>
        <v>55.555555555555557</v>
      </c>
      <c r="AN16" s="7">
        <v>4</v>
      </c>
      <c r="AO16" s="7">
        <v>4</v>
      </c>
      <c r="AP16" s="19">
        <f t="shared" si="12"/>
        <v>100</v>
      </c>
      <c r="AQ16" s="9">
        <v>8</v>
      </c>
      <c r="AR16" s="9">
        <v>8</v>
      </c>
      <c r="AS16" s="19">
        <f t="shared" si="13"/>
        <v>100</v>
      </c>
      <c r="AT16" s="10">
        <f t="shared" si="14"/>
        <v>28</v>
      </c>
      <c r="AU16" s="10">
        <f t="shared" si="15"/>
        <v>19</v>
      </c>
      <c r="AV16" s="26">
        <f t="shared" si="16"/>
        <v>67.857142857142861</v>
      </c>
      <c r="AW16" s="10">
        <f t="shared" si="17"/>
        <v>50</v>
      </c>
      <c r="AX16" s="10">
        <f t="shared" si="18"/>
        <v>35</v>
      </c>
      <c r="AY16" s="26">
        <f t="shared" si="19"/>
        <v>70</v>
      </c>
      <c r="AZ16" s="10">
        <f t="shared" si="20"/>
        <v>78</v>
      </c>
      <c r="BA16" s="10">
        <f t="shared" si="21"/>
        <v>54</v>
      </c>
      <c r="BB16" s="27">
        <f t="shared" si="22"/>
        <v>69.230769230769226</v>
      </c>
    </row>
    <row r="17" spans="1:54">
      <c r="A17" s="12">
        <v>11</v>
      </c>
      <c r="B17" s="13">
        <v>1230321008</v>
      </c>
      <c r="C17" s="14" t="s">
        <v>33</v>
      </c>
      <c r="D17" s="7">
        <v>2</v>
      </c>
      <c r="E17" s="7">
        <v>0</v>
      </c>
      <c r="F17" s="19">
        <f t="shared" si="0"/>
        <v>0</v>
      </c>
      <c r="G17" s="9">
        <v>4</v>
      </c>
      <c r="H17" s="9">
        <v>1</v>
      </c>
      <c r="I17" s="19">
        <f t="shared" si="1"/>
        <v>25</v>
      </c>
      <c r="J17" s="7">
        <v>4</v>
      </c>
      <c r="K17" s="7">
        <v>1</v>
      </c>
      <c r="L17" s="19">
        <f t="shared" si="2"/>
        <v>25</v>
      </c>
      <c r="M17" s="9">
        <v>11</v>
      </c>
      <c r="N17" s="9">
        <v>2</v>
      </c>
      <c r="O17" s="19">
        <f t="shared" si="3"/>
        <v>18.181818181818183</v>
      </c>
      <c r="P17" s="7">
        <v>10</v>
      </c>
      <c r="Q17" s="7">
        <v>5</v>
      </c>
      <c r="R17" s="19">
        <f t="shared" si="4"/>
        <v>50</v>
      </c>
      <c r="S17" s="9">
        <v>5</v>
      </c>
      <c r="T17" s="9">
        <v>2</v>
      </c>
      <c r="U17" s="19">
        <f t="shared" si="5"/>
        <v>40</v>
      </c>
      <c r="V17" s="7">
        <v>2</v>
      </c>
      <c r="W17" s="7">
        <v>1</v>
      </c>
      <c r="X17" s="19">
        <f t="shared" si="6"/>
        <v>50</v>
      </c>
      <c r="Y17" s="9">
        <v>6</v>
      </c>
      <c r="Z17" s="9">
        <v>3</v>
      </c>
      <c r="AA17" s="19">
        <f t="shared" si="7"/>
        <v>50</v>
      </c>
      <c r="AB17" s="7">
        <v>2</v>
      </c>
      <c r="AC17" s="7">
        <v>2</v>
      </c>
      <c r="AD17" s="19">
        <f t="shared" si="8"/>
        <v>100</v>
      </c>
      <c r="AE17" s="9">
        <v>7</v>
      </c>
      <c r="AF17" s="9">
        <v>2</v>
      </c>
      <c r="AG17" s="19">
        <f t="shared" si="9"/>
        <v>28.571428571428569</v>
      </c>
      <c r="AH17" s="7">
        <v>4</v>
      </c>
      <c r="AI17" s="7">
        <v>2</v>
      </c>
      <c r="AJ17" s="19">
        <f t="shared" si="10"/>
        <v>50</v>
      </c>
      <c r="AK17" s="9">
        <v>9</v>
      </c>
      <c r="AL17" s="9">
        <v>3</v>
      </c>
      <c r="AM17" s="19">
        <f t="shared" si="11"/>
        <v>33.333333333333329</v>
      </c>
      <c r="AN17" s="7">
        <v>4</v>
      </c>
      <c r="AO17" s="7">
        <v>3</v>
      </c>
      <c r="AP17" s="19">
        <f t="shared" si="12"/>
        <v>75</v>
      </c>
      <c r="AQ17" s="9">
        <v>8</v>
      </c>
      <c r="AR17" s="9">
        <v>7</v>
      </c>
      <c r="AS17" s="19">
        <f t="shared" si="13"/>
        <v>87.5</v>
      </c>
      <c r="AT17" s="10">
        <f t="shared" si="14"/>
        <v>28</v>
      </c>
      <c r="AU17" s="10">
        <f t="shared" si="15"/>
        <v>14</v>
      </c>
      <c r="AV17" s="26">
        <f t="shared" si="16"/>
        <v>50</v>
      </c>
      <c r="AW17" s="10">
        <f t="shared" si="17"/>
        <v>50</v>
      </c>
      <c r="AX17" s="10">
        <f t="shared" si="18"/>
        <v>20</v>
      </c>
      <c r="AY17" s="26">
        <f t="shared" si="19"/>
        <v>40</v>
      </c>
      <c r="AZ17" s="10">
        <f t="shared" si="20"/>
        <v>78</v>
      </c>
      <c r="BA17" s="10">
        <f t="shared" si="21"/>
        <v>34</v>
      </c>
      <c r="BB17" s="27">
        <f t="shared" si="22"/>
        <v>43.589743589743591</v>
      </c>
    </row>
    <row r="18" spans="1:54">
      <c r="A18" s="12">
        <v>12</v>
      </c>
      <c r="B18" s="13">
        <v>1230321009</v>
      </c>
      <c r="C18" s="14" t="s">
        <v>34</v>
      </c>
      <c r="D18" s="7">
        <v>2</v>
      </c>
      <c r="E18" s="7">
        <v>0</v>
      </c>
      <c r="F18" s="19">
        <f t="shared" si="0"/>
        <v>0</v>
      </c>
      <c r="G18" s="9">
        <v>4</v>
      </c>
      <c r="H18" s="9">
        <v>0</v>
      </c>
      <c r="I18" s="19">
        <f t="shared" si="1"/>
        <v>0</v>
      </c>
      <c r="J18" s="7">
        <v>4</v>
      </c>
      <c r="K18" s="7">
        <v>1</v>
      </c>
      <c r="L18" s="19">
        <f t="shared" si="2"/>
        <v>25</v>
      </c>
      <c r="M18" s="9">
        <v>11</v>
      </c>
      <c r="N18" s="9">
        <v>2</v>
      </c>
      <c r="O18" s="19">
        <f t="shared" si="3"/>
        <v>18.181818181818183</v>
      </c>
      <c r="P18" s="7">
        <v>10</v>
      </c>
      <c r="Q18" s="7">
        <v>5</v>
      </c>
      <c r="R18" s="19">
        <f t="shared" si="4"/>
        <v>50</v>
      </c>
      <c r="S18" s="9">
        <v>5</v>
      </c>
      <c r="T18" s="9">
        <v>1</v>
      </c>
      <c r="U18" s="19">
        <f t="shared" si="5"/>
        <v>20</v>
      </c>
      <c r="V18" s="7">
        <v>2</v>
      </c>
      <c r="W18" s="7">
        <v>0</v>
      </c>
      <c r="X18" s="19">
        <f t="shared" si="6"/>
        <v>0</v>
      </c>
      <c r="Y18" s="9">
        <v>6</v>
      </c>
      <c r="Z18" s="9">
        <v>0</v>
      </c>
      <c r="AA18" s="19">
        <f t="shared" si="7"/>
        <v>0</v>
      </c>
      <c r="AB18" s="7">
        <v>2</v>
      </c>
      <c r="AC18" s="7">
        <v>1</v>
      </c>
      <c r="AD18" s="19">
        <f t="shared" si="8"/>
        <v>50</v>
      </c>
      <c r="AE18" s="9">
        <v>7</v>
      </c>
      <c r="AF18" s="9">
        <v>3</v>
      </c>
      <c r="AG18" s="19">
        <f t="shared" si="9"/>
        <v>42.857142857142854</v>
      </c>
      <c r="AH18" s="7">
        <v>4</v>
      </c>
      <c r="AI18" s="7">
        <v>2</v>
      </c>
      <c r="AJ18" s="19">
        <f t="shared" si="10"/>
        <v>50</v>
      </c>
      <c r="AK18" s="9">
        <v>9</v>
      </c>
      <c r="AL18" s="9">
        <v>2</v>
      </c>
      <c r="AM18" s="19">
        <f t="shared" si="11"/>
        <v>22.222222222222221</v>
      </c>
      <c r="AN18" s="7">
        <v>4</v>
      </c>
      <c r="AO18" s="7">
        <v>2</v>
      </c>
      <c r="AP18" s="19">
        <f t="shared" si="12"/>
        <v>50</v>
      </c>
      <c r="AQ18" s="9">
        <v>8</v>
      </c>
      <c r="AR18" s="9">
        <v>2</v>
      </c>
      <c r="AS18" s="19">
        <f t="shared" si="13"/>
        <v>25</v>
      </c>
      <c r="AT18" s="10">
        <f t="shared" si="14"/>
        <v>28</v>
      </c>
      <c r="AU18" s="10">
        <f t="shared" si="15"/>
        <v>11</v>
      </c>
      <c r="AV18" s="26">
        <f t="shared" si="16"/>
        <v>39.285714285714285</v>
      </c>
      <c r="AW18" s="10">
        <f t="shared" si="17"/>
        <v>50</v>
      </c>
      <c r="AX18" s="10">
        <f t="shared" si="18"/>
        <v>10</v>
      </c>
      <c r="AY18" s="26">
        <f t="shared" si="19"/>
        <v>20</v>
      </c>
      <c r="AZ18" s="10">
        <f t="shared" si="20"/>
        <v>78</v>
      </c>
      <c r="BA18" s="10">
        <f t="shared" si="21"/>
        <v>21</v>
      </c>
      <c r="BB18" s="27">
        <f t="shared" si="22"/>
        <v>26.923076923076923</v>
      </c>
    </row>
    <row r="19" spans="1:54">
      <c r="A19" s="12">
        <v>13</v>
      </c>
      <c r="B19" s="13">
        <v>1230321010</v>
      </c>
      <c r="C19" s="14" t="s">
        <v>35</v>
      </c>
      <c r="D19" s="7">
        <v>2</v>
      </c>
      <c r="E19" s="7">
        <v>0</v>
      </c>
      <c r="F19" s="19">
        <f t="shared" si="0"/>
        <v>0</v>
      </c>
      <c r="G19" s="9">
        <v>4</v>
      </c>
      <c r="H19" s="9">
        <v>2</v>
      </c>
      <c r="I19" s="19">
        <f t="shared" si="1"/>
        <v>50</v>
      </c>
      <c r="J19" s="7">
        <v>4</v>
      </c>
      <c r="K19" s="7">
        <v>3</v>
      </c>
      <c r="L19" s="19">
        <f t="shared" si="2"/>
        <v>75</v>
      </c>
      <c r="M19" s="9">
        <v>11</v>
      </c>
      <c r="N19" s="9">
        <v>2</v>
      </c>
      <c r="O19" s="19">
        <f t="shared" si="3"/>
        <v>18.181818181818183</v>
      </c>
      <c r="P19" s="7">
        <v>10</v>
      </c>
      <c r="Q19" s="7">
        <v>7</v>
      </c>
      <c r="R19" s="19">
        <f t="shared" si="4"/>
        <v>70</v>
      </c>
      <c r="S19" s="9">
        <v>5</v>
      </c>
      <c r="T19" s="9">
        <v>4</v>
      </c>
      <c r="U19" s="19">
        <f t="shared" si="5"/>
        <v>80</v>
      </c>
      <c r="V19" s="7">
        <v>2</v>
      </c>
      <c r="W19" s="7">
        <v>2</v>
      </c>
      <c r="X19" s="19">
        <f t="shared" si="6"/>
        <v>100</v>
      </c>
      <c r="Y19" s="9">
        <v>6</v>
      </c>
      <c r="Z19" s="9">
        <v>5</v>
      </c>
      <c r="AA19" s="19">
        <f t="shared" si="7"/>
        <v>83.333333333333343</v>
      </c>
      <c r="AB19" s="7">
        <v>2</v>
      </c>
      <c r="AC19" s="7">
        <v>1</v>
      </c>
      <c r="AD19" s="19">
        <f t="shared" si="8"/>
        <v>50</v>
      </c>
      <c r="AE19" s="9">
        <v>7</v>
      </c>
      <c r="AF19" s="9">
        <v>3</v>
      </c>
      <c r="AG19" s="19">
        <f t="shared" si="9"/>
        <v>42.857142857142854</v>
      </c>
      <c r="AH19" s="7">
        <v>4</v>
      </c>
      <c r="AI19" s="7">
        <v>0</v>
      </c>
      <c r="AJ19" s="19">
        <f t="shared" si="10"/>
        <v>0</v>
      </c>
      <c r="AK19" s="9">
        <v>9</v>
      </c>
      <c r="AL19" s="9">
        <v>6</v>
      </c>
      <c r="AM19" s="19">
        <f t="shared" si="11"/>
        <v>66.666666666666657</v>
      </c>
      <c r="AN19" s="7">
        <v>4</v>
      </c>
      <c r="AO19" s="7">
        <v>4</v>
      </c>
      <c r="AP19" s="19">
        <f t="shared" si="12"/>
        <v>100</v>
      </c>
      <c r="AQ19" s="9">
        <v>8</v>
      </c>
      <c r="AR19" s="9">
        <v>7</v>
      </c>
      <c r="AS19" s="19">
        <f t="shared" si="13"/>
        <v>87.5</v>
      </c>
      <c r="AT19" s="10">
        <f t="shared" si="14"/>
        <v>28</v>
      </c>
      <c r="AU19" s="10">
        <f t="shared" si="15"/>
        <v>17</v>
      </c>
      <c r="AV19" s="26">
        <f t="shared" si="16"/>
        <v>60.714285714285708</v>
      </c>
      <c r="AW19" s="10">
        <f t="shared" si="17"/>
        <v>50</v>
      </c>
      <c r="AX19" s="10">
        <f t="shared" si="18"/>
        <v>29</v>
      </c>
      <c r="AY19" s="26">
        <f t="shared" si="19"/>
        <v>57.999999999999993</v>
      </c>
      <c r="AZ19" s="10">
        <f t="shared" si="20"/>
        <v>78</v>
      </c>
      <c r="BA19" s="10">
        <f t="shared" si="21"/>
        <v>46</v>
      </c>
      <c r="BB19" s="27">
        <f t="shared" si="22"/>
        <v>58.974358974358978</v>
      </c>
    </row>
    <row r="20" spans="1:54">
      <c r="A20" s="12">
        <v>14</v>
      </c>
      <c r="B20" s="13">
        <v>1230321011</v>
      </c>
      <c r="C20" s="14" t="s">
        <v>36</v>
      </c>
      <c r="D20" s="7">
        <v>2</v>
      </c>
      <c r="E20" s="7">
        <v>0</v>
      </c>
      <c r="F20" s="19">
        <f t="shared" si="0"/>
        <v>0</v>
      </c>
      <c r="G20" s="9">
        <v>4</v>
      </c>
      <c r="H20" s="9">
        <v>1</v>
      </c>
      <c r="I20" s="19">
        <f t="shared" si="1"/>
        <v>25</v>
      </c>
      <c r="J20" s="7">
        <v>4</v>
      </c>
      <c r="K20" s="7">
        <v>0</v>
      </c>
      <c r="L20" s="19">
        <f t="shared" si="2"/>
        <v>0</v>
      </c>
      <c r="M20" s="9">
        <v>11</v>
      </c>
      <c r="N20" s="9">
        <v>1</v>
      </c>
      <c r="O20" s="19">
        <f t="shared" si="3"/>
        <v>9.0909090909090917</v>
      </c>
      <c r="P20" s="7">
        <v>10</v>
      </c>
      <c r="Q20" s="7">
        <v>2</v>
      </c>
      <c r="R20" s="19">
        <f t="shared" si="4"/>
        <v>20</v>
      </c>
      <c r="S20" s="9">
        <v>5</v>
      </c>
      <c r="T20" s="9">
        <v>3</v>
      </c>
      <c r="U20" s="19">
        <f t="shared" si="5"/>
        <v>60</v>
      </c>
      <c r="V20" s="7">
        <v>2</v>
      </c>
      <c r="W20" s="7">
        <v>1</v>
      </c>
      <c r="X20" s="19">
        <f t="shared" si="6"/>
        <v>50</v>
      </c>
      <c r="Y20" s="9">
        <v>6</v>
      </c>
      <c r="Z20" s="9">
        <v>0</v>
      </c>
      <c r="AA20" s="19">
        <f t="shared" si="7"/>
        <v>0</v>
      </c>
      <c r="AB20" s="7">
        <v>2</v>
      </c>
      <c r="AC20" s="7">
        <v>1</v>
      </c>
      <c r="AD20" s="19">
        <f t="shared" si="8"/>
        <v>50</v>
      </c>
      <c r="AE20" s="9">
        <v>7</v>
      </c>
      <c r="AF20" s="9">
        <v>5</v>
      </c>
      <c r="AG20" s="19">
        <f t="shared" si="9"/>
        <v>71.428571428571431</v>
      </c>
      <c r="AH20" s="7">
        <v>4</v>
      </c>
      <c r="AI20" s="7">
        <v>4</v>
      </c>
      <c r="AJ20" s="19">
        <f t="shared" si="10"/>
        <v>100</v>
      </c>
      <c r="AK20" s="9">
        <v>9</v>
      </c>
      <c r="AL20" s="9">
        <v>4</v>
      </c>
      <c r="AM20" s="19">
        <f t="shared" si="11"/>
        <v>44.444444444444443</v>
      </c>
      <c r="AN20" s="7">
        <v>4</v>
      </c>
      <c r="AO20" s="7">
        <v>3</v>
      </c>
      <c r="AP20" s="19">
        <f t="shared" si="12"/>
        <v>75</v>
      </c>
      <c r="AQ20" s="9">
        <v>8</v>
      </c>
      <c r="AR20" s="9">
        <v>5</v>
      </c>
      <c r="AS20" s="19">
        <f t="shared" si="13"/>
        <v>62.5</v>
      </c>
      <c r="AT20" s="10">
        <f t="shared" si="14"/>
        <v>28</v>
      </c>
      <c r="AU20" s="10">
        <f t="shared" si="15"/>
        <v>11</v>
      </c>
      <c r="AV20" s="26">
        <f t="shared" si="16"/>
        <v>39.285714285714285</v>
      </c>
      <c r="AW20" s="10">
        <f t="shared" si="17"/>
        <v>50</v>
      </c>
      <c r="AX20" s="10">
        <f t="shared" si="18"/>
        <v>19</v>
      </c>
      <c r="AY20" s="26">
        <f t="shared" si="19"/>
        <v>38</v>
      </c>
      <c r="AZ20" s="10">
        <f t="shared" si="20"/>
        <v>78</v>
      </c>
      <c r="BA20" s="10">
        <f t="shared" si="21"/>
        <v>30</v>
      </c>
      <c r="BB20" s="27">
        <f t="shared" si="22"/>
        <v>38.461538461538467</v>
      </c>
    </row>
    <row r="21" spans="1:54">
      <c r="A21" s="12">
        <v>15</v>
      </c>
      <c r="B21" s="13">
        <v>1230321012</v>
      </c>
      <c r="C21" s="14" t="s">
        <v>37</v>
      </c>
      <c r="D21" s="7">
        <v>2</v>
      </c>
      <c r="E21" s="7">
        <v>0</v>
      </c>
      <c r="F21" s="19">
        <f t="shared" si="0"/>
        <v>0</v>
      </c>
      <c r="G21" s="9">
        <v>4</v>
      </c>
      <c r="H21" s="9">
        <v>0</v>
      </c>
      <c r="I21" s="19">
        <f t="shared" si="1"/>
        <v>0</v>
      </c>
      <c r="J21" s="7">
        <v>4</v>
      </c>
      <c r="K21" s="7">
        <v>2</v>
      </c>
      <c r="L21" s="19">
        <f t="shared" si="2"/>
        <v>50</v>
      </c>
      <c r="M21" s="9">
        <v>11</v>
      </c>
      <c r="N21" s="9">
        <v>6</v>
      </c>
      <c r="O21" s="19">
        <f t="shared" si="3"/>
        <v>54.54545454545454</v>
      </c>
      <c r="P21" s="7">
        <v>10</v>
      </c>
      <c r="Q21" s="7">
        <v>7</v>
      </c>
      <c r="R21" s="19">
        <f t="shared" si="4"/>
        <v>70</v>
      </c>
      <c r="S21" s="9">
        <v>5</v>
      </c>
      <c r="T21" s="9">
        <v>3</v>
      </c>
      <c r="U21" s="19">
        <f t="shared" si="5"/>
        <v>60</v>
      </c>
      <c r="V21" s="7">
        <v>2</v>
      </c>
      <c r="W21" s="7">
        <v>1</v>
      </c>
      <c r="X21" s="19">
        <f t="shared" si="6"/>
        <v>50</v>
      </c>
      <c r="Y21" s="9">
        <v>6</v>
      </c>
      <c r="Z21" s="9">
        <v>1</v>
      </c>
      <c r="AA21" s="19">
        <f t="shared" si="7"/>
        <v>16.666666666666664</v>
      </c>
      <c r="AB21" s="7">
        <v>2</v>
      </c>
      <c r="AC21" s="7">
        <v>1</v>
      </c>
      <c r="AD21" s="19">
        <f t="shared" si="8"/>
        <v>50</v>
      </c>
      <c r="AE21" s="9">
        <v>7</v>
      </c>
      <c r="AF21" s="9">
        <v>4</v>
      </c>
      <c r="AG21" s="19">
        <f t="shared" si="9"/>
        <v>57.142857142857139</v>
      </c>
      <c r="AH21" s="7">
        <v>4</v>
      </c>
      <c r="AI21" s="7">
        <v>2</v>
      </c>
      <c r="AJ21" s="19">
        <f t="shared" si="10"/>
        <v>50</v>
      </c>
      <c r="AK21" s="9">
        <v>9</v>
      </c>
      <c r="AL21" s="9">
        <v>2</v>
      </c>
      <c r="AM21" s="19">
        <f t="shared" si="11"/>
        <v>22.222222222222221</v>
      </c>
      <c r="AN21" s="7">
        <v>4</v>
      </c>
      <c r="AO21" s="7">
        <v>4</v>
      </c>
      <c r="AP21" s="19">
        <f t="shared" si="12"/>
        <v>100</v>
      </c>
      <c r="AQ21" s="9">
        <v>8</v>
      </c>
      <c r="AR21" s="9">
        <v>7</v>
      </c>
      <c r="AS21" s="19">
        <f t="shared" si="13"/>
        <v>87.5</v>
      </c>
      <c r="AT21" s="10">
        <f t="shared" si="14"/>
        <v>28</v>
      </c>
      <c r="AU21" s="10">
        <f t="shared" si="15"/>
        <v>17</v>
      </c>
      <c r="AV21" s="26">
        <f t="shared" si="16"/>
        <v>60.714285714285708</v>
      </c>
      <c r="AW21" s="10">
        <f t="shared" si="17"/>
        <v>50</v>
      </c>
      <c r="AX21" s="10">
        <f t="shared" si="18"/>
        <v>23</v>
      </c>
      <c r="AY21" s="26">
        <f t="shared" si="19"/>
        <v>46</v>
      </c>
      <c r="AZ21" s="10">
        <f t="shared" si="20"/>
        <v>78</v>
      </c>
      <c r="BA21" s="10">
        <f t="shared" si="21"/>
        <v>40</v>
      </c>
      <c r="BB21" s="27">
        <f t="shared" si="22"/>
        <v>51.282051282051277</v>
      </c>
    </row>
    <row r="22" spans="1:54">
      <c r="A22" s="12">
        <v>16</v>
      </c>
      <c r="B22" s="13">
        <v>1230321013</v>
      </c>
      <c r="C22" s="14" t="s">
        <v>38</v>
      </c>
      <c r="D22" s="7">
        <v>2</v>
      </c>
      <c r="E22" s="7">
        <v>0</v>
      </c>
      <c r="F22" s="19">
        <f t="shared" si="0"/>
        <v>0</v>
      </c>
      <c r="G22" s="9">
        <v>4</v>
      </c>
      <c r="H22" s="9">
        <v>2</v>
      </c>
      <c r="I22" s="19">
        <f t="shared" si="1"/>
        <v>50</v>
      </c>
      <c r="J22" s="7">
        <v>4</v>
      </c>
      <c r="K22" s="7">
        <v>2</v>
      </c>
      <c r="L22" s="19">
        <f t="shared" si="2"/>
        <v>50</v>
      </c>
      <c r="M22" s="9">
        <v>11</v>
      </c>
      <c r="N22" s="9">
        <v>5</v>
      </c>
      <c r="O22" s="19">
        <f t="shared" si="3"/>
        <v>45.454545454545453</v>
      </c>
      <c r="P22" s="7">
        <v>10</v>
      </c>
      <c r="Q22" s="7">
        <v>7</v>
      </c>
      <c r="R22" s="19">
        <f t="shared" si="4"/>
        <v>70</v>
      </c>
      <c r="S22" s="9">
        <v>5</v>
      </c>
      <c r="T22" s="9">
        <v>2</v>
      </c>
      <c r="U22" s="19">
        <f t="shared" si="5"/>
        <v>40</v>
      </c>
      <c r="V22" s="7">
        <v>2</v>
      </c>
      <c r="W22" s="7">
        <v>0</v>
      </c>
      <c r="X22" s="19">
        <f t="shared" si="6"/>
        <v>0</v>
      </c>
      <c r="Y22" s="9">
        <v>6</v>
      </c>
      <c r="Z22" s="9">
        <v>3</v>
      </c>
      <c r="AA22" s="19">
        <f t="shared" si="7"/>
        <v>50</v>
      </c>
      <c r="AB22" s="7">
        <v>2</v>
      </c>
      <c r="AC22" s="7">
        <v>2</v>
      </c>
      <c r="AD22" s="19">
        <f t="shared" si="8"/>
        <v>100</v>
      </c>
      <c r="AE22" s="9">
        <v>7</v>
      </c>
      <c r="AF22" s="9">
        <v>7</v>
      </c>
      <c r="AG22" s="19">
        <f t="shared" si="9"/>
        <v>100</v>
      </c>
      <c r="AH22" s="7">
        <v>4</v>
      </c>
      <c r="AI22" s="7">
        <v>3</v>
      </c>
      <c r="AJ22" s="19">
        <f t="shared" si="10"/>
        <v>75</v>
      </c>
      <c r="AK22" s="9">
        <v>9</v>
      </c>
      <c r="AL22" s="9">
        <v>8</v>
      </c>
      <c r="AM22" s="19">
        <f t="shared" si="11"/>
        <v>88.888888888888886</v>
      </c>
      <c r="AN22" s="7">
        <v>4</v>
      </c>
      <c r="AO22" s="7">
        <v>2</v>
      </c>
      <c r="AP22" s="19">
        <f t="shared" si="12"/>
        <v>50</v>
      </c>
      <c r="AQ22" s="9">
        <v>8</v>
      </c>
      <c r="AR22" s="9">
        <v>6</v>
      </c>
      <c r="AS22" s="19">
        <f t="shared" si="13"/>
        <v>75</v>
      </c>
      <c r="AT22" s="10">
        <f t="shared" si="14"/>
        <v>28</v>
      </c>
      <c r="AU22" s="10">
        <f t="shared" si="15"/>
        <v>16</v>
      </c>
      <c r="AV22" s="26">
        <f t="shared" si="16"/>
        <v>57.142857142857139</v>
      </c>
      <c r="AW22" s="10">
        <f t="shared" si="17"/>
        <v>50</v>
      </c>
      <c r="AX22" s="10">
        <f t="shared" si="18"/>
        <v>33</v>
      </c>
      <c r="AY22" s="26">
        <f t="shared" si="19"/>
        <v>66</v>
      </c>
      <c r="AZ22" s="10">
        <f t="shared" si="20"/>
        <v>78</v>
      </c>
      <c r="BA22" s="10">
        <f t="shared" si="21"/>
        <v>49</v>
      </c>
      <c r="BB22" s="27">
        <f t="shared" si="22"/>
        <v>62.820512820512818</v>
      </c>
    </row>
    <row r="23" spans="1:54">
      <c r="A23" s="12">
        <v>17</v>
      </c>
      <c r="B23" s="13">
        <v>1230321014</v>
      </c>
      <c r="C23" s="14" t="s">
        <v>39</v>
      </c>
      <c r="D23" s="7">
        <v>2</v>
      </c>
      <c r="E23" s="7">
        <v>0</v>
      </c>
      <c r="F23" s="19">
        <f t="shared" si="0"/>
        <v>0</v>
      </c>
      <c r="G23" s="9">
        <v>4</v>
      </c>
      <c r="H23" s="9">
        <v>2</v>
      </c>
      <c r="I23" s="19">
        <f t="shared" si="1"/>
        <v>50</v>
      </c>
      <c r="J23" s="7">
        <v>4</v>
      </c>
      <c r="K23" s="7">
        <v>4</v>
      </c>
      <c r="L23" s="19">
        <f t="shared" si="2"/>
        <v>100</v>
      </c>
      <c r="M23" s="9">
        <v>11</v>
      </c>
      <c r="N23" s="9">
        <v>8</v>
      </c>
      <c r="O23" s="19">
        <f t="shared" si="3"/>
        <v>72.727272727272734</v>
      </c>
      <c r="P23" s="7">
        <v>10</v>
      </c>
      <c r="Q23" s="7">
        <v>6</v>
      </c>
      <c r="R23" s="19">
        <f t="shared" si="4"/>
        <v>60</v>
      </c>
      <c r="S23" s="9">
        <v>5</v>
      </c>
      <c r="T23" s="9">
        <v>3</v>
      </c>
      <c r="U23" s="19">
        <f t="shared" si="5"/>
        <v>60</v>
      </c>
      <c r="V23" s="7">
        <v>2</v>
      </c>
      <c r="W23" s="7">
        <v>2</v>
      </c>
      <c r="X23" s="19">
        <f t="shared" si="6"/>
        <v>100</v>
      </c>
      <c r="Y23" s="9">
        <v>6</v>
      </c>
      <c r="Z23" s="9">
        <v>6</v>
      </c>
      <c r="AA23" s="19">
        <f t="shared" si="7"/>
        <v>100</v>
      </c>
      <c r="AB23" s="7">
        <v>2</v>
      </c>
      <c r="AC23" s="7">
        <v>2</v>
      </c>
      <c r="AD23" s="19">
        <f t="shared" si="8"/>
        <v>100</v>
      </c>
      <c r="AE23" s="9">
        <v>7</v>
      </c>
      <c r="AF23" s="9">
        <v>6</v>
      </c>
      <c r="AG23" s="19">
        <f t="shared" si="9"/>
        <v>85.714285714285708</v>
      </c>
      <c r="AH23" s="7">
        <v>4</v>
      </c>
      <c r="AI23" s="7">
        <v>4</v>
      </c>
      <c r="AJ23" s="19">
        <f t="shared" si="10"/>
        <v>100</v>
      </c>
      <c r="AK23" s="9">
        <v>9</v>
      </c>
      <c r="AL23" s="9">
        <v>9</v>
      </c>
      <c r="AM23" s="19">
        <f t="shared" si="11"/>
        <v>100</v>
      </c>
      <c r="AN23" s="7">
        <v>4</v>
      </c>
      <c r="AO23" s="7">
        <v>4</v>
      </c>
      <c r="AP23" s="19">
        <f t="shared" si="12"/>
        <v>100</v>
      </c>
      <c r="AQ23" s="9">
        <v>8</v>
      </c>
      <c r="AR23" s="9">
        <v>6</v>
      </c>
      <c r="AS23" s="19">
        <f t="shared" si="13"/>
        <v>75</v>
      </c>
      <c r="AT23" s="10">
        <f t="shared" si="14"/>
        <v>28</v>
      </c>
      <c r="AU23" s="10">
        <f t="shared" si="15"/>
        <v>22</v>
      </c>
      <c r="AV23" s="26">
        <f t="shared" si="16"/>
        <v>78.571428571428569</v>
      </c>
      <c r="AW23" s="10">
        <f t="shared" si="17"/>
        <v>50</v>
      </c>
      <c r="AX23" s="10">
        <f t="shared" si="18"/>
        <v>40</v>
      </c>
      <c r="AY23" s="26">
        <f t="shared" si="19"/>
        <v>80</v>
      </c>
      <c r="AZ23" s="10">
        <f t="shared" si="20"/>
        <v>78</v>
      </c>
      <c r="BA23" s="10">
        <f t="shared" si="21"/>
        <v>62</v>
      </c>
      <c r="BB23" s="27">
        <f t="shared" si="22"/>
        <v>79.487179487179489</v>
      </c>
    </row>
    <row r="24" spans="1:54">
      <c r="A24" s="12">
        <v>18</v>
      </c>
      <c r="B24" s="13">
        <v>1230321015</v>
      </c>
      <c r="C24" s="14" t="s">
        <v>40</v>
      </c>
      <c r="D24" s="7">
        <v>2</v>
      </c>
      <c r="E24" s="7">
        <v>0</v>
      </c>
      <c r="F24" s="19">
        <f t="shared" si="0"/>
        <v>0</v>
      </c>
      <c r="G24" s="9">
        <v>4</v>
      </c>
      <c r="H24" s="9">
        <v>2</v>
      </c>
      <c r="I24" s="19">
        <f t="shared" si="1"/>
        <v>50</v>
      </c>
      <c r="J24" s="7">
        <v>4</v>
      </c>
      <c r="K24" s="7">
        <v>1</v>
      </c>
      <c r="L24" s="19">
        <f t="shared" si="2"/>
        <v>25</v>
      </c>
      <c r="M24" s="9">
        <v>11</v>
      </c>
      <c r="N24" s="9">
        <v>3</v>
      </c>
      <c r="O24" s="19">
        <f t="shared" si="3"/>
        <v>27.27272727272727</v>
      </c>
      <c r="P24" s="7">
        <v>10</v>
      </c>
      <c r="Q24" s="7">
        <v>8</v>
      </c>
      <c r="R24" s="19">
        <f t="shared" si="4"/>
        <v>80</v>
      </c>
      <c r="S24" s="9">
        <v>5</v>
      </c>
      <c r="T24" s="9">
        <v>4</v>
      </c>
      <c r="U24" s="19">
        <f t="shared" si="5"/>
        <v>80</v>
      </c>
      <c r="V24" s="7">
        <v>2</v>
      </c>
      <c r="W24" s="7">
        <v>1</v>
      </c>
      <c r="X24" s="19">
        <f t="shared" si="6"/>
        <v>50</v>
      </c>
      <c r="Y24" s="9">
        <v>6</v>
      </c>
      <c r="Z24" s="9">
        <v>1</v>
      </c>
      <c r="AA24" s="19">
        <f t="shared" si="7"/>
        <v>16.666666666666664</v>
      </c>
      <c r="AB24" s="7">
        <v>2</v>
      </c>
      <c r="AC24" s="7">
        <v>0</v>
      </c>
      <c r="AD24" s="19">
        <f t="shared" si="8"/>
        <v>0</v>
      </c>
      <c r="AE24" s="9">
        <v>7</v>
      </c>
      <c r="AF24" s="9">
        <v>2</v>
      </c>
      <c r="AG24" s="19">
        <f t="shared" si="9"/>
        <v>28.571428571428569</v>
      </c>
      <c r="AH24" s="7">
        <v>4</v>
      </c>
      <c r="AI24" s="7">
        <v>1</v>
      </c>
      <c r="AJ24" s="19">
        <f t="shared" si="10"/>
        <v>25</v>
      </c>
      <c r="AK24" s="9">
        <v>9</v>
      </c>
      <c r="AL24" s="9">
        <v>3</v>
      </c>
      <c r="AM24" s="19">
        <f t="shared" si="11"/>
        <v>33.333333333333329</v>
      </c>
      <c r="AN24" s="7">
        <v>4</v>
      </c>
      <c r="AO24" s="7">
        <v>2</v>
      </c>
      <c r="AP24" s="19">
        <f t="shared" si="12"/>
        <v>50</v>
      </c>
      <c r="AQ24" s="9">
        <v>8</v>
      </c>
      <c r="AR24" s="9">
        <v>7</v>
      </c>
      <c r="AS24" s="19">
        <f t="shared" si="13"/>
        <v>87.5</v>
      </c>
      <c r="AT24" s="10">
        <f t="shared" si="14"/>
        <v>28</v>
      </c>
      <c r="AU24" s="10">
        <f t="shared" si="15"/>
        <v>13</v>
      </c>
      <c r="AV24" s="26">
        <f t="shared" si="16"/>
        <v>46.428571428571431</v>
      </c>
      <c r="AW24" s="10">
        <f t="shared" si="17"/>
        <v>50</v>
      </c>
      <c r="AX24" s="10">
        <f t="shared" si="18"/>
        <v>22</v>
      </c>
      <c r="AY24" s="26">
        <f t="shared" si="19"/>
        <v>44</v>
      </c>
      <c r="AZ24" s="10">
        <f t="shared" si="20"/>
        <v>78</v>
      </c>
      <c r="BA24" s="10">
        <f t="shared" si="21"/>
        <v>35</v>
      </c>
      <c r="BB24" s="27">
        <f t="shared" si="22"/>
        <v>44.871794871794876</v>
      </c>
    </row>
    <row r="25" spans="1:54">
      <c r="A25" s="12">
        <v>19</v>
      </c>
      <c r="B25" s="13">
        <v>1230321016</v>
      </c>
      <c r="C25" s="14" t="s">
        <v>41</v>
      </c>
      <c r="D25" s="7">
        <v>2</v>
      </c>
      <c r="E25" s="7">
        <v>0</v>
      </c>
      <c r="F25" s="19">
        <f t="shared" si="0"/>
        <v>0</v>
      </c>
      <c r="G25" s="9">
        <v>4</v>
      </c>
      <c r="H25" s="9">
        <v>1</v>
      </c>
      <c r="I25" s="19">
        <f t="shared" si="1"/>
        <v>25</v>
      </c>
      <c r="J25" s="7">
        <v>4</v>
      </c>
      <c r="K25" s="7">
        <v>0</v>
      </c>
      <c r="L25" s="19">
        <f t="shared" si="2"/>
        <v>0</v>
      </c>
      <c r="M25" s="9">
        <v>11</v>
      </c>
      <c r="N25" s="9">
        <v>3</v>
      </c>
      <c r="O25" s="19">
        <f t="shared" si="3"/>
        <v>27.27272727272727</v>
      </c>
      <c r="P25" s="7">
        <v>10</v>
      </c>
      <c r="Q25" s="7">
        <v>8</v>
      </c>
      <c r="R25" s="19">
        <f t="shared" si="4"/>
        <v>80</v>
      </c>
      <c r="S25" s="9">
        <v>5</v>
      </c>
      <c r="T25" s="9">
        <v>3</v>
      </c>
      <c r="U25" s="19">
        <f t="shared" si="5"/>
        <v>60</v>
      </c>
      <c r="V25" s="7">
        <v>2</v>
      </c>
      <c r="W25" s="7">
        <v>2</v>
      </c>
      <c r="X25" s="19">
        <f t="shared" si="6"/>
        <v>100</v>
      </c>
      <c r="Y25" s="9">
        <v>6</v>
      </c>
      <c r="Z25" s="9">
        <v>2</v>
      </c>
      <c r="AA25" s="19">
        <f t="shared" si="7"/>
        <v>33.333333333333329</v>
      </c>
      <c r="AB25" s="7">
        <v>2</v>
      </c>
      <c r="AC25" s="7">
        <v>2</v>
      </c>
      <c r="AD25" s="19">
        <f t="shared" si="8"/>
        <v>100</v>
      </c>
      <c r="AE25" s="9">
        <v>7</v>
      </c>
      <c r="AF25" s="9">
        <v>6</v>
      </c>
      <c r="AG25" s="19">
        <f t="shared" si="9"/>
        <v>85.714285714285708</v>
      </c>
      <c r="AH25" s="7">
        <v>4</v>
      </c>
      <c r="AI25" s="7">
        <v>2</v>
      </c>
      <c r="AJ25" s="19">
        <f t="shared" si="10"/>
        <v>50</v>
      </c>
      <c r="AK25" s="9">
        <v>9</v>
      </c>
      <c r="AL25" s="9">
        <v>6</v>
      </c>
      <c r="AM25" s="19">
        <f t="shared" si="11"/>
        <v>66.666666666666657</v>
      </c>
      <c r="AN25" s="7">
        <v>4</v>
      </c>
      <c r="AO25" s="7">
        <v>3</v>
      </c>
      <c r="AP25" s="19">
        <f t="shared" si="12"/>
        <v>75</v>
      </c>
      <c r="AQ25" s="9">
        <v>8</v>
      </c>
      <c r="AR25" s="9">
        <v>7</v>
      </c>
      <c r="AS25" s="19">
        <f t="shared" si="13"/>
        <v>87.5</v>
      </c>
      <c r="AT25" s="10">
        <f t="shared" si="14"/>
        <v>28</v>
      </c>
      <c r="AU25" s="10">
        <f t="shared" si="15"/>
        <v>17</v>
      </c>
      <c r="AV25" s="26">
        <f t="shared" si="16"/>
        <v>60.714285714285708</v>
      </c>
      <c r="AW25" s="10">
        <f t="shared" si="17"/>
        <v>50</v>
      </c>
      <c r="AX25" s="10">
        <f t="shared" si="18"/>
        <v>28</v>
      </c>
      <c r="AY25" s="26">
        <f t="shared" si="19"/>
        <v>56.000000000000007</v>
      </c>
      <c r="AZ25" s="10">
        <f t="shared" si="20"/>
        <v>78</v>
      </c>
      <c r="BA25" s="10">
        <f t="shared" si="21"/>
        <v>45</v>
      </c>
      <c r="BB25" s="27">
        <f t="shared" si="22"/>
        <v>57.692307692307686</v>
      </c>
    </row>
    <row r="26" spans="1:54">
      <c r="A26" s="12">
        <v>20</v>
      </c>
      <c r="B26" s="13">
        <v>1230321017</v>
      </c>
      <c r="C26" s="14" t="s">
        <v>42</v>
      </c>
      <c r="D26" s="7">
        <v>2</v>
      </c>
      <c r="E26" s="7">
        <v>0</v>
      </c>
      <c r="F26" s="19">
        <f t="shared" si="0"/>
        <v>0</v>
      </c>
      <c r="G26" s="9">
        <v>4</v>
      </c>
      <c r="H26" s="9">
        <v>2</v>
      </c>
      <c r="I26" s="19">
        <f t="shared" si="1"/>
        <v>50</v>
      </c>
      <c r="J26" s="7">
        <v>4</v>
      </c>
      <c r="K26" s="7">
        <v>3</v>
      </c>
      <c r="L26" s="19">
        <f t="shared" si="2"/>
        <v>75</v>
      </c>
      <c r="M26" s="9">
        <v>11</v>
      </c>
      <c r="N26" s="9">
        <v>4</v>
      </c>
      <c r="O26" s="19">
        <f t="shared" si="3"/>
        <v>36.363636363636367</v>
      </c>
      <c r="P26" s="7">
        <v>10</v>
      </c>
      <c r="Q26" s="7">
        <v>8</v>
      </c>
      <c r="R26" s="19">
        <f t="shared" si="4"/>
        <v>80</v>
      </c>
      <c r="S26" s="9">
        <v>5</v>
      </c>
      <c r="T26" s="9">
        <v>3</v>
      </c>
      <c r="U26" s="19">
        <f t="shared" si="5"/>
        <v>60</v>
      </c>
      <c r="V26" s="7">
        <v>2</v>
      </c>
      <c r="W26" s="7">
        <v>2</v>
      </c>
      <c r="X26" s="19">
        <f t="shared" si="6"/>
        <v>100</v>
      </c>
      <c r="Y26" s="9">
        <v>6</v>
      </c>
      <c r="Z26" s="9">
        <v>6</v>
      </c>
      <c r="AA26" s="19">
        <f t="shared" si="7"/>
        <v>100</v>
      </c>
      <c r="AB26" s="7">
        <v>2</v>
      </c>
      <c r="AC26" s="7">
        <v>2</v>
      </c>
      <c r="AD26" s="19">
        <f t="shared" si="8"/>
        <v>100</v>
      </c>
      <c r="AE26" s="9">
        <v>7</v>
      </c>
      <c r="AF26" s="9">
        <v>5</v>
      </c>
      <c r="AG26" s="19">
        <f t="shared" si="9"/>
        <v>71.428571428571431</v>
      </c>
      <c r="AH26" s="7">
        <v>4</v>
      </c>
      <c r="AI26" s="7">
        <v>4</v>
      </c>
      <c r="AJ26" s="19">
        <f t="shared" si="10"/>
        <v>100</v>
      </c>
      <c r="AK26" s="9">
        <v>9</v>
      </c>
      <c r="AL26" s="9">
        <v>9</v>
      </c>
      <c r="AM26" s="19">
        <f t="shared" si="11"/>
        <v>100</v>
      </c>
      <c r="AN26" s="7">
        <v>4</v>
      </c>
      <c r="AO26" s="7">
        <v>4</v>
      </c>
      <c r="AP26" s="19">
        <f t="shared" si="12"/>
        <v>100</v>
      </c>
      <c r="AQ26" s="9">
        <v>8</v>
      </c>
      <c r="AR26" s="9">
        <v>5</v>
      </c>
      <c r="AS26" s="19">
        <f t="shared" si="13"/>
        <v>62.5</v>
      </c>
      <c r="AT26" s="10">
        <f t="shared" si="14"/>
        <v>28</v>
      </c>
      <c r="AU26" s="10">
        <f t="shared" si="15"/>
        <v>23</v>
      </c>
      <c r="AV26" s="26">
        <f t="shared" si="16"/>
        <v>82.142857142857139</v>
      </c>
      <c r="AW26" s="10">
        <f t="shared" si="17"/>
        <v>50</v>
      </c>
      <c r="AX26" s="10">
        <f t="shared" si="18"/>
        <v>34</v>
      </c>
      <c r="AY26" s="26">
        <f t="shared" si="19"/>
        <v>68</v>
      </c>
      <c r="AZ26" s="10">
        <f t="shared" si="20"/>
        <v>78</v>
      </c>
      <c r="BA26" s="10">
        <f t="shared" si="21"/>
        <v>57</v>
      </c>
      <c r="BB26" s="27">
        <f t="shared" si="22"/>
        <v>73.076923076923066</v>
      </c>
    </row>
    <row r="27" spans="1:54">
      <c r="A27" s="12">
        <v>21</v>
      </c>
      <c r="B27" s="13">
        <v>1230321018</v>
      </c>
      <c r="C27" s="14" t="s">
        <v>43</v>
      </c>
      <c r="D27" s="7">
        <v>2</v>
      </c>
      <c r="E27" s="7">
        <v>0</v>
      </c>
      <c r="F27" s="19">
        <f t="shared" si="0"/>
        <v>0</v>
      </c>
      <c r="G27" s="9">
        <v>4</v>
      </c>
      <c r="H27" s="9">
        <v>0</v>
      </c>
      <c r="I27" s="19">
        <f t="shared" si="1"/>
        <v>0</v>
      </c>
      <c r="J27" s="7">
        <v>4</v>
      </c>
      <c r="K27" s="7">
        <v>1</v>
      </c>
      <c r="L27" s="19">
        <f t="shared" si="2"/>
        <v>25</v>
      </c>
      <c r="M27" s="9">
        <v>11</v>
      </c>
      <c r="N27" s="9">
        <v>2</v>
      </c>
      <c r="O27" s="19">
        <f t="shared" si="3"/>
        <v>18.181818181818183</v>
      </c>
      <c r="P27" s="7">
        <v>10</v>
      </c>
      <c r="Q27" s="7">
        <v>2</v>
      </c>
      <c r="R27" s="19">
        <f t="shared" si="4"/>
        <v>20</v>
      </c>
      <c r="S27" s="9">
        <v>5</v>
      </c>
      <c r="T27" s="9">
        <v>0</v>
      </c>
      <c r="U27" s="19">
        <f t="shared" si="5"/>
        <v>0</v>
      </c>
      <c r="V27" s="7">
        <v>2</v>
      </c>
      <c r="W27" s="7">
        <v>0</v>
      </c>
      <c r="X27" s="19">
        <f t="shared" si="6"/>
        <v>0</v>
      </c>
      <c r="Y27" s="9">
        <v>6</v>
      </c>
      <c r="Z27" s="9">
        <v>2</v>
      </c>
      <c r="AA27" s="19">
        <f t="shared" si="7"/>
        <v>33.333333333333329</v>
      </c>
      <c r="AB27" s="7">
        <v>2</v>
      </c>
      <c r="AC27" s="7">
        <v>1</v>
      </c>
      <c r="AD27" s="19">
        <f t="shared" si="8"/>
        <v>50</v>
      </c>
      <c r="AE27" s="9">
        <v>7</v>
      </c>
      <c r="AF27" s="9">
        <v>2</v>
      </c>
      <c r="AG27" s="19">
        <f t="shared" si="9"/>
        <v>28.571428571428569</v>
      </c>
      <c r="AH27" s="7">
        <v>4</v>
      </c>
      <c r="AI27" s="7">
        <v>0</v>
      </c>
      <c r="AJ27" s="19">
        <f t="shared" si="10"/>
        <v>0</v>
      </c>
      <c r="AK27" s="9">
        <v>9</v>
      </c>
      <c r="AL27" s="9">
        <v>1</v>
      </c>
      <c r="AM27" s="19">
        <f t="shared" si="11"/>
        <v>11.111111111111111</v>
      </c>
      <c r="AN27" s="7">
        <v>4</v>
      </c>
      <c r="AO27" s="7">
        <v>3</v>
      </c>
      <c r="AP27" s="19">
        <f t="shared" si="12"/>
        <v>75</v>
      </c>
      <c r="AQ27" s="9">
        <v>8</v>
      </c>
      <c r="AR27" s="9">
        <v>2</v>
      </c>
      <c r="AS27" s="19">
        <f t="shared" si="13"/>
        <v>25</v>
      </c>
      <c r="AT27" s="10">
        <f t="shared" si="14"/>
        <v>28</v>
      </c>
      <c r="AU27" s="10">
        <f t="shared" si="15"/>
        <v>7</v>
      </c>
      <c r="AV27" s="26">
        <f t="shared" si="16"/>
        <v>25</v>
      </c>
      <c r="AW27" s="10">
        <f t="shared" si="17"/>
        <v>50</v>
      </c>
      <c r="AX27" s="10">
        <f t="shared" si="18"/>
        <v>9</v>
      </c>
      <c r="AY27" s="26">
        <f t="shared" si="19"/>
        <v>18</v>
      </c>
      <c r="AZ27" s="10">
        <f t="shared" si="20"/>
        <v>78</v>
      </c>
      <c r="BA27" s="10">
        <f t="shared" si="21"/>
        <v>16</v>
      </c>
      <c r="BB27" s="27">
        <f t="shared" si="22"/>
        <v>20.512820512820511</v>
      </c>
    </row>
    <row r="28" spans="1:54">
      <c r="A28" s="12">
        <v>22</v>
      </c>
      <c r="B28" s="13">
        <v>1230321019</v>
      </c>
      <c r="C28" s="14" t="s">
        <v>44</v>
      </c>
      <c r="D28" s="7">
        <v>2</v>
      </c>
      <c r="E28" s="7">
        <v>1</v>
      </c>
      <c r="F28" s="19">
        <f t="shared" si="0"/>
        <v>50</v>
      </c>
      <c r="G28" s="9">
        <v>4</v>
      </c>
      <c r="H28" s="9">
        <v>2</v>
      </c>
      <c r="I28" s="19">
        <f t="shared" si="1"/>
        <v>50</v>
      </c>
      <c r="J28" s="7">
        <v>4</v>
      </c>
      <c r="K28" s="7">
        <v>3</v>
      </c>
      <c r="L28" s="19">
        <f t="shared" si="2"/>
        <v>75</v>
      </c>
      <c r="M28" s="9">
        <v>11</v>
      </c>
      <c r="N28" s="9">
        <v>7</v>
      </c>
      <c r="O28" s="19">
        <f t="shared" si="3"/>
        <v>63.636363636363633</v>
      </c>
      <c r="P28" s="7">
        <v>10</v>
      </c>
      <c r="Q28" s="7">
        <v>10</v>
      </c>
      <c r="R28" s="19">
        <f t="shared" si="4"/>
        <v>100</v>
      </c>
      <c r="S28" s="9">
        <v>5</v>
      </c>
      <c r="T28" s="9">
        <v>4</v>
      </c>
      <c r="U28" s="19">
        <f t="shared" si="5"/>
        <v>80</v>
      </c>
      <c r="V28" s="7">
        <v>2</v>
      </c>
      <c r="W28" s="7">
        <v>2</v>
      </c>
      <c r="X28" s="19">
        <f t="shared" si="6"/>
        <v>100</v>
      </c>
      <c r="Y28" s="9">
        <v>6</v>
      </c>
      <c r="Z28" s="9">
        <v>4</v>
      </c>
      <c r="AA28" s="19">
        <f t="shared" si="7"/>
        <v>66.666666666666657</v>
      </c>
      <c r="AB28" s="7">
        <v>2</v>
      </c>
      <c r="AC28" s="7">
        <v>2</v>
      </c>
      <c r="AD28" s="19">
        <f t="shared" si="8"/>
        <v>100</v>
      </c>
      <c r="AE28" s="9">
        <v>7</v>
      </c>
      <c r="AF28" s="9">
        <v>6</v>
      </c>
      <c r="AG28" s="19">
        <f t="shared" si="9"/>
        <v>85.714285714285708</v>
      </c>
      <c r="AH28" s="7">
        <v>4</v>
      </c>
      <c r="AI28" s="7">
        <v>4</v>
      </c>
      <c r="AJ28" s="19">
        <f t="shared" si="10"/>
        <v>100</v>
      </c>
      <c r="AK28" s="9">
        <v>9</v>
      </c>
      <c r="AL28" s="9">
        <v>8</v>
      </c>
      <c r="AM28" s="19">
        <f t="shared" si="11"/>
        <v>88.888888888888886</v>
      </c>
      <c r="AN28" s="7">
        <v>4</v>
      </c>
      <c r="AO28" s="7">
        <v>4</v>
      </c>
      <c r="AP28" s="19">
        <f t="shared" si="12"/>
        <v>100</v>
      </c>
      <c r="AQ28" s="9">
        <v>8</v>
      </c>
      <c r="AR28" s="9">
        <v>8</v>
      </c>
      <c r="AS28" s="19">
        <f t="shared" si="13"/>
        <v>100</v>
      </c>
      <c r="AT28" s="10">
        <f t="shared" si="14"/>
        <v>28</v>
      </c>
      <c r="AU28" s="10">
        <f t="shared" si="15"/>
        <v>26</v>
      </c>
      <c r="AV28" s="26">
        <f t="shared" si="16"/>
        <v>92.857142857142861</v>
      </c>
      <c r="AW28" s="10">
        <f t="shared" si="17"/>
        <v>50</v>
      </c>
      <c r="AX28" s="10">
        <f t="shared" si="18"/>
        <v>39</v>
      </c>
      <c r="AY28" s="26">
        <f t="shared" si="19"/>
        <v>78</v>
      </c>
      <c r="AZ28" s="10">
        <f t="shared" si="20"/>
        <v>78</v>
      </c>
      <c r="BA28" s="10">
        <f t="shared" si="21"/>
        <v>65</v>
      </c>
      <c r="BB28" s="27">
        <f t="shared" si="22"/>
        <v>83.333333333333343</v>
      </c>
    </row>
    <row r="29" spans="1:54">
      <c r="A29" s="12">
        <v>23</v>
      </c>
      <c r="B29" s="13">
        <v>1230321020</v>
      </c>
      <c r="C29" s="14" t="s">
        <v>45</v>
      </c>
      <c r="D29" s="7">
        <v>2</v>
      </c>
      <c r="E29" s="7">
        <v>1</v>
      </c>
      <c r="F29" s="19">
        <f t="shared" si="0"/>
        <v>50</v>
      </c>
      <c r="G29" s="9">
        <v>4</v>
      </c>
      <c r="H29" s="9">
        <v>2</v>
      </c>
      <c r="I29" s="19">
        <f t="shared" si="1"/>
        <v>50</v>
      </c>
      <c r="J29" s="7">
        <v>4</v>
      </c>
      <c r="K29" s="7">
        <v>3</v>
      </c>
      <c r="L29" s="19">
        <f t="shared" si="2"/>
        <v>75</v>
      </c>
      <c r="M29" s="9">
        <v>11</v>
      </c>
      <c r="N29" s="9">
        <v>0</v>
      </c>
      <c r="O29" s="19">
        <f t="shared" si="3"/>
        <v>0</v>
      </c>
      <c r="P29" s="7">
        <v>10</v>
      </c>
      <c r="Q29" s="7">
        <v>2</v>
      </c>
      <c r="R29" s="19">
        <f t="shared" si="4"/>
        <v>20</v>
      </c>
      <c r="S29" s="9">
        <v>5</v>
      </c>
      <c r="T29" s="9">
        <v>1</v>
      </c>
      <c r="U29" s="19">
        <f t="shared" si="5"/>
        <v>20</v>
      </c>
      <c r="V29" s="7">
        <v>2</v>
      </c>
      <c r="W29" s="7">
        <v>0</v>
      </c>
      <c r="X29" s="19">
        <f t="shared" si="6"/>
        <v>0</v>
      </c>
      <c r="Y29" s="9">
        <v>6</v>
      </c>
      <c r="Z29" s="9">
        <v>0</v>
      </c>
      <c r="AA29" s="19">
        <f t="shared" si="7"/>
        <v>0</v>
      </c>
      <c r="AB29" s="7">
        <v>2</v>
      </c>
      <c r="AC29" s="7">
        <v>1</v>
      </c>
      <c r="AD29" s="19">
        <f t="shared" si="8"/>
        <v>50</v>
      </c>
      <c r="AE29" s="9">
        <v>7</v>
      </c>
      <c r="AF29" s="9">
        <v>0</v>
      </c>
      <c r="AG29" s="19">
        <f t="shared" si="9"/>
        <v>0</v>
      </c>
      <c r="AH29" s="7">
        <v>4</v>
      </c>
      <c r="AI29" s="7">
        <v>1</v>
      </c>
      <c r="AJ29" s="19">
        <f t="shared" si="10"/>
        <v>25</v>
      </c>
      <c r="AK29" s="9">
        <v>9</v>
      </c>
      <c r="AL29" s="9">
        <v>1</v>
      </c>
      <c r="AM29" s="19">
        <f t="shared" si="11"/>
        <v>11.111111111111111</v>
      </c>
      <c r="AN29" s="7">
        <v>4</v>
      </c>
      <c r="AO29" s="7">
        <v>2</v>
      </c>
      <c r="AP29" s="19">
        <f t="shared" si="12"/>
        <v>50</v>
      </c>
      <c r="AQ29" s="9">
        <v>8</v>
      </c>
      <c r="AR29" s="9">
        <v>0</v>
      </c>
      <c r="AS29" s="19">
        <f t="shared" si="13"/>
        <v>0</v>
      </c>
      <c r="AT29" s="10">
        <f t="shared" si="14"/>
        <v>28</v>
      </c>
      <c r="AU29" s="10">
        <f t="shared" si="15"/>
        <v>10</v>
      </c>
      <c r="AV29" s="26">
        <f t="shared" si="16"/>
        <v>35.714285714285715</v>
      </c>
      <c r="AW29" s="10">
        <f t="shared" si="17"/>
        <v>50</v>
      </c>
      <c r="AX29" s="10">
        <f t="shared" si="18"/>
        <v>4</v>
      </c>
      <c r="AY29" s="26">
        <f t="shared" si="19"/>
        <v>8</v>
      </c>
      <c r="AZ29" s="10">
        <f t="shared" si="20"/>
        <v>78</v>
      </c>
      <c r="BA29" s="10">
        <f t="shared" si="21"/>
        <v>14</v>
      </c>
      <c r="BB29" s="27">
        <f t="shared" si="22"/>
        <v>17.948717948717949</v>
      </c>
    </row>
    <row r="30" spans="1:54">
      <c r="A30" s="12">
        <v>24</v>
      </c>
      <c r="B30" s="13">
        <v>1230321021</v>
      </c>
      <c r="C30" s="14" t="s">
        <v>46</v>
      </c>
      <c r="D30" s="7">
        <v>2</v>
      </c>
      <c r="E30" s="7">
        <v>0</v>
      </c>
      <c r="F30" s="19">
        <f t="shared" si="0"/>
        <v>0</v>
      </c>
      <c r="G30" s="9">
        <v>4</v>
      </c>
      <c r="H30" s="9">
        <v>0</v>
      </c>
      <c r="I30" s="19">
        <f t="shared" si="1"/>
        <v>0</v>
      </c>
      <c r="J30" s="7">
        <v>4</v>
      </c>
      <c r="K30" s="7">
        <v>2</v>
      </c>
      <c r="L30" s="19">
        <f t="shared" si="2"/>
        <v>50</v>
      </c>
      <c r="M30" s="9">
        <v>11</v>
      </c>
      <c r="N30" s="9">
        <v>6</v>
      </c>
      <c r="O30" s="19">
        <f t="shared" si="3"/>
        <v>54.54545454545454</v>
      </c>
      <c r="P30" s="7">
        <v>10</v>
      </c>
      <c r="Q30" s="7">
        <v>6</v>
      </c>
      <c r="R30" s="19">
        <f t="shared" si="4"/>
        <v>60</v>
      </c>
      <c r="S30" s="9">
        <v>5</v>
      </c>
      <c r="T30" s="9">
        <v>4</v>
      </c>
      <c r="U30" s="19">
        <f t="shared" si="5"/>
        <v>80</v>
      </c>
      <c r="V30" s="7">
        <v>2</v>
      </c>
      <c r="W30" s="7">
        <v>2</v>
      </c>
      <c r="X30" s="19">
        <f t="shared" si="6"/>
        <v>100</v>
      </c>
      <c r="Y30" s="9">
        <v>6</v>
      </c>
      <c r="Z30" s="9">
        <v>3</v>
      </c>
      <c r="AA30" s="19">
        <f t="shared" si="7"/>
        <v>50</v>
      </c>
      <c r="AB30" s="7">
        <v>2</v>
      </c>
      <c r="AC30" s="7">
        <v>0</v>
      </c>
      <c r="AD30" s="19">
        <f t="shared" si="8"/>
        <v>0</v>
      </c>
      <c r="AE30" s="9">
        <v>7</v>
      </c>
      <c r="AF30" s="9">
        <v>6</v>
      </c>
      <c r="AG30" s="19">
        <f t="shared" si="9"/>
        <v>85.714285714285708</v>
      </c>
      <c r="AH30" s="7">
        <v>4</v>
      </c>
      <c r="AI30" s="7">
        <v>2</v>
      </c>
      <c r="AJ30" s="19">
        <f t="shared" si="10"/>
        <v>50</v>
      </c>
      <c r="AK30" s="9">
        <v>9</v>
      </c>
      <c r="AL30" s="9">
        <v>3</v>
      </c>
      <c r="AM30" s="19">
        <f t="shared" si="11"/>
        <v>33.333333333333329</v>
      </c>
      <c r="AN30" s="7">
        <v>4</v>
      </c>
      <c r="AO30" s="7">
        <v>2</v>
      </c>
      <c r="AP30" s="19">
        <f t="shared" si="12"/>
        <v>50</v>
      </c>
      <c r="AQ30" s="9">
        <v>8</v>
      </c>
      <c r="AR30" s="9">
        <v>4</v>
      </c>
      <c r="AS30" s="19">
        <f t="shared" si="13"/>
        <v>50</v>
      </c>
      <c r="AT30" s="10">
        <f t="shared" si="14"/>
        <v>28</v>
      </c>
      <c r="AU30" s="10">
        <f t="shared" si="15"/>
        <v>14</v>
      </c>
      <c r="AV30" s="26">
        <f t="shared" si="16"/>
        <v>50</v>
      </c>
      <c r="AW30" s="10">
        <f t="shared" si="17"/>
        <v>50</v>
      </c>
      <c r="AX30" s="10">
        <f t="shared" si="18"/>
        <v>26</v>
      </c>
      <c r="AY30" s="26">
        <f t="shared" si="19"/>
        <v>52</v>
      </c>
      <c r="AZ30" s="10">
        <f t="shared" si="20"/>
        <v>78</v>
      </c>
      <c r="BA30" s="10">
        <f t="shared" si="21"/>
        <v>40</v>
      </c>
      <c r="BB30" s="27">
        <f t="shared" si="22"/>
        <v>51.282051282051277</v>
      </c>
    </row>
    <row r="31" spans="1:54">
      <c r="A31" s="12">
        <v>25</v>
      </c>
      <c r="B31" s="13">
        <v>1230321022</v>
      </c>
      <c r="C31" s="14" t="s">
        <v>47</v>
      </c>
      <c r="D31" s="7">
        <v>2</v>
      </c>
      <c r="E31" s="7">
        <v>0</v>
      </c>
      <c r="F31" s="19">
        <f t="shared" si="0"/>
        <v>0</v>
      </c>
      <c r="G31" s="9">
        <v>4</v>
      </c>
      <c r="H31" s="9">
        <v>0</v>
      </c>
      <c r="I31" s="19">
        <f t="shared" si="1"/>
        <v>0</v>
      </c>
      <c r="J31" s="7">
        <v>4</v>
      </c>
      <c r="K31" s="7">
        <v>0</v>
      </c>
      <c r="L31" s="19">
        <f t="shared" si="2"/>
        <v>0</v>
      </c>
      <c r="M31" s="9">
        <v>11</v>
      </c>
      <c r="N31" s="9">
        <v>3</v>
      </c>
      <c r="O31" s="19">
        <f t="shared" si="3"/>
        <v>27.27272727272727</v>
      </c>
      <c r="P31" s="7">
        <v>10</v>
      </c>
      <c r="Q31" s="7">
        <v>4</v>
      </c>
      <c r="R31" s="19">
        <f t="shared" si="4"/>
        <v>40</v>
      </c>
      <c r="S31" s="9">
        <v>5</v>
      </c>
      <c r="T31" s="9">
        <v>3</v>
      </c>
      <c r="U31" s="19">
        <f t="shared" si="5"/>
        <v>60</v>
      </c>
      <c r="V31" s="7">
        <v>2</v>
      </c>
      <c r="W31" s="7">
        <v>1</v>
      </c>
      <c r="X31" s="19">
        <f t="shared" si="6"/>
        <v>50</v>
      </c>
      <c r="Y31" s="9">
        <v>6</v>
      </c>
      <c r="Z31" s="9">
        <v>2</v>
      </c>
      <c r="AA31" s="19">
        <f t="shared" si="7"/>
        <v>33.333333333333329</v>
      </c>
      <c r="AB31" s="7">
        <v>2</v>
      </c>
      <c r="AC31" s="7">
        <v>1</v>
      </c>
      <c r="AD31" s="19">
        <f t="shared" si="8"/>
        <v>50</v>
      </c>
      <c r="AE31" s="9">
        <v>7</v>
      </c>
      <c r="AF31" s="9">
        <v>4</v>
      </c>
      <c r="AG31" s="19">
        <f t="shared" si="9"/>
        <v>57.142857142857139</v>
      </c>
      <c r="AH31" s="7">
        <v>4</v>
      </c>
      <c r="AI31" s="7">
        <v>3</v>
      </c>
      <c r="AJ31" s="19">
        <f t="shared" si="10"/>
        <v>75</v>
      </c>
      <c r="AK31" s="9">
        <v>9</v>
      </c>
      <c r="AL31" s="9">
        <v>5</v>
      </c>
      <c r="AM31" s="19">
        <f t="shared" si="11"/>
        <v>55.555555555555557</v>
      </c>
      <c r="AN31" s="7">
        <v>4</v>
      </c>
      <c r="AO31" s="7">
        <v>3</v>
      </c>
      <c r="AP31" s="19">
        <f t="shared" si="12"/>
        <v>75</v>
      </c>
      <c r="AQ31" s="9">
        <v>8</v>
      </c>
      <c r="AR31" s="9">
        <v>6</v>
      </c>
      <c r="AS31" s="19">
        <f t="shared" si="13"/>
        <v>75</v>
      </c>
      <c r="AT31" s="10">
        <f t="shared" si="14"/>
        <v>28</v>
      </c>
      <c r="AU31" s="10">
        <f t="shared" si="15"/>
        <v>12</v>
      </c>
      <c r="AV31" s="26">
        <f t="shared" si="16"/>
        <v>42.857142857142854</v>
      </c>
      <c r="AW31" s="10">
        <f t="shared" si="17"/>
        <v>50</v>
      </c>
      <c r="AX31" s="10">
        <f t="shared" si="18"/>
        <v>23</v>
      </c>
      <c r="AY31" s="26">
        <f t="shared" si="19"/>
        <v>46</v>
      </c>
      <c r="AZ31" s="10">
        <f t="shared" si="20"/>
        <v>78</v>
      </c>
      <c r="BA31" s="10">
        <f t="shared" si="21"/>
        <v>35</v>
      </c>
      <c r="BB31" s="27">
        <f t="shared" si="22"/>
        <v>44.871794871794876</v>
      </c>
    </row>
    <row r="32" spans="1:54">
      <c r="A32" s="12">
        <v>26</v>
      </c>
      <c r="B32" s="13">
        <v>1230321023</v>
      </c>
      <c r="C32" s="14" t="s">
        <v>48</v>
      </c>
      <c r="D32" s="7">
        <v>2</v>
      </c>
      <c r="E32" s="7">
        <v>1</v>
      </c>
      <c r="F32" s="19">
        <f t="shared" si="0"/>
        <v>50</v>
      </c>
      <c r="G32" s="9">
        <v>4</v>
      </c>
      <c r="H32" s="9">
        <v>2</v>
      </c>
      <c r="I32" s="19">
        <f t="shared" si="1"/>
        <v>50</v>
      </c>
      <c r="J32" s="7">
        <v>4</v>
      </c>
      <c r="K32" s="7">
        <v>2</v>
      </c>
      <c r="L32" s="19">
        <f t="shared" si="2"/>
        <v>50</v>
      </c>
      <c r="M32" s="9">
        <v>11</v>
      </c>
      <c r="N32" s="9">
        <v>6</v>
      </c>
      <c r="O32" s="19">
        <f t="shared" si="3"/>
        <v>54.54545454545454</v>
      </c>
      <c r="P32" s="7">
        <v>10</v>
      </c>
      <c r="Q32" s="7">
        <v>6</v>
      </c>
      <c r="R32" s="19">
        <f t="shared" si="4"/>
        <v>60</v>
      </c>
      <c r="S32" s="9">
        <v>5</v>
      </c>
      <c r="T32" s="9">
        <v>3</v>
      </c>
      <c r="U32" s="19">
        <f t="shared" si="5"/>
        <v>60</v>
      </c>
      <c r="V32" s="7">
        <v>2</v>
      </c>
      <c r="W32" s="7">
        <v>1</v>
      </c>
      <c r="X32" s="19">
        <f t="shared" si="6"/>
        <v>50</v>
      </c>
      <c r="Y32" s="9">
        <v>6</v>
      </c>
      <c r="Z32" s="9">
        <v>3</v>
      </c>
      <c r="AA32" s="19">
        <f t="shared" si="7"/>
        <v>50</v>
      </c>
      <c r="AB32" s="7">
        <v>2</v>
      </c>
      <c r="AC32" s="7">
        <v>2</v>
      </c>
      <c r="AD32" s="19">
        <f t="shared" si="8"/>
        <v>100</v>
      </c>
      <c r="AE32" s="9">
        <v>7</v>
      </c>
      <c r="AF32" s="9">
        <v>4</v>
      </c>
      <c r="AG32" s="19">
        <f t="shared" si="9"/>
        <v>57.142857142857139</v>
      </c>
      <c r="AH32" s="7">
        <v>4</v>
      </c>
      <c r="AI32" s="7">
        <v>3</v>
      </c>
      <c r="AJ32" s="19">
        <f t="shared" si="10"/>
        <v>75</v>
      </c>
      <c r="AK32" s="9">
        <v>9</v>
      </c>
      <c r="AL32" s="9">
        <v>4</v>
      </c>
      <c r="AM32" s="19">
        <f t="shared" si="11"/>
        <v>44.444444444444443</v>
      </c>
      <c r="AN32" s="7">
        <v>4</v>
      </c>
      <c r="AO32" s="7">
        <v>2</v>
      </c>
      <c r="AP32" s="19">
        <f t="shared" si="12"/>
        <v>50</v>
      </c>
      <c r="AQ32" s="9">
        <v>8</v>
      </c>
      <c r="AR32" s="9">
        <v>4</v>
      </c>
      <c r="AS32" s="19">
        <f t="shared" si="13"/>
        <v>50</v>
      </c>
      <c r="AT32" s="10">
        <f t="shared" si="14"/>
        <v>28</v>
      </c>
      <c r="AU32" s="10">
        <f t="shared" si="15"/>
        <v>17</v>
      </c>
      <c r="AV32" s="26">
        <f t="shared" si="16"/>
        <v>60.714285714285708</v>
      </c>
      <c r="AW32" s="10">
        <f t="shared" si="17"/>
        <v>50</v>
      </c>
      <c r="AX32" s="10">
        <f t="shared" si="18"/>
        <v>26</v>
      </c>
      <c r="AY32" s="26">
        <f t="shared" si="19"/>
        <v>52</v>
      </c>
      <c r="AZ32" s="10">
        <f t="shared" si="20"/>
        <v>78</v>
      </c>
      <c r="BA32" s="10">
        <f t="shared" si="21"/>
        <v>43</v>
      </c>
      <c r="BB32" s="27">
        <f t="shared" si="22"/>
        <v>55.128205128205131</v>
      </c>
    </row>
    <row r="33" spans="1:54">
      <c r="A33" s="12">
        <v>27</v>
      </c>
      <c r="B33" s="13">
        <v>1230321024</v>
      </c>
      <c r="C33" s="14" t="s">
        <v>49</v>
      </c>
      <c r="D33" s="7">
        <v>2</v>
      </c>
      <c r="E33" s="7">
        <v>1</v>
      </c>
      <c r="F33" s="19">
        <f t="shared" si="0"/>
        <v>50</v>
      </c>
      <c r="G33" s="9">
        <v>4</v>
      </c>
      <c r="H33" s="9">
        <v>2</v>
      </c>
      <c r="I33" s="19">
        <f t="shared" si="1"/>
        <v>50</v>
      </c>
      <c r="J33" s="7">
        <v>4</v>
      </c>
      <c r="K33" s="7">
        <v>3</v>
      </c>
      <c r="L33" s="19">
        <f t="shared" si="2"/>
        <v>75</v>
      </c>
      <c r="M33" s="9">
        <v>11</v>
      </c>
      <c r="N33" s="9">
        <v>5</v>
      </c>
      <c r="O33" s="19">
        <f t="shared" si="3"/>
        <v>45.454545454545453</v>
      </c>
      <c r="P33" s="7">
        <v>10</v>
      </c>
      <c r="Q33" s="7">
        <v>7</v>
      </c>
      <c r="R33" s="19">
        <f t="shared" si="4"/>
        <v>70</v>
      </c>
      <c r="S33" s="9">
        <v>5</v>
      </c>
      <c r="T33" s="9">
        <v>4</v>
      </c>
      <c r="U33" s="19">
        <f t="shared" si="5"/>
        <v>80</v>
      </c>
      <c r="V33" s="7">
        <v>2</v>
      </c>
      <c r="W33" s="7">
        <v>2</v>
      </c>
      <c r="X33" s="19">
        <f t="shared" si="6"/>
        <v>100</v>
      </c>
      <c r="Y33" s="9">
        <v>6</v>
      </c>
      <c r="Z33" s="9">
        <v>5</v>
      </c>
      <c r="AA33" s="19">
        <f t="shared" si="7"/>
        <v>83.333333333333343</v>
      </c>
      <c r="AB33" s="7">
        <v>2</v>
      </c>
      <c r="AC33" s="7">
        <v>2</v>
      </c>
      <c r="AD33" s="19">
        <f t="shared" si="8"/>
        <v>100</v>
      </c>
      <c r="AE33" s="9">
        <v>7</v>
      </c>
      <c r="AF33" s="9">
        <v>6</v>
      </c>
      <c r="AG33" s="19">
        <f t="shared" si="9"/>
        <v>85.714285714285708</v>
      </c>
      <c r="AH33" s="7">
        <v>4</v>
      </c>
      <c r="AI33" s="7">
        <v>2</v>
      </c>
      <c r="AJ33" s="19">
        <f t="shared" si="10"/>
        <v>50</v>
      </c>
      <c r="AK33" s="9">
        <v>9</v>
      </c>
      <c r="AL33" s="9">
        <v>4</v>
      </c>
      <c r="AM33" s="19">
        <f t="shared" si="11"/>
        <v>44.444444444444443</v>
      </c>
      <c r="AN33" s="7">
        <v>4</v>
      </c>
      <c r="AO33" s="7">
        <v>4</v>
      </c>
      <c r="AP33" s="19">
        <f t="shared" si="12"/>
        <v>100</v>
      </c>
      <c r="AQ33" s="9">
        <v>8</v>
      </c>
      <c r="AR33" s="9">
        <v>7</v>
      </c>
      <c r="AS33" s="19">
        <f t="shared" si="13"/>
        <v>87.5</v>
      </c>
      <c r="AT33" s="10">
        <f t="shared" si="14"/>
        <v>28</v>
      </c>
      <c r="AU33" s="10">
        <f t="shared" si="15"/>
        <v>21</v>
      </c>
      <c r="AV33" s="26">
        <f t="shared" si="16"/>
        <v>75</v>
      </c>
      <c r="AW33" s="10">
        <f t="shared" si="17"/>
        <v>50</v>
      </c>
      <c r="AX33" s="10">
        <f t="shared" si="18"/>
        <v>33</v>
      </c>
      <c r="AY33" s="26">
        <f t="shared" si="19"/>
        <v>66</v>
      </c>
      <c r="AZ33" s="10">
        <f t="shared" si="20"/>
        <v>78</v>
      </c>
      <c r="BA33" s="10">
        <f t="shared" si="21"/>
        <v>54</v>
      </c>
      <c r="BB33" s="27">
        <f t="shared" si="22"/>
        <v>69.230769230769226</v>
      </c>
    </row>
    <row r="34" spans="1:54">
      <c r="A34" s="12">
        <v>28</v>
      </c>
      <c r="B34" s="13">
        <v>1230321025</v>
      </c>
      <c r="C34" s="14" t="s">
        <v>50</v>
      </c>
      <c r="D34" s="7">
        <v>2</v>
      </c>
      <c r="E34" s="7">
        <v>0</v>
      </c>
      <c r="F34" s="19">
        <f t="shared" si="0"/>
        <v>0</v>
      </c>
      <c r="G34" s="9">
        <v>4</v>
      </c>
      <c r="H34" s="9">
        <v>2</v>
      </c>
      <c r="I34" s="19">
        <f t="shared" si="1"/>
        <v>50</v>
      </c>
      <c r="J34" s="7">
        <v>4</v>
      </c>
      <c r="K34" s="7">
        <v>3</v>
      </c>
      <c r="L34" s="19">
        <f t="shared" si="2"/>
        <v>75</v>
      </c>
      <c r="M34" s="9">
        <v>11</v>
      </c>
      <c r="N34" s="9">
        <v>6</v>
      </c>
      <c r="O34" s="19">
        <f t="shared" si="3"/>
        <v>54.54545454545454</v>
      </c>
      <c r="P34" s="7">
        <v>10</v>
      </c>
      <c r="Q34" s="7">
        <v>7</v>
      </c>
      <c r="R34" s="19">
        <f t="shared" si="4"/>
        <v>70</v>
      </c>
      <c r="S34" s="9">
        <v>5</v>
      </c>
      <c r="T34" s="9">
        <v>4</v>
      </c>
      <c r="U34" s="19">
        <f t="shared" si="5"/>
        <v>80</v>
      </c>
      <c r="V34" s="7">
        <v>2</v>
      </c>
      <c r="W34" s="7">
        <v>2</v>
      </c>
      <c r="X34" s="19">
        <f t="shared" si="6"/>
        <v>100</v>
      </c>
      <c r="Y34" s="9">
        <v>6</v>
      </c>
      <c r="Z34" s="9">
        <v>5</v>
      </c>
      <c r="AA34" s="19">
        <f t="shared" si="7"/>
        <v>83.333333333333343</v>
      </c>
      <c r="AB34" s="7">
        <v>2</v>
      </c>
      <c r="AC34" s="7">
        <v>2</v>
      </c>
      <c r="AD34" s="19">
        <f t="shared" si="8"/>
        <v>100</v>
      </c>
      <c r="AE34" s="9">
        <v>7</v>
      </c>
      <c r="AF34" s="9">
        <v>6</v>
      </c>
      <c r="AG34" s="19">
        <f t="shared" si="9"/>
        <v>85.714285714285708</v>
      </c>
      <c r="AH34" s="7">
        <v>4</v>
      </c>
      <c r="AI34" s="7">
        <v>4</v>
      </c>
      <c r="AJ34" s="19">
        <f t="shared" si="10"/>
        <v>100</v>
      </c>
      <c r="AK34" s="9">
        <v>9</v>
      </c>
      <c r="AL34" s="9">
        <v>7</v>
      </c>
      <c r="AM34" s="19">
        <f t="shared" si="11"/>
        <v>77.777777777777786</v>
      </c>
      <c r="AN34" s="7">
        <v>4</v>
      </c>
      <c r="AO34" s="7">
        <v>3</v>
      </c>
      <c r="AP34" s="19">
        <f t="shared" si="12"/>
        <v>75</v>
      </c>
      <c r="AQ34" s="9">
        <v>8</v>
      </c>
      <c r="AR34" s="9">
        <v>6</v>
      </c>
      <c r="AS34" s="19">
        <f t="shared" si="13"/>
        <v>75</v>
      </c>
      <c r="AT34" s="10">
        <f t="shared" si="14"/>
        <v>28</v>
      </c>
      <c r="AU34" s="10">
        <f t="shared" si="15"/>
        <v>21</v>
      </c>
      <c r="AV34" s="26">
        <f t="shared" si="16"/>
        <v>75</v>
      </c>
      <c r="AW34" s="10">
        <f t="shared" si="17"/>
        <v>50</v>
      </c>
      <c r="AX34" s="10">
        <f t="shared" si="18"/>
        <v>36</v>
      </c>
      <c r="AY34" s="26">
        <f t="shared" si="19"/>
        <v>72</v>
      </c>
      <c r="AZ34" s="10">
        <f t="shared" si="20"/>
        <v>78</v>
      </c>
      <c r="BA34" s="10">
        <f t="shared" si="21"/>
        <v>57</v>
      </c>
      <c r="BB34" s="27">
        <f t="shared" si="22"/>
        <v>73.076923076923066</v>
      </c>
    </row>
    <row r="35" spans="1:54">
      <c r="A35" s="12">
        <v>29</v>
      </c>
      <c r="B35" s="13">
        <v>1230321026</v>
      </c>
      <c r="C35" s="14" t="s">
        <v>51</v>
      </c>
      <c r="D35" s="7">
        <v>2</v>
      </c>
      <c r="E35" s="7">
        <v>0</v>
      </c>
      <c r="F35" s="19">
        <f t="shared" si="0"/>
        <v>0</v>
      </c>
      <c r="G35" s="9">
        <v>4</v>
      </c>
      <c r="H35" s="9">
        <v>0</v>
      </c>
      <c r="I35" s="19">
        <f t="shared" si="1"/>
        <v>0</v>
      </c>
      <c r="J35" s="7">
        <v>4</v>
      </c>
      <c r="K35" s="7">
        <v>3</v>
      </c>
      <c r="L35" s="19">
        <f t="shared" si="2"/>
        <v>75</v>
      </c>
      <c r="M35" s="9">
        <v>11</v>
      </c>
      <c r="N35" s="9">
        <v>1</v>
      </c>
      <c r="O35" s="19">
        <f t="shared" si="3"/>
        <v>9.0909090909090917</v>
      </c>
      <c r="P35" s="7">
        <v>10</v>
      </c>
      <c r="Q35" s="7">
        <v>6</v>
      </c>
      <c r="R35" s="19">
        <f t="shared" si="4"/>
        <v>60</v>
      </c>
      <c r="S35" s="9">
        <v>5</v>
      </c>
      <c r="T35" s="9">
        <v>3</v>
      </c>
      <c r="U35" s="19">
        <f t="shared" si="5"/>
        <v>60</v>
      </c>
      <c r="V35" s="7">
        <v>2</v>
      </c>
      <c r="W35" s="7">
        <v>2</v>
      </c>
      <c r="X35" s="19">
        <f t="shared" si="6"/>
        <v>100</v>
      </c>
      <c r="Y35" s="9">
        <v>6</v>
      </c>
      <c r="Z35" s="9">
        <v>1</v>
      </c>
      <c r="AA35" s="19">
        <f t="shared" si="7"/>
        <v>16.666666666666664</v>
      </c>
      <c r="AB35" s="7">
        <v>2</v>
      </c>
      <c r="AC35" s="7">
        <v>1</v>
      </c>
      <c r="AD35" s="19">
        <f t="shared" si="8"/>
        <v>50</v>
      </c>
      <c r="AE35" s="9">
        <v>7</v>
      </c>
      <c r="AF35" s="9">
        <v>4</v>
      </c>
      <c r="AG35" s="19">
        <f t="shared" si="9"/>
        <v>57.142857142857139</v>
      </c>
      <c r="AH35" s="7">
        <v>4</v>
      </c>
      <c r="AI35" s="7">
        <v>3</v>
      </c>
      <c r="AJ35" s="19">
        <f t="shared" si="10"/>
        <v>75</v>
      </c>
      <c r="AK35" s="9">
        <v>9</v>
      </c>
      <c r="AL35" s="9">
        <v>5</v>
      </c>
      <c r="AM35" s="19">
        <f t="shared" si="11"/>
        <v>55.555555555555557</v>
      </c>
      <c r="AN35" s="7">
        <v>4</v>
      </c>
      <c r="AO35" s="7">
        <v>2</v>
      </c>
      <c r="AP35" s="19">
        <f t="shared" si="12"/>
        <v>50</v>
      </c>
      <c r="AQ35" s="9">
        <v>8</v>
      </c>
      <c r="AR35" s="9">
        <v>5</v>
      </c>
      <c r="AS35" s="19">
        <f t="shared" si="13"/>
        <v>62.5</v>
      </c>
      <c r="AT35" s="10">
        <f t="shared" si="14"/>
        <v>28</v>
      </c>
      <c r="AU35" s="10">
        <f t="shared" si="15"/>
        <v>17</v>
      </c>
      <c r="AV35" s="26">
        <f t="shared" si="16"/>
        <v>60.714285714285708</v>
      </c>
      <c r="AW35" s="10">
        <f t="shared" si="17"/>
        <v>50</v>
      </c>
      <c r="AX35" s="10">
        <f t="shared" si="18"/>
        <v>19</v>
      </c>
      <c r="AY35" s="26">
        <f t="shared" si="19"/>
        <v>38</v>
      </c>
      <c r="AZ35" s="10">
        <f t="shared" si="20"/>
        <v>78</v>
      </c>
      <c r="BA35" s="10">
        <f t="shared" si="21"/>
        <v>36</v>
      </c>
      <c r="BB35" s="27">
        <f t="shared" si="22"/>
        <v>46.153846153846153</v>
      </c>
    </row>
    <row r="36" spans="1:54">
      <c r="A36" s="12">
        <v>30</v>
      </c>
      <c r="B36" s="13">
        <v>1230321027</v>
      </c>
      <c r="C36" s="14" t="s">
        <v>52</v>
      </c>
      <c r="D36" s="7">
        <v>2</v>
      </c>
      <c r="E36" s="7">
        <v>1</v>
      </c>
      <c r="F36" s="19">
        <f t="shared" si="0"/>
        <v>50</v>
      </c>
      <c r="G36" s="9">
        <v>4</v>
      </c>
      <c r="H36" s="9">
        <v>1</v>
      </c>
      <c r="I36" s="19">
        <f t="shared" si="1"/>
        <v>25</v>
      </c>
      <c r="J36" s="7">
        <v>4</v>
      </c>
      <c r="K36" s="7">
        <v>3</v>
      </c>
      <c r="L36" s="19">
        <f t="shared" si="2"/>
        <v>75</v>
      </c>
      <c r="M36" s="9">
        <v>11</v>
      </c>
      <c r="N36" s="9">
        <v>6</v>
      </c>
      <c r="O36" s="19">
        <f t="shared" si="3"/>
        <v>54.54545454545454</v>
      </c>
      <c r="P36" s="7">
        <v>10</v>
      </c>
      <c r="Q36" s="7">
        <v>7</v>
      </c>
      <c r="R36" s="19">
        <f t="shared" si="4"/>
        <v>70</v>
      </c>
      <c r="S36" s="9">
        <v>5</v>
      </c>
      <c r="T36" s="9">
        <v>4</v>
      </c>
      <c r="U36" s="19">
        <f t="shared" si="5"/>
        <v>80</v>
      </c>
      <c r="V36" s="7">
        <v>2</v>
      </c>
      <c r="W36" s="7">
        <v>2</v>
      </c>
      <c r="X36" s="19">
        <f t="shared" si="6"/>
        <v>100</v>
      </c>
      <c r="Y36" s="9">
        <v>6</v>
      </c>
      <c r="Z36" s="9">
        <v>4</v>
      </c>
      <c r="AA36" s="19">
        <f t="shared" si="7"/>
        <v>66.666666666666657</v>
      </c>
      <c r="AB36" s="7">
        <v>2</v>
      </c>
      <c r="AC36" s="7">
        <v>0</v>
      </c>
      <c r="AD36" s="19">
        <f t="shared" si="8"/>
        <v>0</v>
      </c>
      <c r="AE36" s="9">
        <v>7</v>
      </c>
      <c r="AF36" s="9">
        <v>5</v>
      </c>
      <c r="AG36" s="19">
        <f t="shared" si="9"/>
        <v>71.428571428571431</v>
      </c>
      <c r="AH36" s="7">
        <v>4</v>
      </c>
      <c r="AI36" s="7">
        <v>2</v>
      </c>
      <c r="AJ36" s="19">
        <f t="shared" si="10"/>
        <v>50</v>
      </c>
      <c r="AK36" s="9">
        <v>9</v>
      </c>
      <c r="AL36" s="9">
        <v>5</v>
      </c>
      <c r="AM36" s="19">
        <f t="shared" si="11"/>
        <v>55.555555555555557</v>
      </c>
      <c r="AN36" s="7">
        <v>4</v>
      </c>
      <c r="AO36" s="7">
        <v>1</v>
      </c>
      <c r="AP36" s="19">
        <f t="shared" si="12"/>
        <v>25</v>
      </c>
      <c r="AQ36" s="9">
        <v>8</v>
      </c>
      <c r="AR36" s="9">
        <v>4</v>
      </c>
      <c r="AS36" s="19">
        <f t="shared" si="13"/>
        <v>50</v>
      </c>
      <c r="AT36" s="10">
        <f t="shared" si="14"/>
        <v>28</v>
      </c>
      <c r="AU36" s="10">
        <f t="shared" si="15"/>
        <v>16</v>
      </c>
      <c r="AV36" s="26">
        <f t="shared" si="16"/>
        <v>57.142857142857139</v>
      </c>
      <c r="AW36" s="10">
        <f t="shared" si="17"/>
        <v>50</v>
      </c>
      <c r="AX36" s="10">
        <f t="shared" si="18"/>
        <v>29</v>
      </c>
      <c r="AY36" s="26">
        <f t="shared" si="19"/>
        <v>57.999999999999993</v>
      </c>
      <c r="AZ36" s="10">
        <f t="shared" si="20"/>
        <v>78</v>
      </c>
      <c r="BA36" s="10">
        <f t="shared" si="21"/>
        <v>45</v>
      </c>
      <c r="BB36" s="27">
        <f t="shared" si="22"/>
        <v>57.692307692307686</v>
      </c>
    </row>
    <row r="37" spans="1:54">
      <c r="A37" s="12">
        <v>31</v>
      </c>
      <c r="B37" s="13">
        <v>1230321028</v>
      </c>
      <c r="C37" s="14" t="s">
        <v>53</v>
      </c>
      <c r="D37" s="7">
        <v>2</v>
      </c>
      <c r="E37" s="7">
        <v>0</v>
      </c>
      <c r="F37" s="19">
        <f t="shared" si="0"/>
        <v>0</v>
      </c>
      <c r="G37" s="9">
        <v>4</v>
      </c>
      <c r="H37" s="9">
        <v>1</v>
      </c>
      <c r="I37" s="19">
        <f t="shared" si="1"/>
        <v>25</v>
      </c>
      <c r="J37" s="7">
        <v>4</v>
      </c>
      <c r="K37" s="7">
        <v>2</v>
      </c>
      <c r="L37" s="19">
        <f t="shared" si="2"/>
        <v>50</v>
      </c>
      <c r="M37" s="9">
        <v>11</v>
      </c>
      <c r="N37" s="9">
        <v>4</v>
      </c>
      <c r="O37" s="19">
        <f t="shared" si="3"/>
        <v>36.363636363636367</v>
      </c>
      <c r="P37" s="7">
        <v>10</v>
      </c>
      <c r="Q37" s="7">
        <v>4</v>
      </c>
      <c r="R37" s="19">
        <f t="shared" si="4"/>
        <v>40</v>
      </c>
      <c r="S37" s="9">
        <v>5</v>
      </c>
      <c r="T37" s="9">
        <v>3</v>
      </c>
      <c r="U37" s="19">
        <f t="shared" si="5"/>
        <v>60</v>
      </c>
      <c r="V37" s="7">
        <v>2</v>
      </c>
      <c r="W37" s="7">
        <v>1</v>
      </c>
      <c r="X37" s="19">
        <f t="shared" si="6"/>
        <v>50</v>
      </c>
      <c r="Y37" s="9">
        <v>6</v>
      </c>
      <c r="Z37" s="9">
        <v>1</v>
      </c>
      <c r="AA37" s="19">
        <f t="shared" si="7"/>
        <v>16.666666666666664</v>
      </c>
      <c r="AB37" s="7">
        <v>2</v>
      </c>
      <c r="AC37" s="7">
        <v>0</v>
      </c>
      <c r="AD37" s="19">
        <f t="shared" si="8"/>
        <v>0</v>
      </c>
      <c r="AE37" s="9">
        <v>7</v>
      </c>
      <c r="AF37" s="9">
        <v>2</v>
      </c>
      <c r="AG37" s="19">
        <f t="shared" si="9"/>
        <v>28.571428571428569</v>
      </c>
      <c r="AH37" s="7">
        <v>4</v>
      </c>
      <c r="AI37" s="7">
        <v>1</v>
      </c>
      <c r="AJ37" s="19">
        <f t="shared" si="10"/>
        <v>25</v>
      </c>
      <c r="AK37" s="9">
        <v>9</v>
      </c>
      <c r="AL37" s="9">
        <v>4</v>
      </c>
      <c r="AM37" s="19">
        <f t="shared" si="11"/>
        <v>44.444444444444443</v>
      </c>
      <c r="AN37" s="7">
        <v>4</v>
      </c>
      <c r="AO37" s="7">
        <v>4</v>
      </c>
      <c r="AP37" s="19">
        <f t="shared" si="12"/>
        <v>100</v>
      </c>
      <c r="AQ37" s="9">
        <v>8</v>
      </c>
      <c r="AR37" s="9">
        <v>3</v>
      </c>
      <c r="AS37" s="19">
        <f t="shared" si="13"/>
        <v>37.5</v>
      </c>
      <c r="AT37" s="10">
        <f t="shared" si="14"/>
        <v>28</v>
      </c>
      <c r="AU37" s="10">
        <f t="shared" si="15"/>
        <v>12</v>
      </c>
      <c r="AV37" s="26">
        <f t="shared" si="16"/>
        <v>42.857142857142854</v>
      </c>
      <c r="AW37" s="10">
        <f t="shared" si="17"/>
        <v>50</v>
      </c>
      <c r="AX37" s="10">
        <f t="shared" si="18"/>
        <v>18</v>
      </c>
      <c r="AY37" s="26">
        <f t="shared" si="19"/>
        <v>36</v>
      </c>
      <c r="AZ37" s="10">
        <f t="shared" si="20"/>
        <v>78</v>
      </c>
      <c r="BA37" s="10">
        <f t="shared" si="21"/>
        <v>30</v>
      </c>
      <c r="BB37" s="27">
        <f t="shared" si="22"/>
        <v>38.461538461538467</v>
      </c>
    </row>
    <row r="38" spans="1:54">
      <c r="A38" s="12">
        <v>32</v>
      </c>
      <c r="B38" s="13">
        <v>1230321029</v>
      </c>
      <c r="C38" s="14" t="s">
        <v>54</v>
      </c>
      <c r="D38" s="7">
        <v>2</v>
      </c>
      <c r="E38" s="7">
        <v>0</v>
      </c>
      <c r="F38" s="19">
        <f t="shared" si="0"/>
        <v>0</v>
      </c>
      <c r="G38" s="9">
        <v>4</v>
      </c>
      <c r="H38" s="9">
        <v>0</v>
      </c>
      <c r="I38" s="19">
        <f t="shared" si="1"/>
        <v>0</v>
      </c>
      <c r="J38" s="7">
        <v>4</v>
      </c>
      <c r="K38" s="7">
        <v>3</v>
      </c>
      <c r="L38" s="19">
        <f t="shared" si="2"/>
        <v>75</v>
      </c>
      <c r="M38" s="9">
        <v>11</v>
      </c>
      <c r="N38" s="9">
        <v>0</v>
      </c>
      <c r="O38" s="19">
        <f t="shared" si="3"/>
        <v>0</v>
      </c>
      <c r="P38" s="7">
        <v>10</v>
      </c>
      <c r="Q38" s="7">
        <v>2</v>
      </c>
      <c r="R38" s="19">
        <f t="shared" si="4"/>
        <v>20</v>
      </c>
      <c r="S38" s="9">
        <v>5</v>
      </c>
      <c r="T38" s="9">
        <v>3</v>
      </c>
      <c r="U38" s="19">
        <f t="shared" si="5"/>
        <v>60</v>
      </c>
      <c r="V38" s="7">
        <v>2</v>
      </c>
      <c r="W38" s="7">
        <v>0</v>
      </c>
      <c r="X38" s="19">
        <f t="shared" si="6"/>
        <v>0</v>
      </c>
      <c r="Y38" s="9">
        <v>6</v>
      </c>
      <c r="Z38" s="9">
        <v>1</v>
      </c>
      <c r="AA38" s="19">
        <f t="shared" si="7"/>
        <v>16.666666666666664</v>
      </c>
      <c r="AB38" s="7">
        <v>2</v>
      </c>
      <c r="AC38" s="7">
        <v>0</v>
      </c>
      <c r="AD38" s="19">
        <f t="shared" si="8"/>
        <v>0</v>
      </c>
      <c r="AE38" s="9">
        <v>7</v>
      </c>
      <c r="AF38" s="9">
        <v>0</v>
      </c>
      <c r="AG38" s="19">
        <f t="shared" si="9"/>
        <v>0</v>
      </c>
      <c r="AH38" s="7">
        <v>4</v>
      </c>
      <c r="AI38" s="7">
        <v>2</v>
      </c>
      <c r="AJ38" s="19">
        <f t="shared" si="10"/>
        <v>50</v>
      </c>
      <c r="AK38" s="9">
        <v>9</v>
      </c>
      <c r="AL38" s="9">
        <v>2</v>
      </c>
      <c r="AM38" s="19">
        <f t="shared" si="11"/>
        <v>22.222222222222221</v>
      </c>
      <c r="AN38" s="7">
        <v>4</v>
      </c>
      <c r="AO38" s="7">
        <v>2</v>
      </c>
      <c r="AP38" s="19">
        <f t="shared" si="12"/>
        <v>50</v>
      </c>
      <c r="AQ38" s="9">
        <v>8</v>
      </c>
      <c r="AR38" s="9">
        <v>2</v>
      </c>
      <c r="AS38" s="19">
        <f t="shared" si="13"/>
        <v>25</v>
      </c>
      <c r="AT38" s="10">
        <f t="shared" si="14"/>
        <v>28</v>
      </c>
      <c r="AU38" s="10">
        <f t="shared" si="15"/>
        <v>9</v>
      </c>
      <c r="AV38" s="26">
        <f t="shared" si="16"/>
        <v>32.142857142857146</v>
      </c>
      <c r="AW38" s="10">
        <f t="shared" si="17"/>
        <v>50</v>
      </c>
      <c r="AX38" s="10">
        <f t="shared" si="18"/>
        <v>8</v>
      </c>
      <c r="AY38" s="26">
        <f t="shared" si="19"/>
        <v>16</v>
      </c>
      <c r="AZ38" s="10">
        <f t="shared" si="20"/>
        <v>78</v>
      </c>
      <c r="BA38" s="10">
        <f t="shared" si="21"/>
        <v>17</v>
      </c>
      <c r="BB38" s="27">
        <f t="shared" si="22"/>
        <v>21.794871794871796</v>
      </c>
    </row>
    <row r="39" spans="1:54">
      <c r="A39" s="12">
        <v>33</v>
      </c>
      <c r="B39" s="13">
        <v>1230321030</v>
      </c>
      <c r="C39" s="14" t="s">
        <v>55</v>
      </c>
      <c r="D39" s="7">
        <v>2</v>
      </c>
      <c r="E39" s="7">
        <v>0</v>
      </c>
      <c r="F39" s="19">
        <f t="shared" si="0"/>
        <v>0</v>
      </c>
      <c r="G39" s="9">
        <v>4</v>
      </c>
      <c r="H39" s="9">
        <v>0</v>
      </c>
      <c r="I39" s="19">
        <f t="shared" si="1"/>
        <v>0</v>
      </c>
      <c r="J39" s="7">
        <v>4</v>
      </c>
      <c r="K39" s="7">
        <v>1</v>
      </c>
      <c r="L39" s="19">
        <f t="shared" si="2"/>
        <v>25</v>
      </c>
      <c r="M39" s="9">
        <v>11</v>
      </c>
      <c r="N39" s="9">
        <v>3</v>
      </c>
      <c r="O39" s="19">
        <f t="shared" si="3"/>
        <v>27.27272727272727</v>
      </c>
      <c r="P39" s="7">
        <v>10</v>
      </c>
      <c r="Q39" s="7">
        <v>3</v>
      </c>
      <c r="R39" s="19">
        <f t="shared" si="4"/>
        <v>30</v>
      </c>
      <c r="S39" s="9">
        <v>5</v>
      </c>
      <c r="T39" s="9">
        <v>1</v>
      </c>
      <c r="U39" s="19">
        <f t="shared" si="5"/>
        <v>20</v>
      </c>
      <c r="V39" s="7">
        <v>2</v>
      </c>
      <c r="W39" s="7">
        <v>0</v>
      </c>
      <c r="X39" s="19">
        <f t="shared" si="6"/>
        <v>0</v>
      </c>
      <c r="Y39" s="9">
        <v>6</v>
      </c>
      <c r="Z39" s="9">
        <v>1</v>
      </c>
      <c r="AA39" s="19">
        <f t="shared" si="7"/>
        <v>16.666666666666664</v>
      </c>
      <c r="AB39" s="7">
        <v>2</v>
      </c>
      <c r="AC39" s="7">
        <v>0</v>
      </c>
      <c r="AD39" s="19">
        <f t="shared" si="8"/>
        <v>0</v>
      </c>
      <c r="AE39" s="9">
        <v>7</v>
      </c>
      <c r="AF39" s="9">
        <v>1</v>
      </c>
      <c r="AG39" s="19">
        <f t="shared" si="9"/>
        <v>14.285714285714285</v>
      </c>
      <c r="AH39" s="7">
        <v>4</v>
      </c>
      <c r="AI39" s="7">
        <v>3</v>
      </c>
      <c r="AJ39" s="19">
        <f t="shared" si="10"/>
        <v>75</v>
      </c>
      <c r="AK39" s="9">
        <v>9</v>
      </c>
      <c r="AL39" s="9">
        <v>5</v>
      </c>
      <c r="AM39" s="19">
        <f t="shared" si="11"/>
        <v>55.555555555555557</v>
      </c>
      <c r="AN39" s="7">
        <v>4</v>
      </c>
      <c r="AO39" s="7">
        <v>2</v>
      </c>
      <c r="AP39" s="19">
        <f t="shared" si="12"/>
        <v>50</v>
      </c>
      <c r="AQ39" s="9">
        <v>8</v>
      </c>
      <c r="AR39" s="9">
        <v>5</v>
      </c>
      <c r="AS39" s="19">
        <f t="shared" si="13"/>
        <v>62.5</v>
      </c>
      <c r="AT39" s="10">
        <f t="shared" si="14"/>
        <v>28</v>
      </c>
      <c r="AU39" s="10">
        <f t="shared" si="15"/>
        <v>9</v>
      </c>
      <c r="AV39" s="26">
        <f t="shared" si="16"/>
        <v>32.142857142857146</v>
      </c>
      <c r="AW39" s="10">
        <f t="shared" si="17"/>
        <v>50</v>
      </c>
      <c r="AX39" s="10">
        <f t="shared" si="18"/>
        <v>16</v>
      </c>
      <c r="AY39" s="26">
        <f t="shared" si="19"/>
        <v>32</v>
      </c>
      <c r="AZ39" s="10">
        <f t="shared" si="20"/>
        <v>78</v>
      </c>
      <c r="BA39" s="10">
        <f t="shared" si="21"/>
        <v>25</v>
      </c>
      <c r="BB39" s="27">
        <f t="shared" si="22"/>
        <v>32.051282051282051</v>
      </c>
    </row>
    <row r="40" spans="1:54">
      <c r="A40" s="12">
        <v>34</v>
      </c>
      <c r="B40" s="13">
        <v>1230321031</v>
      </c>
      <c r="C40" s="14" t="s">
        <v>56</v>
      </c>
      <c r="D40" s="7">
        <v>2</v>
      </c>
      <c r="E40" s="7">
        <v>0</v>
      </c>
      <c r="F40" s="19">
        <f t="shared" si="0"/>
        <v>0</v>
      </c>
      <c r="G40" s="9">
        <v>4</v>
      </c>
      <c r="H40" s="9">
        <v>0</v>
      </c>
      <c r="I40" s="19">
        <f t="shared" si="1"/>
        <v>0</v>
      </c>
      <c r="J40" s="7">
        <v>4</v>
      </c>
      <c r="K40" s="7">
        <v>1</v>
      </c>
      <c r="L40" s="19">
        <f t="shared" si="2"/>
        <v>25</v>
      </c>
      <c r="M40" s="9">
        <v>11</v>
      </c>
      <c r="N40" s="9">
        <v>3</v>
      </c>
      <c r="O40" s="19">
        <f t="shared" si="3"/>
        <v>27.27272727272727</v>
      </c>
      <c r="P40" s="7">
        <v>10</v>
      </c>
      <c r="Q40" s="7">
        <v>3</v>
      </c>
      <c r="R40" s="19">
        <f t="shared" si="4"/>
        <v>30</v>
      </c>
      <c r="S40" s="9">
        <v>5</v>
      </c>
      <c r="T40" s="9">
        <v>1</v>
      </c>
      <c r="U40" s="19">
        <f t="shared" si="5"/>
        <v>20</v>
      </c>
      <c r="V40" s="7">
        <v>2</v>
      </c>
      <c r="W40" s="7">
        <v>0</v>
      </c>
      <c r="X40" s="19">
        <f t="shared" si="6"/>
        <v>0</v>
      </c>
      <c r="Y40" s="9">
        <v>6</v>
      </c>
      <c r="Z40" s="9">
        <v>1</v>
      </c>
      <c r="AA40" s="19">
        <f t="shared" si="7"/>
        <v>16.666666666666664</v>
      </c>
      <c r="AB40" s="7">
        <v>2</v>
      </c>
      <c r="AC40" s="7">
        <v>1</v>
      </c>
      <c r="AD40" s="19">
        <f t="shared" si="8"/>
        <v>50</v>
      </c>
      <c r="AE40" s="9">
        <v>7</v>
      </c>
      <c r="AF40" s="9">
        <v>3</v>
      </c>
      <c r="AG40" s="19">
        <f t="shared" si="9"/>
        <v>42.857142857142854</v>
      </c>
      <c r="AH40" s="7">
        <v>4</v>
      </c>
      <c r="AI40" s="7">
        <v>2</v>
      </c>
      <c r="AJ40" s="19">
        <f t="shared" si="10"/>
        <v>50</v>
      </c>
      <c r="AK40" s="9">
        <v>9</v>
      </c>
      <c r="AL40" s="9">
        <v>5</v>
      </c>
      <c r="AM40" s="19">
        <f t="shared" si="11"/>
        <v>55.555555555555557</v>
      </c>
      <c r="AN40" s="7">
        <v>4</v>
      </c>
      <c r="AO40" s="7">
        <v>3</v>
      </c>
      <c r="AP40" s="19">
        <f t="shared" si="12"/>
        <v>75</v>
      </c>
      <c r="AQ40" s="9">
        <v>8</v>
      </c>
      <c r="AR40" s="9">
        <v>5</v>
      </c>
      <c r="AS40" s="19">
        <f t="shared" si="13"/>
        <v>62.5</v>
      </c>
      <c r="AT40" s="10">
        <f t="shared" si="14"/>
        <v>28</v>
      </c>
      <c r="AU40" s="10">
        <f t="shared" si="15"/>
        <v>10</v>
      </c>
      <c r="AV40" s="26">
        <f t="shared" si="16"/>
        <v>35.714285714285715</v>
      </c>
      <c r="AW40" s="10">
        <f t="shared" si="17"/>
        <v>50</v>
      </c>
      <c r="AX40" s="10">
        <f t="shared" si="18"/>
        <v>18</v>
      </c>
      <c r="AY40" s="26">
        <f t="shared" si="19"/>
        <v>36</v>
      </c>
      <c r="AZ40" s="10">
        <f t="shared" si="20"/>
        <v>78</v>
      </c>
      <c r="BA40" s="10">
        <f t="shared" si="21"/>
        <v>28</v>
      </c>
      <c r="BB40" s="27">
        <f t="shared" si="22"/>
        <v>35.897435897435898</v>
      </c>
    </row>
    <row r="41" spans="1:54">
      <c r="A41" s="12">
        <v>35</v>
      </c>
      <c r="B41" s="13">
        <v>1230321032</v>
      </c>
      <c r="C41" s="14" t="s">
        <v>57</v>
      </c>
      <c r="D41" s="7">
        <v>2</v>
      </c>
      <c r="E41" s="7">
        <v>1</v>
      </c>
      <c r="F41" s="19">
        <f t="shared" si="0"/>
        <v>50</v>
      </c>
      <c r="G41" s="9">
        <v>4</v>
      </c>
      <c r="H41" s="9">
        <v>1</v>
      </c>
      <c r="I41" s="19">
        <f t="shared" si="1"/>
        <v>25</v>
      </c>
      <c r="J41" s="7">
        <v>4</v>
      </c>
      <c r="K41" s="7">
        <v>1</v>
      </c>
      <c r="L41" s="19">
        <f t="shared" si="2"/>
        <v>25</v>
      </c>
      <c r="M41" s="9">
        <v>11</v>
      </c>
      <c r="N41" s="9">
        <v>0</v>
      </c>
      <c r="O41" s="19">
        <f t="shared" si="3"/>
        <v>0</v>
      </c>
      <c r="P41" s="7">
        <v>10</v>
      </c>
      <c r="Q41" s="7">
        <v>4</v>
      </c>
      <c r="R41" s="19">
        <f t="shared" si="4"/>
        <v>40</v>
      </c>
      <c r="S41" s="9">
        <v>5</v>
      </c>
      <c r="T41" s="9">
        <v>2</v>
      </c>
      <c r="U41" s="19">
        <f t="shared" si="5"/>
        <v>40</v>
      </c>
      <c r="V41" s="7">
        <v>2</v>
      </c>
      <c r="W41" s="7">
        <v>2</v>
      </c>
      <c r="X41" s="19">
        <f t="shared" si="6"/>
        <v>100</v>
      </c>
      <c r="Y41" s="9">
        <v>6</v>
      </c>
      <c r="Z41" s="9">
        <v>4</v>
      </c>
      <c r="AA41" s="19">
        <f t="shared" si="7"/>
        <v>66.666666666666657</v>
      </c>
      <c r="AB41" s="7">
        <v>2</v>
      </c>
      <c r="AC41" s="7">
        <v>2</v>
      </c>
      <c r="AD41" s="19">
        <f t="shared" si="8"/>
        <v>100</v>
      </c>
      <c r="AE41" s="9">
        <v>7</v>
      </c>
      <c r="AF41" s="9">
        <v>4</v>
      </c>
      <c r="AG41" s="19">
        <f t="shared" si="9"/>
        <v>57.142857142857139</v>
      </c>
      <c r="AH41" s="7">
        <v>4</v>
      </c>
      <c r="AI41" s="7">
        <v>3</v>
      </c>
      <c r="AJ41" s="19">
        <f t="shared" si="10"/>
        <v>75</v>
      </c>
      <c r="AK41" s="9">
        <v>9</v>
      </c>
      <c r="AL41" s="9">
        <v>4</v>
      </c>
      <c r="AM41" s="19">
        <f t="shared" si="11"/>
        <v>44.444444444444443</v>
      </c>
      <c r="AN41" s="7">
        <v>4</v>
      </c>
      <c r="AO41" s="7">
        <v>2</v>
      </c>
      <c r="AP41" s="19">
        <f t="shared" si="12"/>
        <v>50</v>
      </c>
      <c r="AQ41" s="9">
        <v>8</v>
      </c>
      <c r="AR41" s="9">
        <v>6</v>
      </c>
      <c r="AS41" s="19">
        <f t="shared" si="13"/>
        <v>75</v>
      </c>
      <c r="AT41" s="10">
        <f t="shared" si="14"/>
        <v>28</v>
      </c>
      <c r="AU41" s="10">
        <f t="shared" si="15"/>
        <v>15</v>
      </c>
      <c r="AV41" s="26">
        <f t="shared" si="16"/>
        <v>53.571428571428569</v>
      </c>
      <c r="AW41" s="10">
        <f t="shared" si="17"/>
        <v>50</v>
      </c>
      <c r="AX41" s="10">
        <f t="shared" si="18"/>
        <v>21</v>
      </c>
      <c r="AY41" s="26">
        <f t="shared" si="19"/>
        <v>42</v>
      </c>
      <c r="AZ41" s="10">
        <f t="shared" si="20"/>
        <v>78</v>
      </c>
      <c r="BA41" s="10">
        <f t="shared" si="21"/>
        <v>36</v>
      </c>
      <c r="BB41" s="27">
        <f t="shared" si="22"/>
        <v>46.153846153846153</v>
      </c>
    </row>
    <row r="42" spans="1:54">
      <c r="A42" s="12">
        <v>36</v>
      </c>
      <c r="B42" s="13">
        <v>1230321033</v>
      </c>
      <c r="C42" s="14" t="s">
        <v>58</v>
      </c>
      <c r="D42" s="7">
        <v>2</v>
      </c>
      <c r="E42" s="7">
        <v>0</v>
      </c>
      <c r="F42" s="19">
        <f t="shared" si="0"/>
        <v>0</v>
      </c>
      <c r="G42" s="9">
        <v>4</v>
      </c>
      <c r="H42" s="9">
        <v>2</v>
      </c>
      <c r="I42" s="19">
        <f t="shared" si="1"/>
        <v>50</v>
      </c>
      <c r="J42" s="7">
        <v>4</v>
      </c>
      <c r="K42" s="7">
        <v>3</v>
      </c>
      <c r="L42" s="19">
        <f t="shared" si="2"/>
        <v>75</v>
      </c>
      <c r="M42" s="9">
        <v>11</v>
      </c>
      <c r="N42" s="9">
        <v>5</v>
      </c>
      <c r="O42" s="19">
        <f t="shared" si="3"/>
        <v>45.454545454545453</v>
      </c>
      <c r="P42" s="7">
        <v>10</v>
      </c>
      <c r="Q42" s="7">
        <v>9</v>
      </c>
      <c r="R42" s="19">
        <f t="shared" si="4"/>
        <v>90</v>
      </c>
      <c r="S42" s="9">
        <v>5</v>
      </c>
      <c r="T42" s="9">
        <v>4</v>
      </c>
      <c r="U42" s="19">
        <f t="shared" si="5"/>
        <v>80</v>
      </c>
      <c r="V42" s="7">
        <v>2</v>
      </c>
      <c r="W42" s="7">
        <v>2</v>
      </c>
      <c r="X42" s="19">
        <f t="shared" si="6"/>
        <v>100</v>
      </c>
      <c r="Y42" s="9">
        <v>6</v>
      </c>
      <c r="Z42" s="9">
        <v>4</v>
      </c>
      <c r="AA42" s="19">
        <f t="shared" si="7"/>
        <v>66.666666666666657</v>
      </c>
      <c r="AB42" s="7">
        <v>2</v>
      </c>
      <c r="AC42" s="7">
        <v>2</v>
      </c>
      <c r="AD42" s="19">
        <f t="shared" si="8"/>
        <v>100</v>
      </c>
      <c r="AE42" s="9">
        <v>7</v>
      </c>
      <c r="AF42" s="9">
        <v>5</v>
      </c>
      <c r="AG42" s="19">
        <f t="shared" si="9"/>
        <v>71.428571428571431</v>
      </c>
      <c r="AH42" s="7">
        <v>4</v>
      </c>
      <c r="AI42" s="7">
        <v>4</v>
      </c>
      <c r="AJ42" s="19">
        <f t="shared" si="10"/>
        <v>100</v>
      </c>
      <c r="AK42" s="9">
        <v>9</v>
      </c>
      <c r="AL42" s="9">
        <v>6</v>
      </c>
      <c r="AM42" s="19">
        <f t="shared" si="11"/>
        <v>66.666666666666657</v>
      </c>
      <c r="AN42" s="7">
        <v>4</v>
      </c>
      <c r="AO42" s="7">
        <v>4</v>
      </c>
      <c r="AP42" s="19">
        <f t="shared" si="12"/>
        <v>100</v>
      </c>
      <c r="AQ42" s="9">
        <v>8</v>
      </c>
      <c r="AR42" s="9">
        <v>6</v>
      </c>
      <c r="AS42" s="19">
        <f t="shared" si="13"/>
        <v>75</v>
      </c>
      <c r="AT42" s="10">
        <f t="shared" si="14"/>
        <v>28</v>
      </c>
      <c r="AU42" s="10">
        <f t="shared" si="15"/>
        <v>24</v>
      </c>
      <c r="AV42" s="26">
        <f t="shared" si="16"/>
        <v>85.714285714285708</v>
      </c>
      <c r="AW42" s="10">
        <f t="shared" si="17"/>
        <v>50</v>
      </c>
      <c r="AX42" s="10">
        <f t="shared" si="18"/>
        <v>32</v>
      </c>
      <c r="AY42" s="26">
        <f t="shared" si="19"/>
        <v>64</v>
      </c>
      <c r="AZ42" s="10">
        <f t="shared" si="20"/>
        <v>78</v>
      </c>
      <c r="BA42" s="10">
        <f t="shared" si="21"/>
        <v>56</v>
      </c>
      <c r="BB42" s="27">
        <f t="shared" si="22"/>
        <v>71.794871794871796</v>
      </c>
    </row>
    <row r="43" spans="1:54">
      <c r="A43" s="12">
        <v>37</v>
      </c>
      <c r="B43" s="13">
        <v>1230321034</v>
      </c>
      <c r="C43" s="14" t="s">
        <v>59</v>
      </c>
      <c r="D43" s="7">
        <v>2</v>
      </c>
      <c r="E43" s="7">
        <v>0</v>
      </c>
      <c r="F43" s="19">
        <f t="shared" si="0"/>
        <v>0</v>
      </c>
      <c r="G43" s="9">
        <v>4</v>
      </c>
      <c r="H43" s="9">
        <v>0</v>
      </c>
      <c r="I43" s="19">
        <f t="shared" si="1"/>
        <v>0</v>
      </c>
      <c r="J43" s="7">
        <v>4</v>
      </c>
      <c r="K43" s="7">
        <v>1</v>
      </c>
      <c r="L43" s="19">
        <f t="shared" si="2"/>
        <v>25</v>
      </c>
      <c r="M43" s="9">
        <v>11</v>
      </c>
      <c r="N43" s="9">
        <v>1</v>
      </c>
      <c r="O43" s="19">
        <f t="shared" si="3"/>
        <v>9.0909090909090917</v>
      </c>
      <c r="P43" s="7">
        <v>10</v>
      </c>
      <c r="Q43" s="7">
        <v>4</v>
      </c>
      <c r="R43" s="19">
        <f t="shared" si="4"/>
        <v>40</v>
      </c>
      <c r="S43" s="9">
        <v>5</v>
      </c>
      <c r="T43" s="9">
        <v>1</v>
      </c>
      <c r="U43" s="19">
        <f t="shared" si="5"/>
        <v>20</v>
      </c>
      <c r="V43" s="7">
        <v>2</v>
      </c>
      <c r="W43" s="7">
        <v>1</v>
      </c>
      <c r="X43" s="19">
        <f t="shared" si="6"/>
        <v>50</v>
      </c>
      <c r="Y43" s="9">
        <v>6</v>
      </c>
      <c r="Z43" s="9">
        <v>2</v>
      </c>
      <c r="AA43" s="19">
        <f t="shared" si="7"/>
        <v>33.333333333333329</v>
      </c>
      <c r="AB43" s="7">
        <v>2</v>
      </c>
      <c r="AC43" s="7">
        <v>2</v>
      </c>
      <c r="AD43" s="19">
        <f t="shared" si="8"/>
        <v>100</v>
      </c>
      <c r="AE43" s="9">
        <v>7</v>
      </c>
      <c r="AF43" s="9">
        <v>2</v>
      </c>
      <c r="AG43" s="19">
        <f t="shared" si="9"/>
        <v>28.571428571428569</v>
      </c>
      <c r="AH43" s="7">
        <v>4</v>
      </c>
      <c r="AI43" s="7">
        <v>2</v>
      </c>
      <c r="AJ43" s="19">
        <f t="shared" si="10"/>
        <v>50</v>
      </c>
      <c r="AK43" s="9">
        <v>9</v>
      </c>
      <c r="AL43" s="9">
        <v>1</v>
      </c>
      <c r="AM43" s="19">
        <f t="shared" si="11"/>
        <v>11.111111111111111</v>
      </c>
      <c r="AN43" s="7">
        <v>4</v>
      </c>
      <c r="AO43" s="7">
        <v>3</v>
      </c>
      <c r="AP43" s="19">
        <f t="shared" si="12"/>
        <v>75</v>
      </c>
      <c r="AQ43" s="9">
        <v>8</v>
      </c>
      <c r="AR43" s="9">
        <v>0</v>
      </c>
      <c r="AS43" s="19">
        <f t="shared" si="13"/>
        <v>0</v>
      </c>
      <c r="AT43" s="10">
        <f t="shared" si="14"/>
        <v>28</v>
      </c>
      <c r="AU43" s="10">
        <f t="shared" si="15"/>
        <v>13</v>
      </c>
      <c r="AV43" s="26">
        <f t="shared" si="16"/>
        <v>46.428571428571431</v>
      </c>
      <c r="AW43" s="10">
        <f t="shared" si="17"/>
        <v>50</v>
      </c>
      <c r="AX43" s="10">
        <f t="shared" si="18"/>
        <v>7</v>
      </c>
      <c r="AY43" s="26">
        <f t="shared" si="19"/>
        <v>14.000000000000002</v>
      </c>
      <c r="AZ43" s="10">
        <f t="shared" si="20"/>
        <v>78</v>
      </c>
      <c r="BA43" s="10">
        <f t="shared" si="21"/>
        <v>20</v>
      </c>
      <c r="BB43" s="27">
        <f t="shared" si="22"/>
        <v>25.641025641025639</v>
      </c>
    </row>
    <row r="44" spans="1:54">
      <c r="A44" s="12">
        <v>38</v>
      </c>
      <c r="B44" s="13">
        <v>1230321035</v>
      </c>
      <c r="C44" s="14" t="s">
        <v>60</v>
      </c>
      <c r="D44" s="7">
        <v>2</v>
      </c>
      <c r="E44" s="7">
        <v>0</v>
      </c>
      <c r="F44" s="19">
        <f t="shared" si="0"/>
        <v>0</v>
      </c>
      <c r="G44" s="9">
        <v>4</v>
      </c>
      <c r="H44" s="9">
        <v>2</v>
      </c>
      <c r="I44" s="19">
        <f t="shared" si="1"/>
        <v>50</v>
      </c>
      <c r="J44" s="7">
        <v>4</v>
      </c>
      <c r="K44" s="7">
        <v>2</v>
      </c>
      <c r="L44" s="19">
        <f t="shared" si="2"/>
        <v>50</v>
      </c>
      <c r="M44" s="9">
        <v>11</v>
      </c>
      <c r="N44" s="9">
        <v>5</v>
      </c>
      <c r="O44" s="19">
        <f t="shared" si="3"/>
        <v>45.454545454545453</v>
      </c>
      <c r="P44" s="7">
        <v>10</v>
      </c>
      <c r="Q44" s="7">
        <v>7</v>
      </c>
      <c r="R44" s="19">
        <f t="shared" si="4"/>
        <v>70</v>
      </c>
      <c r="S44" s="9">
        <v>5</v>
      </c>
      <c r="T44" s="9">
        <v>3</v>
      </c>
      <c r="U44" s="19">
        <f t="shared" si="5"/>
        <v>60</v>
      </c>
      <c r="V44" s="7">
        <v>2</v>
      </c>
      <c r="W44" s="7">
        <v>1</v>
      </c>
      <c r="X44" s="19">
        <f t="shared" si="6"/>
        <v>50</v>
      </c>
      <c r="Y44" s="9">
        <v>6</v>
      </c>
      <c r="Z44" s="9">
        <v>3</v>
      </c>
      <c r="AA44" s="19">
        <f t="shared" si="7"/>
        <v>50</v>
      </c>
      <c r="AB44" s="7">
        <v>2</v>
      </c>
      <c r="AC44" s="7">
        <v>1</v>
      </c>
      <c r="AD44" s="19">
        <f t="shared" si="8"/>
        <v>50</v>
      </c>
      <c r="AE44" s="9">
        <v>7</v>
      </c>
      <c r="AF44" s="9">
        <v>3</v>
      </c>
      <c r="AG44" s="19">
        <f t="shared" si="9"/>
        <v>42.857142857142854</v>
      </c>
      <c r="AH44" s="7">
        <v>4</v>
      </c>
      <c r="AI44" s="7">
        <v>3</v>
      </c>
      <c r="AJ44" s="19">
        <f t="shared" si="10"/>
        <v>75</v>
      </c>
      <c r="AK44" s="9">
        <v>9</v>
      </c>
      <c r="AL44" s="9">
        <v>5</v>
      </c>
      <c r="AM44" s="19">
        <f t="shared" si="11"/>
        <v>55.555555555555557</v>
      </c>
      <c r="AN44" s="7">
        <v>4</v>
      </c>
      <c r="AO44" s="7">
        <v>4</v>
      </c>
      <c r="AP44" s="19">
        <f t="shared" si="12"/>
        <v>100</v>
      </c>
      <c r="AQ44" s="9">
        <v>8</v>
      </c>
      <c r="AR44" s="9">
        <v>5</v>
      </c>
      <c r="AS44" s="19">
        <f t="shared" si="13"/>
        <v>62.5</v>
      </c>
      <c r="AT44" s="10">
        <f t="shared" si="14"/>
        <v>28</v>
      </c>
      <c r="AU44" s="10">
        <f t="shared" si="15"/>
        <v>18</v>
      </c>
      <c r="AV44" s="26">
        <f t="shared" si="16"/>
        <v>64.285714285714292</v>
      </c>
      <c r="AW44" s="10">
        <f t="shared" si="17"/>
        <v>50</v>
      </c>
      <c r="AX44" s="10">
        <f t="shared" si="18"/>
        <v>26</v>
      </c>
      <c r="AY44" s="26">
        <f t="shared" si="19"/>
        <v>52</v>
      </c>
      <c r="AZ44" s="10">
        <f t="shared" si="20"/>
        <v>78</v>
      </c>
      <c r="BA44" s="10">
        <f t="shared" si="21"/>
        <v>44</v>
      </c>
      <c r="BB44" s="27">
        <f t="shared" si="22"/>
        <v>56.410256410256409</v>
      </c>
    </row>
    <row r="45" spans="1:54">
      <c r="A45" s="12">
        <v>39</v>
      </c>
      <c r="B45" s="13">
        <v>1230321036</v>
      </c>
      <c r="C45" s="14" t="s">
        <v>61</v>
      </c>
      <c r="D45" s="7">
        <v>2</v>
      </c>
      <c r="E45" s="7">
        <v>0</v>
      </c>
      <c r="F45" s="19">
        <f t="shared" si="0"/>
        <v>0</v>
      </c>
      <c r="G45" s="9">
        <v>4</v>
      </c>
      <c r="H45" s="9">
        <v>2</v>
      </c>
      <c r="I45" s="19">
        <f t="shared" si="1"/>
        <v>50</v>
      </c>
      <c r="J45" s="7">
        <v>4</v>
      </c>
      <c r="K45" s="7">
        <v>3</v>
      </c>
      <c r="L45" s="19">
        <f t="shared" si="2"/>
        <v>75</v>
      </c>
      <c r="M45" s="9">
        <v>11</v>
      </c>
      <c r="N45" s="9">
        <v>5</v>
      </c>
      <c r="O45" s="19">
        <f t="shared" si="3"/>
        <v>45.454545454545453</v>
      </c>
      <c r="P45" s="7">
        <v>10</v>
      </c>
      <c r="Q45" s="7">
        <v>9</v>
      </c>
      <c r="R45" s="19">
        <f t="shared" si="4"/>
        <v>90</v>
      </c>
      <c r="S45" s="9">
        <v>5</v>
      </c>
      <c r="T45" s="9">
        <v>4</v>
      </c>
      <c r="U45" s="19">
        <f t="shared" si="5"/>
        <v>80</v>
      </c>
      <c r="V45" s="7">
        <v>2</v>
      </c>
      <c r="W45" s="7">
        <v>1</v>
      </c>
      <c r="X45" s="19">
        <f t="shared" si="6"/>
        <v>50</v>
      </c>
      <c r="Y45" s="9">
        <v>6</v>
      </c>
      <c r="Z45" s="9">
        <v>4</v>
      </c>
      <c r="AA45" s="19">
        <f t="shared" si="7"/>
        <v>66.666666666666657</v>
      </c>
      <c r="AB45" s="7">
        <v>2</v>
      </c>
      <c r="AC45" s="7">
        <v>2</v>
      </c>
      <c r="AD45" s="19">
        <f t="shared" si="8"/>
        <v>100</v>
      </c>
      <c r="AE45" s="9">
        <v>7</v>
      </c>
      <c r="AF45" s="9">
        <v>6</v>
      </c>
      <c r="AG45" s="19">
        <f t="shared" si="9"/>
        <v>85.714285714285708</v>
      </c>
      <c r="AH45" s="7">
        <v>4</v>
      </c>
      <c r="AI45" s="7">
        <v>3</v>
      </c>
      <c r="AJ45" s="19">
        <f t="shared" si="10"/>
        <v>75</v>
      </c>
      <c r="AK45" s="9">
        <v>9</v>
      </c>
      <c r="AL45" s="9">
        <v>8</v>
      </c>
      <c r="AM45" s="19">
        <f t="shared" si="11"/>
        <v>88.888888888888886</v>
      </c>
      <c r="AN45" s="7">
        <v>4</v>
      </c>
      <c r="AO45" s="7">
        <v>4</v>
      </c>
      <c r="AP45" s="19">
        <f t="shared" si="12"/>
        <v>100</v>
      </c>
      <c r="AQ45" s="9">
        <v>8</v>
      </c>
      <c r="AR45" s="9">
        <v>8</v>
      </c>
      <c r="AS45" s="19">
        <f t="shared" si="13"/>
        <v>100</v>
      </c>
      <c r="AT45" s="10">
        <f t="shared" si="14"/>
        <v>28</v>
      </c>
      <c r="AU45" s="10">
        <f t="shared" si="15"/>
        <v>22</v>
      </c>
      <c r="AV45" s="26">
        <f t="shared" si="16"/>
        <v>78.571428571428569</v>
      </c>
      <c r="AW45" s="10">
        <f t="shared" si="17"/>
        <v>50</v>
      </c>
      <c r="AX45" s="10">
        <f t="shared" si="18"/>
        <v>37</v>
      </c>
      <c r="AY45" s="26">
        <f t="shared" si="19"/>
        <v>74</v>
      </c>
      <c r="AZ45" s="10">
        <f t="shared" si="20"/>
        <v>78</v>
      </c>
      <c r="BA45" s="10">
        <f t="shared" si="21"/>
        <v>59</v>
      </c>
      <c r="BB45" s="27">
        <f t="shared" si="22"/>
        <v>75.641025641025635</v>
      </c>
    </row>
    <row r="46" spans="1:54">
      <c r="A46" s="12">
        <v>40</v>
      </c>
      <c r="B46" s="13">
        <v>1230321037</v>
      </c>
      <c r="C46" s="14" t="s">
        <v>62</v>
      </c>
      <c r="D46" s="7">
        <v>2</v>
      </c>
      <c r="E46" s="7">
        <v>0</v>
      </c>
      <c r="F46" s="19">
        <f t="shared" si="0"/>
        <v>0</v>
      </c>
      <c r="G46" s="9">
        <v>4</v>
      </c>
      <c r="H46" s="9">
        <v>1</v>
      </c>
      <c r="I46" s="19">
        <f t="shared" si="1"/>
        <v>25</v>
      </c>
      <c r="J46" s="7">
        <v>4</v>
      </c>
      <c r="K46" s="7">
        <v>3</v>
      </c>
      <c r="L46" s="19">
        <f t="shared" si="2"/>
        <v>75</v>
      </c>
      <c r="M46" s="9">
        <v>11</v>
      </c>
      <c r="N46" s="9">
        <v>8</v>
      </c>
      <c r="O46" s="19">
        <f t="shared" si="3"/>
        <v>72.727272727272734</v>
      </c>
      <c r="P46" s="7">
        <v>10</v>
      </c>
      <c r="Q46" s="7">
        <v>7</v>
      </c>
      <c r="R46" s="19">
        <f t="shared" si="4"/>
        <v>70</v>
      </c>
      <c r="S46" s="9">
        <v>5</v>
      </c>
      <c r="T46" s="9">
        <v>3</v>
      </c>
      <c r="U46" s="19">
        <f t="shared" si="5"/>
        <v>60</v>
      </c>
      <c r="V46" s="7">
        <v>2</v>
      </c>
      <c r="W46" s="7">
        <v>2</v>
      </c>
      <c r="X46" s="19">
        <f t="shared" si="6"/>
        <v>100</v>
      </c>
      <c r="Y46" s="9">
        <v>6</v>
      </c>
      <c r="Z46" s="9">
        <v>5</v>
      </c>
      <c r="AA46" s="19">
        <f t="shared" si="7"/>
        <v>83.333333333333343</v>
      </c>
      <c r="AB46" s="7">
        <v>2</v>
      </c>
      <c r="AC46" s="7">
        <v>2</v>
      </c>
      <c r="AD46" s="19">
        <f t="shared" si="8"/>
        <v>100</v>
      </c>
      <c r="AE46" s="9">
        <v>7</v>
      </c>
      <c r="AF46" s="9">
        <v>7</v>
      </c>
      <c r="AG46" s="19">
        <f t="shared" si="9"/>
        <v>100</v>
      </c>
      <c r="AH46" s="7">
        <v>4</v>
      </c>
      <c r="AI46" s="7">
        <v>2</v>
      </c>
      <c r="AJ46" s="19">
        <f t="shared" si="10"/>
        <v>50</v>
      </c>
      <c r="AK46" s="9">
        <v>9</v>
      </c>
      <c r="AL46" s="9">
        <v>4</v>
      </c>
      <c r="AM46" s="19">
        <f t="shared" si="11"/>
        <v>44.444444444444443</v>
      </c>
      <c r="AN46" s="7">
        <v>4</v>
      </c>
      <c r="AO46" s="7">
        <v>4</v>
      </c>
      <c r="AP46" s="19">
        <f t="shared" si="12"/>
        <v>100</v>
      </c>
      <c r="AQ46" s="9">
        <v>8</v>
      </c>
      <c r="AR46" s="9">
        <v>7</v>
      </c>
      <c r="AS46" s="19">
        <f t="shared" si="13"/>
        <v>87.5</v>
      </c>
      <c r="AT46" s="10">
        <f t="shared" si="14"/>
        <v>28</v>
      </c>
      <c r="AU46" s="10">
        <f t="shared" si="15"/>
        <v>20</v>
      </c>
      <c r="AV46" s="26">
        <f t="shared" si="16"/>
        <v>71.428571428571431</v>
      </c>
      <c r="AW46" s="10">
        <f t="shared" si="17"/>
        <v>50</v>
      </c>
      <c r="AX46" s="10">
        <f t="shared" si="18"/>
        <v>35</v>
      </c>
      <c r="AY46" s="26">
        <f t="shared" si="19"/>
        <v>70</v>
      </c>
      <c r="AZ46" s="10">
        <f t="shared" si="20"/>
        <v>78</v>
      </c>
      <c r="BA46" s="10">
        <f t="shared" si="21"/>
        <v>55</v>
      </c>
      <c r="BB46" s="27">
        <f t="shared" si="22"/>
        <v>70.512820512820511</v>
      </c>
    </row>
    <row r="47" spans="1:54">
      <c r="A47" s="12">
        <v>41</v>
      </c>
      <c r="B47" s="13">
        <v>1230321038</v>
      </c>
      <c r="C47" s="14" t="s">
        <v>63</v>
      </c>
      <c r="D47" s="7">
        <v>2</v>
      </c>
      <c r="E47" s="7">
        <v>0</v>
      </c>
      <c r="F47" s="19">
        <f t="shared" si="0"/>
        <v>0</v>
      </c>
      <c r="G47" s="9">
        <v>4</v>
      </c>
      <c r="H47" s="9">
        <v>0</v>
      </c>
      <c r="I47" s="19">
        <f t="shared" si="1"/>
        <v>0</v>
      </c>
      <c r="J47" s="7">
        <v>4</v>
      </c>
      <c r="K47" s="7">
        <v>3</v>
      </c>
      <c r="L47" s="19">
        <f t="shared" si="2"/>
        <v>75</v>
      </c>
      <c r="M47" s="9">
        <v>11</v>
      </c>
      <c r="N47" s="9">
        <v>2</v>
      </c>
      <c r="O47" s="19">
        <f t="shared" si="3"/>
        <v>18.181818181818183</v>
      </c>
      <c r="P47" s="7">
        <v>10</v>
      </c>
      <c r="Q47" s="7">
        <v>4</v>
      </c>
      <c r="R47" s="19">
        <f t="shared" si="4"/>
        <v>40</v>
      </c>
      <c r="S47" s="9">
        <v>5</v>
      </c>
      <c r="T47" s="9">
        <v>2</v>
      </c>
      <c r="U47" s="19">
        <f t="shared" si="5"/>
        <v>40</v>
      </c>
      <c r="V47" s="7">
        <v>2</v>
      </c>
      <c r="W47" s="7">
        <v>2</v>
      </c>
      <c r="X47" s="19">
        <f t="shared" si="6"/>
        <v>100</v>
      </c>
      <c r="Y47" s="9">
        <v>6</v>
      </c>
      <c r="Z47" s="9">
        <v>0</v>
      </c>
      <c r="AA47" s="19">
        <f t="shared" si="7"/>
        <v>0</v>
      </c>
      <c r="AB47" s="7">
        <v>2</v>
      </c>
      <c r="AC47" s="7">
        <v>0</v>
      </c>
      <c r="AD47" s="19">
        <f t="shared" si="8"/>
        <v>0</v>
      </c>
      <c r="AE47" s="9">
        <v>7</v>
      </c>
      <c r="AF47" s="9">
        <v>2</v>
      </c>
      <c r="AG47" s="19">
        <f t="shared" si="9"/>
        <v>28.571428571428569</v>
      </c>
      <c r="AH47" s="7">
        <v>4</v>
      </c>
      <c r="AI47" s="7">
        <v>1</v>
      </c>
      <c r="AJ47" s="19">
        <f t="shared" si="10"/>
        <v>25</v>
      </c>
      <c r="AK47" s="9">
        <v>9</v>
      </c>
      <c r="AL47" s="9">
        <v>1</v>
      </c>
      <c r="AM47" s="19">
        <f t="shared" si="11"/>
        <v>11.111111111111111</v>
      </c>
      <c r="AN47" s="7">
        <v>4</v>
      </c>
      <c r="AO47" s="7">
        <v>1</v>
      </c>
      <c r="AP47" s="19">
        <f t="shared" si="12"/>
        <v>25</v>
      </c>
      <c r="AQ47" s="9">
        <v>8</v>
      </c>
      <c r="AR47" s="9">
        <v>1</v>
      </c>
      <c r="AS47" s="19">
        <f t="shared" si="13"/>
        <v>12.5</v>
      </c>
      <c r="AT47" s="10">
        <f t="shared" si="14"/>
        <v>28</v>
      </c>
      <c r="AU47" s="10">
        <f t="shared" si="15"/>
        <v>11</v>
      </c>
      <c r="AV47" s="26">
        <f t="shared" si="16"/>
        <v>39.285714285714285</v>
      </c>
      <c r="AW47" s="10">
        <f t="shared" si="17"/>
        <v>50</v>
      </c>
      <c r="AX47" s="10">
        <f t="shared" si="18"/>
        <v>8</v>
      </c>
      <c r="AY47" s="26">
        <f t="shared" si="19"/>
        <v>16</v>
      </c>
      <c r="AZ47" s="10">
        <f t="shared" si="20"/>
        <v>78</v>
      </c>
      <c r="BA47" s="10">
        <f t="shared" si="21"/>
        <v>19</v>
      </c>
      <c r="BB47" s="27">
        <f t="shared" si="22"/>
        <v>24.358974358974358</v>
      </c>
    </row>
    <row r="48" spans="1:54">
      <c r="A48" s="12">
        <v>42</v>
      </c>
      <c r="B48" s="13">
        <v>1230321039</v>
      </c>
      <c r="C48" s="14" t="s">
        <v>64</v>
      </c>
      <c r="D48" s="7">
        <v>2</v>
      </c>
      <c r="E48" s="10">
        <v>0</v>
      </c>
      <c r="F48" s="19">
        <f t="shared" si="0"/>
        <v>0</v>
      </c>
      <c r="G48" s="9">
        <v>4</v>
      </c>
      <c r="H48" s="9">
        <v>0</v>
      </c>
      <c r="I48" s="19">
        <f t="shared" si="1"/>
        <v>0</v>
      </c>
      <c r="J48" s="7">
        <v>4</v>
      </c>
      <c r="K48" s="10">
        <v>2</v>
      </c>
      <c r="L48" s="19">
        <f t="shared" si="2"/>
        <v>50</v>
      </c>
      <c r="M48" s="9">
        <v>10</v>
      </c>
      <c r="N48" s="9">
        <v>2</v>
      </c>
      <c r="O48" s="19">
        <f t="shared" si="3"/>
        <v>20</v>
      </c>
      <c r="P48" s="7">
        <v>9</v>
      </c>
      <c r="Q48" s="10">
        <v>3</v>
      </c>
      <c r="R48" s="19">
        <f t="shared" si="4"/>
        <v>33.333333333333329</v>
      </c>
      <c r="S48" s="9">
        <v>5</v>
      </c>
      <c r="T48" s="9">
        <v>3</v>
      </c>
      <c r="U48" s="19">
        <f t="shared" si="5"/>
        <v>60</v>
      </c>
      <c r="V48" s="7">
        <v>2</v>
      </c>
      <c r="W48" s="10">
        <v>2</v>
      </c>
      <c r="X48" s="19">
        <f t="shared" si="6"/>
        <v>100</v>
      </c>
      <c r="Y48" s="9">
        <v>6</v>
      </c>
      <c r="Z48" s="9">
        <v>2</v>
      </c>
      <c r="AA48" s="19">
        <f t="shared" si="7"/>
        <v>33.333333333333329</v>
      </c>
      <c r="AB48" s="7">
        <v>2</v>
      </c>
      <c r="AC48" s="10">
        <v>1</v>
      </c>
      <c r="AD48" s="19">
        <f t="shared" si="8"/>
        <v>50</v>
      </c>
      <c r="AE48" s="9">
        <v>7</v>
      </c>
      <c r="AF48" s="9">
        <v>1</v>
      </c>
      <c r="AG48" s="19">
        <f t="shared" si="9"/>
        <v>14.285714285714285</v>
      </c>
      <c r="AH48" s="7">
        <v>4</v>
      </c>
      <c r="AI48" s="10">
        <v>3</v>
      </c>
      <c r="AJ48" s="19">
        <f t="shared" si="10"/>
        <v>75</v>
      </c>
      <c r="AK48" s="9">
        <v>10</v>
      </c>
      <c r="AL48" s="9">
        <v>2</v>
      </c>
      <c r="AM48" s="19">
        <f t="shared" si="11"/>
        <v>20</v>
      </c>
      <c r="AN48" s="7">
        <v>4</v>
      </c>
      <c r="AO48" s="7">
        <v>3</v>
      </c>
      <c r="AP48" s="19">
        <f t="shared" si="12"/>
        <v>75</v>
      </c>
      <c r="AQ48" s="9">
        <v>9</v>
      </c>
      <c r="AR48" s="9">
        <v>6</v>
      </c>
      <c r="AS48" s="19">
        <f t="shared" si="13"/>
        <v>66.666666666666657</v>
      </c>
      <c r="AT48" s="10">
        <f t="shared" si="14"/>
        <v>27</v>
      </c>
      <c r="AU48" s="10">
        <f t="shared" si="15"/>
        <v>14</v>
      </c>
      <c r="AV48" s="26">
        <f t="shared" si="16"/>
        <v>51.851851851851848</v>
      </c>
      <c r="AW48" s="10">
        <f t="shared" si="17"/>
        <v>51</v>
      </c>
      <c r="AX48" s="10">
        <f t="shared" si="18"/>
        <v>16</v>
      </c>
      <c r="AY48" s="26">
        <f t="shared" si="19"/>
        <v>31.372549019607842</v>
      </c>
      <c r="AZ48" s="10">
        <f t="shared" si="20"/>
        <v>78</v>
      </c>
      <c r="BA48" s="10">
        <f t="shared" si="21"/>
        <v>30</v>
      </c>
      <c r="BB48" s="27">
        <f t="shared" si="22"/>
        <v>38.461538461538467</v>
      </c>
    </row>
    <row r="49" spans="1:54">
      <c r="A49" s="12">
        <v>43</v>
      </c>
      <c r="B49" s="13">
        <v>1230321040</v>
      </c>
      <c r="C49" s="14" t="s">
        <v>65</v>
      </c>
      <c r="D49" s="7">
        <v>2</v>
      </c>
      <c r="E49" s="7">
        <v>0</v>
      </c>
      <c r="F49" s="19">
        <f t="shared" si="0"/>
        <v>0</v>
      </c>
      <c r="G49" s="9">
        <v>4</v>
      </c>
      <c r="H49" s="9">
        <v>0</v>
      </c>
      <c r="I49" s="19">
        <f t="shared" si="1"/>
        <v>0</v>
      </c>
      <c r="J49" s="7">
        <v>4</v>
      </c>
      <c r="K49" s="7">
        <v>1</v>
      </c>
      <c r="L49" s="19">
        <f t="shared" si="2"/>
        <v>25</v>
      </c>
      <c r="M49" s="9">
        <v>10</v>
      </c>
      <c r="N49" s="9">
        <v>2</v>
      </c>
      <c r="O49" s="19">
        <f t="shared" si="3"/>
        <v>20</v>
      </c>
      <c r="P49" s="7">
        <v>9</v>
      </c>
      <c r="Q49" s="7">
        <v>3</v>
      </c>
      <c r="R49" s="19">
        <f t="shared" si="4"/>
        <v>33.333333333333329</v>
      </c>
      <c r="S49" s="9">
        <v>5</v>
      </c>
      <c r="T49" s="9">
        <v>2</v>
      </c>
      <c r="U49" s="19">
        <f t="shared" si="5"/>
        <v>40</v>
      </c>
      <c r="V49" s="7">
        <v>2</v>
      </c>
      <c r="W49" s="7">
        <v>2</v>
      </c>
      <c r="X49" s="19">
        <f t="shared" si="6"/>
        <v>100</v>
      </c>
      <c r="Y49" s="9">
        <v>6</v>
      </c>
      <c r="Z49" s="9">
        <v>2</v>
      </c>
      <c r="AA49" s="19">
        <f t="shared" si="7"/>
        <v>33.333333333333329</v>
      </c>
      <c r="AB49" s="7">
        <v>2</v>
      </c>
      <c r="AC49" s="7">
        <v>0</v>
      </c>
      <c r="AD49" s="19">
        <f t="shared" si="8"/>
        <v>0</v>
      </c>
      <c r="AE49" s="9">
        <v>7</v>
      </c>
      <c r="AF49" s="9">
        <v>1</v>
      </c>
      <c r="AG49" s="19">
        <f t="shared" si="9"/>
        <v>14.285714285714285</v>
      </c>
      <c r="AH49" s="7">
        <v>4</v>
      </c>
      <c r="AI49" s="7">
        <v>2</v>
      </c>
      <c r="AJ49" s="19">
        <f t="shared" si="10"/>
        <v>50</v>
      </c>
      <c r="AK49" s="9">
        <v>10</v>
      </c>
      <c r="AL49" s="9">
        <v>2</v>
      </c>
      <c r="AM49" s="19">
        <f t="shared" si="11"/>
        <v>20</v>
      </c>
      <c r="AN49" s="7">
        <v>4</v>
      </c>
      <c r="AO49" s="7">
        <v>0</v>
      </c>
      <c r="AP49" s="19">
        <f t="shared" si="12"/>
        <v>0</v>
      </c>
      <c r="AQ49" s="9">
        <v>9</v>
      </c>
      <c r="AR49" s="9">
        <v>3</v>
      </c>
      <c r="AS49" s="19">
        <f t="shared" si="13"/>
        <v>33.333333333333329</v>
      </c>
      <c r="AT49" s="10">
        <f t="shared" si="14"/>
        <v>27</v>
      </c>
      <c r="AU49" s="10">
        <f t="shared" si="15"/>
        <v>8</v>
      </c>
      <c r="AV49" s="26">
        <f t="shared" si="16"/>
        <v>29.629629629629626</v>
      </c>
      <c r="AW49" s="10">
        <f t="shared" si="17"/>
        <v>51</v>
      </c>
      <c r="AX49" s="10">
        <f t="shared" si="18"/>
        <v>12</v>
      </c>
      <c r="AY49" s="26">
        <f t="shared" si="19"/>
        <v>23.52941176470588</v>
      </c>
      <c r="AZ49" s="10">
        <f t="shared" si="20"/>
        <v>78</v>
      </c>
      <c r="BA49" s="10">
        <f t="shared" si="21"/>
        <v>20</v>
      </c>
      <c r="BB49" s="27">
        <f t="shared" si="22"/>
        <v>25.641025641025639</v>
      </c>
    </row>
    <row r="50" spans="1:54" s="11" customFormat="1">
      <c r="A50" s="12">
        <v>44</v>
      </c>
      <c r="B50" s="13">
        <v>1230321041</v>
      </c>
      <c r="C50" s="14" t="s">
        <v>66</v>
      </c>
      <c r="D50" s="7">
        <v>2</v>
      </c>
      <c r="E50" s="9">
        <v>0</v>
      </c>
      <c r="F50" s="19">
        <f t="shared" si="0"/>
        <v>0</v>
      </c>
      <c r="G50" s="9">
        <v>4</v>
      </c>
      <c r="H50" s="9">
        <v>0</v>
      </c>
      <c r="I50" s="19">
        <f t="shared" si="1"/>
        <v>0</v>
      </c>
      <c r="J50" s="7">
        <v>4</v>
      </c>
      <c r="K50" s="9">
        <v>3</v>
      </c>
      <c r="L50" s="19">
        <f t="shared" si="2"/>
        <v>75</v>
      </c>
      <c r="M50" s="9">
        <v>10</v>
      </c>
      <c r="N50" s="9">
        <v>3</v>
      </c>
      <c r="O50" s="19">
        <f t="shared" si="3"/>
        <v>30</v>
      </c>
      <c r="P50" s="7">
        <v>9</v>
      </c>
      <c r="Q50" s="9">
        <v>8</v>
      </c>
      <c r="R50" s="19">
        <f t="shared" si="4"/>
        <v>88.888888888888886</v>
      </c>
      <c r="S50" s="9">
        <v>5</v>
      </c>
      <c r="T50" s="9">
        <v>4</v>
      </c>
      <c r="U50" s="19">
        <f t="shared" si="5"/>
        <v>80</v>
      </c>
      <c r="V50" s="7">
        <v>2</v>
      </c>
      <c r="W50" s="9">
        <v>2</v>
      </c>
      <c r="X50" s="19">
        <f t="shared" si="6"/>
        <v>100</v>
      </c>
      <c r="Y50" s="9">
        <v>6</v>
      </c>
      <c r="Z50" s="9">
        <v>4</v>
      </c>
      <c r="AA50" s="19">
        <f t="shared" si="7"/>
        <v>66.666666666666657</v>
      </c>
      <c r="AB50" s="9">
        <v>2</v>
      </c>
      <c r="AC50" s="9">
        <v>2</v>
      </c>
      <c r="AD50" s="19">
        <f t="shared" si="8"/>
        <v>100</v>
      </c>
      <c r="AE50" s="9">
        <v>7</v>
      </c>
      <c r="AF50" s="9">
        <v>7</v>
      </c>
      <c r="AG50" s="19">
        <f t="shared" si="9"/>
        <v>100</v>
      </c>
      <c r="AH50" s="9">
        <v>4</v>
      </c>
      <c r="AI50" s="9">
        <v>2</v>
      </c>
      <c r="AJ50" s="19">
        <f t="shared" si="10"/>
        <v>50</v>
      </c>
      <c r="AK50" s="9">
        <v>10</v>
      </c>
      <c r="AL50" s="9">
        <v>6</v>
      </c>
      <c r="AM50" s="19">
        <f t="shared" si="11"/>
        <v>60</v>
      </c>
      <c r="AN50" s="7">
        <v>4</v>
      </c>
      <c r="AO50" s="9">
        <v>3</v>
      </c>
      <c r="AP50" s="19">
        <f t="shared" si="12"/>
        <v>75</v>
      </c>
      <c r="AQ50" s="9">
        <v>9</v>
      </c>
      <c r="AR50" s="9">
        <v>6</v>
      </c>
      <c r="AS50" s="19">
        <f t="shared" si="13"/>
        <v>66.666666666666657</v>
      </c>
      <c r="AT50" s="10">
        <f t="shared" si="14"/>
        <v>27</v>
      </c>
      <c r="AU50" s="10">
        <f t="shared" si="15"/>
        <v>20</v>
      </c>
      <c r="AV50" s="26">
        <f t="shared" si="16"/>
        <v>74.074074074074076</v>
      </c>
      <c r="AW50" s="10">
        <f t="shared" si="17"/>
        <v>51</v>
      </c>
      <c r="AX50" s="10">
        <f t="shared" si="18"/>
        <v>30</v>
      </c>
      <c r="AY50" s="26">
        <f t="shared" si="19"/>
        <v>58.82352941176471</v>
      </c>
      <c r="AZ50" s="10">
        <f t="shared" si="20"/>
        <v>78</v>
      </c>
      <c r="BA50" s="10">
        <f t="shared" si="21"/>
        <v>50</v>
      </c>
      <c r="BB50" s="27">
        <f t="shared" si="22"/>
        <v>64.102564102564102</v>
      </c>
    </row>
    <row r="51" spans="1:54" s="11" customFormat="1">
      <c r="A51" s="12">
        <v>45</v>
      </c>
      <c r="B51" s="13">
        <v>1230321042</v>
      </c>
      <c r="C51" s="14" t="s">
        <v>67</v>
      </c>
      <c r="D51" s="7">
        <v>2</v>
      </c>
      <c r="E51" s="9">
        <v>0</v>
      </c>
      <c r="F51" s="19">
        <f t="shared" si="0"/>
        <v>0</v>
      </c>
      <c r="G51" s="9">
        <v>4</v>
      </c>
      <c r="H51" s="9">
        <v>0</v>
      </c>
      <c r="I51" s="19">
        <f t="shared" si="1"/>
        <v>0</v>
      </c>
      <c r="J51" s="7">
        <v>4</v>
      </c>
      <c r="K51" s="9">
        <v>3</v>
      </c>
      <c r="L51" s="19">
        <f t="shared" si="2"/>
        <v>75</v>
      </c>
      <c r="M51" s="9">
        <v>10</v>
      </c>
      <c r="N51" s="9">
        <v>10</v>
      </c>
      <c r="O51" s="19">
        <f t="shared" si="3"/>
        <v>100</v>
      </c>
      <c r="P51" s="7">
        <v>9</v>
      </c>
      <c r="Q51" s="9">
        <v>8</v>
      </c>
      <c r="R51" s="19">
        <f t="shared" si="4"/>
        <v>88.888888888888886</v>
      </c>
      <c r="S51" s="9">
        <v>5</v>
      </c>
      <c r="T51" s="9">
        <v>5</v>
      </c>
      <c r="U51" s="19">
        <f t="shared" si="5"/>
        <v>100</v>
      </c>
      <c r="V51" s="7">
        <v>2</v>
      </c>
      <c r="W51" s="9">
        <v>2</v>
      </c>
      <c r="X51" s="19">
        <f t="shared" si="6"/>
        <v>100</v>
      </c>
      <c r="Y51" s="9">
        <v>6</v>
      </c>
      <c r="Z51" s="9">
        <v>2</v>
      </c>
      <c r="AA51" s="19">
        <f t="shared" si="7"/>
        <v>33.333333333333329</v>
      </c>
      <c r="AB51" s="9">
        <v>2</v>
      </c>
      <c r="AC51" s="9">
        <v>1</v>
      </c>
      <c r="AD51" s="19">
        <f t="shared" si="8"/>
        <v>50</v>
      </c>
      <c r="AE51" s="9">
        <v>7</v>
      </c>
      <c r="AF51" s="9">
        <v>7</v>
      </c>
      <c r="AG51" s="19">
        <f t="shared" si="9"/>
        <v>100</v>
      </c>
      <c r="AH51" s="9">
        <v>4</v>
      </c>
      <c r="AI51" s="9">
        <v>3</v>
      </c>
      <c r="AJ51" s="19">
        <f t="shared" si="10"/>
        <v>75</v>
      </c>
      <c r="AK51" s="9">
        <v>10</v>
      </c>
      <c r="AL51" s="9">
        <v>8</v>
      </c>
      <c r="AM51" s="19">
        <f t="shared" si="11"/>
        <v>80</v>
      </c>
      <c r="AN51" s="7">
        <v>4</v>
      </c>
      <c r="AO51" s="9">
        <v>2</v>
      </c>
      <c r="AP51" s="19">
        <f t="shared" si="12"/>
        <v>50</v>
      </c>
      <c r="AQ51" s="9">
        <v>9</v>
      </c>
      <c r="AR51" s="9">
        <v>8</v>
      </c>
      <c r="AS51" s="19">
        <f t="shared" si="13"/>
        <v>88.888888888888886</v>
      </c>
      <c r="AT51" s="10">
        <f t="shared" si="14"/>
        <v>27</v>
      </c>
      <c r="AU51" s="10">
        <f t="shared" si="15"/>
        <v>19</v>
      </c>
      <c r="AV51" s="26">
        <f t="shared" si="16"/>
        <v>70.370370370370367</v>
      </c>
      <c r="AW51" s="10">
        <f t="shared" si="17"/>
        <v>51</v>
      </c>
      <c r="AX51" s="10">
        <f t="shared" si="18"/>
        <v>40</v>
      </c>
      <c r="AY51" s="26">
        <f t="shared" si="19"/>
        <v>78.431372549019613</v>
      </c>
      <c r="AZ51" s="10">
        <f t="shared" si="20"/>
        <v>78</v>
      </c>
      <c r="BA51" s="10">
        <f t="shared" si="21"/>
        <v>59</v>
      </c>
      <c r="BB51" s="27">
        <f t="shared" si="22"/>
        <v>75.641025641025635</v>
      </c>
    </row>
    <row r="52" spans="1:54" s="11" customFormat="1">
      <c r="A52" s="12">
        <v>46</v>
      </c>
      <c r="B52" s="13">
        <v>1230321043</v>
      </c>
      <c r="C52" s="14" t="s">
        <v>68</v>
      </c>
      <c r="D52" s="7">
        <v>2</v>
      </c>
      <c r="E52" s="9">
        <v>1</v>
      </c>
      <c r="F52" s="19">
        <f t="shared" si="0"/>
        <v>50</v>
      </c>
      <c r="G52" s="9">
        <v>4</v>
      </c>
      <c r="H52" s="9">
        <v>1</v>
      </c>
      <c r="I52" s="19">
        <f t="shared" si="1"/>
        <v>25</v>
      </c>
      <c r="J52" s="7">
        <v>4</v>
      </c>
      <c r="K52" s="9">
        <v>2</v>
      </c>
      <c r="L52" s="19">
        <f t="shared" si="2"/>
        <v>50</v>
      </c>
      <c r="M52" s="9">
        <v>10</v>
      </c>
      <c r="N52" s="9">
        <v>3</v>
      </c>
      <c r="O52" s="19">
        <f t="shared" si="3"/>
        <v>30</v>
      </c>
      <c r="P52" s="7">
        <v>9</v>
      </c>
      <c r="Q52" s="9">
        <v>4</v>
      </c>
      <c r="R52" s="19">
        <f t="shared" si="4"/>
        <v>44.444444444444443</v>
      </c>
      <c r="S52" s="9">
        <v>5</v>
      </c>
      <c r="T52" s="9">
        <v>2</v>
      </c>
      <c r="U52" s="19">
        <f t="shared" si="5"/>
        <v>40</v>
      </c>
      <c r="V52" s="7">
        <v>2</v>
      </c>
      <c r="W52" s="9">
        <v>1</v>
      </c>
      <c r="X52" s="19">
        <f t="shared" si="6"/>
        <v>50</v>
      </c>
      <c r="Y52" s="9">
        <v>6</v>
      </c>
      <c r="Z52" s="9">
        <v>1</v>
      </c>
      <c r="AA52" s="19">
        <f t="shared" si="7"/>
        <v>16.666666666666664</v>
      </c>
      <c r="AB52" s="9">
        <v>2</v>
      </c>
      <c r="AC52" s="9">
        <v>0</v>
      </c>
      <c r="AD52" s="19">
        <f t="shared" si="8"/>
        <v>0</v>
      </c>
      <c r="AE52" s="9">
        <v>7</v>
      </c>
      <c r="AF52" s="9">
        <v>1</v>
      </c>
      <c r="AG52" s="19">
        <f t="shared" si="9"/>
        <v>14.285714285714285</v>
      </c>
      <c r="AH52" s="9">
        <v>4</v>
      </c>
      <c r="AI52" s="9">
        <v>1</v>
      </c>
      <c r="AJ52" s="19">
        <f t="shared" si="10"/>
        <v>25</v>
      </c>
      <c r="AK52" s="9">
        <v>10</v>
      </c>
      <c r="AL52" s="9">
        <v>0</v>
      </c>
      <c r="AM52" s="19">
        <f t="shared" si="11"/>
        <v>0</v>
      </c>
      <c r="AN52" s="7">
        <v>4</v>
      </c>
      <c r="AO52" s="9">
        <v>3</v>
      </c>
      <c r="AP52" s="19">
        <f t="shared" si="12"/>
        <v>75</v>
      </c>
      <c r="AQ52" s="9">
        <v>9</v>
      </c>
      <c r="AR52" s="9">
        <v>4</v>
      </c>
      <c r="AS52" s="19">
        <f t="shared" si="13"/>
        <v>44.444444444444443</v>
      </c>
      <c r="AT52" s="10">
        <f t="shared" si="14"/>
        <v>27</v>
      </c>
      <c r="AU52" s="10">
        <f t="shared" si="15"/>
        <v>12</v>
      </c>
      <c r="AV52" s="26">
        <f t="shared" si="16"/>
        <v>44.444444444444443</v>
      </c>
      <c r="AW52" s="10">
        <f t="shared" si="17"/>
        <v>51</v>
      </c>
      <c r="AX52" s="10">
        <f t="shared" si="18"/>
        <v>12</v>
      </c>
      <c r="AY52" s="26">
        <f t="shared" si="19"/>
        <v>23.52941176470588</v>
      </c>
      <c r="AZ52" s="10">
        <f t="shared" si="20"/>
        <v>78</v>
      </c>
      <c r="BA52" s="10">
        <f t="shared" si="21"/>
        <v>24</v>
      </c>
      <c r="BB52" s="27">
        <f t="shared" si="22"/>
        <v>30.76923076923077</v>
      </c>
    </row>
    <row r="53" spans="1:54" s="11" customFormat="1">
      <c r="A53" s="12">
        <v>47</v>
      </c>
      <c r="B53" s="13">
        <v>1230321044</v>
      </c>
      <c r="C53" s="14" t="s">
        <v>69</v>
      </c>
      <c r="D53" s="7">
        <v>2</v>
      </c>
      <c r="E53" s="9">
        <v>0</v>
      </c>
      <c r="F53" s="19">
        <f t="shared" si="0"/>
        <v>0</v>
      </c>
      <c r="G53" s="9">
        <v>4</v>
      </c>
      <c r="H53" s="9">
        <v>1</v>
      </c>
      <c r="I53" s="19">
        <f t="shared" si="1"/>
        <v>25</v>
      </c>
      <c r="J53" s="7">
        <v>4</v>
      </c>
      <c r="K53" s="9">
        <v>2</v>
      </c>
      <c r="L53" s="19">
        <f t="shared" si="2"/>
        <v>50</v>
      </c>
      <c r="M53" s="9">
        <v>10</v>
      </c>
      <c r="N53" s="9">
        <v>4</v>
      </c>
      <c r="O53" s="19">
        <f t="shared" si="3"/>
        <v>40</v>
      </c>
      <c r="P53" s="7">
        <v>9</v>
      </c>
      <c r="Q53" s="9">
        <v>4</v>
      </c>
      <c r="R53" s="19">
        <f t="shared" si="4"/>
        <v>44.444444444444443</v>
      </c>
      <c r="S53" s="9">
        <v>5</v>
      </c>
      <c r="T53" s="9">
        <v>2</v>
      </c>
      <c r="U53" s="19">
        <f t="shared" si="5"/>
        <v>40</v>
      </c>
      <c r="V53" s="7">
        <v>2</v>
      </c>
      <c r="W53" s="9">
        <v>1</v>
      </c>
      <c r="X53" s="19">
        <f t="shared" si="6"/>
        <v>50</v>
      </c>
      <c r="Y53" s="9">
        <v>6</v>
      </c>
      <c r="Z53" s="9">
        <v>0</v>
      </c>
      <c r="AA53" s="19">
        <f t="shared" si="7"/>
        <v>0</v>
      </c>
      <c r="AB53" s="9">
        <v>2</v>
      </c>
      <c r="AC53" s="9">
        <v>1</v>
      </c>
      <c r="AD53" s="19">
        <f t="shared" si="8"/>
        <v>50</v>
      </c>
      <c r="AE53" s="9">
        <v>7</v>
      </c>
      <c r="AF53" s="9">
        <v>3</v>
      </c>
      <c r="AG53" s="19">
        <f t="shared" si="9"/>
        <v>42.857142857142854</v>
      </c>
      <c r="AH53" s="9">
        <v>4</v>
      </c>
      <c r="AI53" s="9">
        <v>1</v>
      </c>
      <c r="AJ53" s="19">
        <f t="shared" si="10"/>
        <v>25</v>
      </c>
      <c r="AK53" s="9">
        <v>10</v>
      </c>
      <c r="AL53" s="9">
        <v>1</v>
      </c>
      <c r="AM53" s="19">
        <f t="shared" si="11"/>
        <v>10</v>
      </c>
      <c r="AN53" s="7">
        <v>4</v>
      </c>
      <c r="AO53" s="9">
        <v>2</v>
      </c>
      <c r="AP53" s="19">
        <f t="shared" si="12"/>
        <v>50</v>
      </c>
      <c r="AQ53" s="9">
        <v>9</v>
      </c>
      <c r="AR53" s="9">
        <v>3</v>
      </c>
      <c r="AS53" s="19">
        <f t="shared" si="13"/>
        <v>33.333333333333329</v>
      </c>
      <c r="AT53" s="10">
        <f t="shared" si="14"/>
        <v>27</v>
      </c>
      <c r="AU53" s="10">
        <f t="shared" si="15"/>
        <v>11</v>
      </c>
      <c r="AV53" s="26">
        <f t="shared" si="16"/>
        <v>40.74074074074074</v>
      </c>
      <c r="AW53" s="10">
        <f t="shared" si="17"/>
        <v>51</v>
      </c>
      <c r="AX53" s="10">
        <f t="shared" si="18"/>
        <v>14</v>
      </c>
      <c r="AY53" s="26">
        <f t="shared" si="19"/>
        <v>27.450980392156865</v>
      </c>
      <c r="AZ53" s="10">
        <f t="shared" si="20"/>
        <v>78</v>
      </c>
      <c r="BA53" s="10">
        <f t="shared" si="21"/>
        <v>25</v>
      </c>
      <c r="BB53" s="27">
        <f t="shared" si="22"/>
        <v>32.051282051282051</v>
      </c>
    </row>
    <row r="54" spans="1:54" s="11" customFormat="1">
      <c r="A54" s="12">
        <v>48</v>
      </c>
      <c r="B54" s="13">
        <v>1230321045</v>
      </c>
      <c r="C54" s="14" t="s">
        <v>70</v>
      </c>
      <c r="D54" s="7">
        <v>2</v>
      </c>
      <c r="E54" s="9">
        <v>1</v>
      </c>
      <c r="F54" s="19">
        <f t="shared" si="0"/>
        <v>50</v>
      </c>
      <c r="G54" s="9">
        <v>4</v>
      </c>
      <c r="H54" s="9">
        <v>0</v>
      </c>
      <c r="I54" s="19">
        <f t="shared" si="1"/>
        <v>0</v>
      </c>
      <c r="J54" s="7">
        <v>4</v>
      </c>
      <c r="K54" s="9">
        <v>3</v>
      </c>
      <c r="L54" s="19">
        <f t="shared" si="2"/>
        <v>75</v>
      </c>
      <c r="M54" s="9">
        <v>10</v>
      </c>
      <c r="N54" s="9">
        <v>6</v>
      </c>
      <c r="O54" s="19">
        <f t="shared" si="3"/>
        <v>60</v>
      </c>
      <c r="P54" s="7">
        <v>9</v>
      </c>
      <c r="Q54" s="9">
        <v>3</v>
      </c>
      <c r="R54" s="19">
        <f t="shared" si="4"/>
        <v>33.333333333333329</v>
      </c>
      <c r="S54" s="9">
        <v>5</v>
      </c>
      <c r="T54" s="9">
        <v>4</v>
      </c>
      <c r="U54" s="19">
        <f t="shared" si="5"/>
        <v>80</v>
      </c>
      <c r="V54" s="7">
        <v>2</v>
      </c>
      <c r="W54" s="9">
        <v>2</v>
      </c>
      <c r="X54" s="19">
        <f t="shared" si="6"/>
        <v>100</v>
      </c>
      <c r="Y54" s="9">
        <v>6</v>
      </c>
      <c r="Z54" s="9">
        <v>1</v>
      </c>
      <c r="AA54" s="19">
        <f t="shared" si="7"/>
        <v>16.666666666666664</v>
      </c>
      <c r="AB54" s="9">
        <v>2</v>
      </c>
      <c r="AC54" s="9">
        <v>1</v>
      </c>
      <c r="AD54" s="19">
        <f t="shared" si="8"/>
        <v>50</v>
      </c>
      <c r="AE54" s="9">
        <v>7</v>
      </c>
      <c r="AF54" s="9">
        <v>5</v>
      </c>
      <c r="AG54" s="19">
        <f t="shared" si="9"/>
        <v>71.428571428571431</v>
      </c>
      <c r="AH54" s="9">
        <v>4</v>
      </c>
      <c r="AI54" s="9">
        <v>1</v>
      </c>
      <c r="AJ54" s="19">
        <f t="shared" si="10"/>
        <v>25</v>
      </c>
      <c r="AK54" s="9">
        <v>10</v>
      </c>
      <c r="AL54" s="9">
        <v>4</v>
      </c>
      <c r="AM54" s="19">
        <f t="shared" si="11"/>
        <v>40</v>
      </c>
      <c r="AN54" s="7">
        <v>4</v>
      </c>
      <c r="AO54" s="9">
        <v>1</v>
      </c>
      <c r="AP54" s="19">
        <f t="shared" si="12"/>
        <v>25</v>
      </c>
      <c r="AQ54" s="9">
        <v>9</v>
      </c>
      <c r="AR54" s="9">
        <v>5</v>
      </c>
      <c r="AS54" s="19">
        <f t="shared" si="13"/>
        <v>55.555555555555557</v>
      </c>
      <c r="AT54" s="10">
        <f t="shared" si="14"/>
        <v>27</v>
      </c>
      <c r="AU54" s="10">
        <f t="shared" si="15"/>
        <v>12</v>
      </c>
      <c r="AV54" s="26">
        <f t="shared" si="16"/>
        <v>44.444444444444443</v>
      </c>
      <c r="AW54" s="10">
        <f t="shared" si="17"/>
        <v>51</v>
      </c>
      <c r="AX54" s="10">
        <f t="shared" si="18"/>
        <v>25</v>
      </c>
      <c r="AY54" s="26">
        <f t="shared" si="19"/>
        <v>49.019607843137251</v>
      </c>
      <c r="AZ54" s="10">
        <f t="shared" si="20"/>
        <v>78</v>
      </c>
      <c r="BA54" s="10">
        <f t="shared" si="21"/>
        <v>37</v>
      </c>
      <c r="BB54" s="27">
        <f t="shared" si="22"/>
        <v>47.435897435897431</v>
      </c>
    </row>
    <row r="55" spans="1:54" s="11" customFormat="1">
      <c r="A55" s="12">
        <v>49</v>
      </c>
      <c r="B55" s="13">
        <v>1230321046</v>
      </c>
      <c r="C55" s="14" t="s">
        <v>71</v>
      </c>
      <c r="D55" s="7">
        <v>2</v>
      </c>
      <c r="E55" s="9">
        <v>0</v>
      </c>
      <c r="F55" s="19">
        <f t="shared" si="0"/>
        <v>0</v>
      </c>
      <c r="G55" s="9">
        <v>4</v>
      </c>
      <c r="H55" s="9">
        <v>0</v>
      </c>
      <c r="I55" s="19">
        <f t="shared" si="1"/>
        <v>0</v>
      </c>
      <c r="J55" s="7">
        <v>4</v>
      </c>
      <c r="K55" s="9">
        <v>2</v>
      </c>
      <c r="L55" s="19">
        <f t="shared" si="2"/>
        <v>50</v>
      </c>
      <c r="M55" s="9">
        <v>10</v>
      </c>
      <c r="N55" s="9">
        <v>2</v>
      </c>
      <c r="O55" s="19">
        <f t="shared" si="3"/>
        <v>20</v>
      </c>
      <c r="P55" s="7">
        <v>9</v>
      </c>
      <c r="Q55" s="9">
        <v>3</v>
      </c>
      <c r="R55" s="19">
        <f t="shared" si="4"/>
        <v>33.333333333333329</v>
      </c>
      <c r="S55" s="9">
        <v>5</v>
      </c>
      <c r="T55" s="9">
        <v>3</v>
      </c>
      <c r="U55" s="19">
        <f t="shared" si="5"/>
        <v>60</v>
      </c>
      <c r="V55" s="7">
        <v>2</v>
      </c>
      <c r="W55" s="9">
        <v>1</v>
      </c>
      <c r="X55" s="19">
        <f t="shared" si="6"/>
        <v>50</v>
      </c>
      <c r="Y55" s="9">
        <v>6</v>
      </c>
      <c r="Z55" s="9">
        <v>2</v>
      </c>
      <c r="AA55" s="19">
        <f t="shared" si="7"/>
        <v>33.333333333333329</v>
      </c>
      <c r="AB55" s="9">
        <v>2</v>
      </c>
      <c r="AC55" s="9">
        <v>2</v>
      </c>
      <c r="AD55" s="19">
        <f t="shared" si="8"/>
        <v>100</v>
      </c>
      <c r="AE55" s="9">
        <v>7</v>
      </c>
      <c r="AF55" s="9">
        <v>4</v>
      </c>
      <c r="AG55" s="19">
        <f t="shared" si="9"/>
        <v>57.142857142857139</v>
      </c>
      <c r="AH55" s="9">
        <v>4</v>
      </c>
      <c r="AI55" s="9">
        <v>1</v>
      </c>
      <c r="AJ55" s="19">
        <f t="shared" si="10"/>
        <v>25</v>
      </c>
      <c r="AK55" s="9">
        <v>10</v>
      </c>
      <c r="AL55" s="9">
        <v>4</v>
      </c>
      <c r="AM55" s="19">
        <f t="shared" si="11"/>
        <v>40</v>
      </c>
      <c r="AN55" s="7">
        <v>4</v>
      </c>
      <c r="AO55" s="9">
        <v>4</v>
      </c>
      <c r="AP55" s="19">
        <f t="shared" si="12"/>
        <v>100</v>
      </c>
      <c r="AQ55" s="9">
        <v>9</v>
      </c>
      <c r="AR55" s="9">
        <v>6</v>
      </c>
      <c r="AS55" s="19">
        <f t="shared" si="13"/>
        <v>66.666666666666657</v>
      </c>
      <c r="AT55" s="10">
        <f t="shared" si="14"/>
        <v>27</v>
      </c>
      <c r="AU55" s="10">
        <f t="shared" si="15"/>
        <v>13</v>
      </c>
      <c r="AV55" s="26">
        <f t="shared" si="16"/>
        <v>48.148148148148145</v>
      </c>
      <c r="AW55" s="10">
        <f t="shared" si="17"/>
        <v>51</v>
      </c>
      <c r="AX55" s="10">
        <f t="shared" si="18"/>
        <v>21</v>
      </c>
      <c r="AY55" s="26">
        <f t="shared" si="19"/>
        <v>41.17647058823529</v>
      </c>
      <c r="AZ55" s="10">
        <f t="shared" si="20"/>
        <v>78</v>
      </c>
      <c r="BA55" s="10">
        <f t="shared" si="21"/>
        <v>34</v>
      </c>
      <c r="BB55" s="27">
        <f t="shared" si="22"/>
        <v>43.589743589743591</v>
      </c>
    </row>
    <row r="56" spans="1:54" s="11" customFormat="1">
      <c r="A56" s="12">
        <v>50</v>
      </c>
      <c r="B56" s="13">
        <v>1230321047</v>
      </c>
      <c r="C56" s="14" t="s">
        <v>72</v>
      </c>
      <c r="D56" s="7">
        <v>2</v>
      </c>
      <c r="E56" s="9">
        <v>0</v>
      </c>
      <c r="F56" s="19">
        <f t="shared" si="0"/>
        <v>0</v>
      </c>
      <c r="G56" s="9">
        <v>4</v>
      </c>
      <c r="H56" s="9">
        <v>1</v>
      </c>
      <c r="I56" s="19">
        <f t="shared" si="1"/>
        <v>25</v>
      </c>
      <c r="J56" s="7">
        <v>4</v>
      </c>
      <c r="K56" s="9">
        <v>1</v>
      </c>
      <c r="L56" s="19">
        <f t="shared" si="2"/>
        <v>25</v>
      </c>
      <c r="M56" s="9">
        <v>10</v>
      </c>
      <c r="N56" s="9">
        <v>3</v>
      </c>
      <c r="O56" s="19">
        <f t="shared" si="3"/>
        <v>30</v>
      </c>
      <c r="P56" s="7">
        <v>9</v>
      </c>
      <c r="Q56" s="9">
        <v>6</v>
      </c>
      <c r="R56" s="19">
        <f t="shared" si="4"/>
        <v>66.666666666666657</v>
      </c>
      <c r="S56" s="9">
        <v>5</v>
      </c>
      <c r="T56" s="9">
        <v>4</v>
      </c>
      <c r="U56" s="19">
        <f t="shared" si="5"/>
        <v>80</v>
      </c>
      <c r="V56" s="7">
        <v>2</v>
      </c>
      <c r="W56" s="9">
        <v>1</v>
      </c>
      <c r="X56" s="19">
        <f t="shared" si="6"/>
        <v>50</v>
      </c>
      <c r="Y56" s="9">
        <v>6</v>
      </c>
      <c r="Z56" s="9">
        <v>4</v>
      </c>
      <c r="AA56" s="19">
        <f t="shared" si="7"/>
        <v>66.666666666666657</v>
      </c>
      <c r="AB56" s="9">
        <v>2</v>
      </c>
      <c r="AC56" s="9">
        <v>1</v>
      </c>
      <c r="AD56" s="19">
        <f t="shared" si="8"/>
        <v>50</v>
      </c>
      <c r="AE56" s="9">
        <v>7</v>
      </c>
      <c r="AF56" s="9">
        <v>5</v>
      </c>
      <c r="AG56" s="19">
        <f t="shared" si="9"/>
        <v>71.428571428571431</v>
      </c>
      <c r="AH56" s="9">
        <v>4</v>
      </c>
      <c r="AI56" s="9">
        <v>2</v>
      </c>
      <c r="AJ56" s="19">
        <f t="shared" si="10"/>
        <v>50</v>
      </c>
      <c r="AK56" s="9">
        <v>10</v>
      </c>
      <c r="AL56" s="9">
        <v>6</v>
      </c>
      <c r="AM56" s="19">
        <f t="shared" si="11"/>
        <v>60</v>
      </c>
      <c r="AN56" s="7">
        <v>4</v>
      </c>
      <c r="AO56" s="9">
        <v>2</v>
      </c>
      <c r="AP56" s="19">
        <f t="shared" si="12"/>
        <v>50</v>
      </c>
      <c r="AQ56" s="9">
        <v>9</v>
      </c>
      <c r="AR56" s="9">
        <v>5</v>
      </c>
      <c r="AS56" s="19">
        <f t="shared" si="13"/>
        <v>55.555555555555557</v>
      </c>
      <c r="AT56" s="10">
        <f t="shared" si="14"/>
        <v>27</v>
      </c>
      <c r="AU56" s="10">
        <f t="shared" si="15"/>
        <v>13</v>
      </c>
      <c r="AV56" s="26">
        <f t="shared" si="16"/>
        <v>48.148148148148145</v>
      </c>
      <c r="AW56" s="10">
        <f t="shared" si="17"/>
        <v>51</v>
      </c>
      <c r="AX56" s="10">
        <f t="shared" si="18"/>
        <v>28</v>
      </c>
      <c r="AY56" s="26">
        <f t="shared" si="19"/>
        <v>54.901960784313729</v>
      </c>
      <c r="AZ56" s="10">
        <f t="shared" si="20"/>
        <v>78</v>
      </c>
      <c r="BA56" s="10">
        <f t="shared" si="21"/>
        <v>41</v>
      </c>
      <c r="BB56" s="27">
        <f t="shared" si="22"/>
        <v>52.564102564102569</v>
      </c>
    </row>
    <row r="57" spans="1:54" s="11" customFormat="1">
      <c r="A57" s="12">
        <v>51</v>
      </c>
      <c r="B57" s="13">
        <v>1230321048</v>
      </c>
      <c r="C57" s="14" t="s">
        <v>73</v>
      </c>
      <c r="D57" s="7">
        <v>2</v>
      </c>
      <c r="E57" s="9">
        <v>1</v>
      </c>
      <c r="F57" s="19">
        <f t="shared" si="0"/>
        <v>50</v>
      </c>
      <c r="G57" s="9">
        <v>4</v>
      </c>
      <c r="H57" s="9">
        <v>0</v>
      </c>
      <c r="I57" s="19">
        <f t="shared" si="1"/>
        <v>0</v>
      </c>
      <c r="J57" s="7">
        <v>4</v>
      </c>
      <c r="K57" s="9">
        <v>3</v>
      </c>
      <c r="L57" s="19">
        <f t="shared" si="2"/>
        <v>75</v>
      </c>
      <c r="M57" s="9">
        <v>10</v>
      </c>
      <c r="N57" s="9">
        <v>4</v>
      </c>
      <c r="O57" s="19">
        <f t="shared" si="3"/>
        <v>40</v>
      </c>
      <c r="P57" s="7">
        <v>9</v>
      </c>
      <c r="Q57" s="9">
        <v>5</v>
      </c>
      <c r="R57" s="19">
        <f t="shared" si="4"/>
        <v>55.555555555555557</v>
      </c>
      <c r="S57" s="9">
        <v>5</v>
      </c>
      <c r="T57" s="9">
        <v>4</v>
      </c>
      <c r="U57" s="19">
        <f t="shared" si="5"/>
        <v>80</v>
      </c>
      <c r="V57" s="7">
        <v>2</v>
      </c>
      <c r="W57" s="9">
        <v>2</v>
      </c>
      <c r="X57" s="19">
        <f t="shared" si="6"/>
        <v>100</v>
      </c>
      <c r="Y57" s="9">
        <v>6</v>
      </c>
      <c r="Z57" s="9">
        <v>1</v>
      </c>
      <c r="AA57" s="19">
        <f t="shared" si="7"/>
        <v>16.666666666666664</v>
      </c>
      <c r="AB57" s="9">
        <v>2</v>
      </c>
      <c r="AC57" s="9">
        <v>1</v>
      </c>
      <c r="AD57" s="19">
        <f t="shared" si="8"/>
        <v>50</v>
      </c>
      <c r="AE57" s="9">
        <v>7</v>
      </c>
      <c r="AF57" s="9">
        <v>4</v>
      </c>
      <c r="AG57" s="19">
        <f t="shared" si="9"/>
        <v>57.142857142857139</v>
      </c>
      <c r="AH57" s="9">
        <v>4</v>
      </c>
      <c r="AI57" s="9">
        <v>3</v>
      </c>
      <c r="AJ57" s="19">
        <f t="shared" si="10"/>
        <v>75</v>
      </c>
      <c r="AK57" s="9">
        <v>10</v>
      </c>
      <c r="AL57" s="9">
        <v>6</v>
      </c>
      <c r="AM57" s="19">
        <f t="shared" si="11"/>
        <v>60</v>
      </c>
      <c r="AN57" s="7">
        <v>4</v>
      </c>
      <c r="AO57" s="9">
        <v>3</v>
      </c>
      <c r="AP57" s="19">
        <f t="shared" si="12"/>
        <v>75</v>
      </c>
      <c r="AQ57" s="9">
        <v>9</v>
      </c>
      <c r="AR57" s="9">
        <v>4</v>
      </c>
      <c r="AS57" s="19">
        <f t="shared" si="13"/>
        <v>44.444444444444443</v>
      </c>
      <c r="AT57" s="10">
        <f t="shared" si="14"/>
        <v>27</v>
      </c>
      <c r="AU57" s="10">
        <f t="shared" si="15"/>
        <v>18</v>
      </c>
      <c r="AV57" s="26">
        <f t="shared" si="16"/>
        <v>66.666666666666657</v>
      </c>
      <c r="AW57" s="10">
        <f t="shared" si="17"/>
        <v>51</v>
      </c>
      <c r="AX57" s="10">
        <f t="shared" si="18"/>
        <v>23</v>
      </c>
      <c r="AY57" s="26">
        <f t="shared" si="19"/>
        <v>45.098039215686278</v>
      </c>
      <c r="AZ57" s="10">
        <f t="shared" si="20"/>
        <v>78</v>
      </c>
      <c r="BA57" s="10">
        <f t="shared" si="21"/>
        <v>41</v>
      </c>
      <c r="BB57" s="27">
        <f t="shared" si="22"/>
        <v>52.564102564102569</v>
      </c>
    </row>
    <row r="58" spans="1:54" s="11" customFormat="1">
      <c r="A58" s="12">
        <v>52</v>
      </c>
      <c r="B58" s="13">
        <v>1230321049</v>
      </c>
      <c r="C58" s="14" t="s">
        <v>74</v>
      </c>
      <c r="D58" s="7">
        <v>2</v>
      </c>
      <c r="E58" s="9">
        <v>1</v>
      </c>
      <c r="F58" s="19">
        <f t="shared" si="0"/>
        <v>50</v>
      </c>
      <c r="G58" s="9">
        <v>4</v>
      </c>
      <c r="H58" s="9">
        <v>2</v>
      </c>
      <c r="I58" s="19">
        <f t="shared" si="1"/>
        <v>50</v>
      </c>
      <c r="J58" s="7">
        <v>4</v>
      </c>
      <c r="K58" s="9">
        <v>3</v>
      </c>
      <c r="L58" s="19">
        <f t="shared" si="2"/>
        <v>75</v>
      </c>
      <c r="M58" s="9">
        <v>10</v>
      </c>
      <c r="N58" s="9">
        <v>5</v>
      </c>
      <c r="O58" s="19">
        <f t="shared" si="3"/>
        <v>50</v>
      </c>
      <c r="P58" s="7">
        <v>9</v>
      </c>
      <c r="Q58" s="9">
        <v>7</v>
      </c>
      <c r="R58" s="19">
        <f t="shared" si="4"/>
        <v>77.777777777777786</v>
      </c>
      <c r="S58" s="9">
        <v>5</v>
      </c>
      <c r="T58" s="9">
        <v>3</v>
      </c>
      <c r="U58" s="19">
        <f t="shared" si="5"/>
        <v>60</v>
      </c>
      <c r="V58" s="7">
        <v>2</v>
      </c>
      <c r="W58" s="9">
        <v>2</v>
      </c>
      <c r="X58" s="19">
        <f t="shared" si="6"/>
        <v>100</v>
      </c>
      <c r="Y58" s="9">
        <v>6</v>
      </c>
      <c r="Z58" s="9">
        <v>3</v>
      </c>
      <c r="AA58" s="19">
        <f t="shared" si="7"/>
        <v>50</v>
      </c>
      <c r="AB58" s="9">
        <v>2</v>
      </c>
      <c r="AC58" s="9">
        <v>1</v>
      </c>
      <c r="AD58" s="19">
        <f t="shared" si="8"/>
        <v>50</v>
      </c>
      <c r="AE58" s="9">
        <v>7</v>
      </c>
      <c r="AF58" s="9">
        <v>5</v>
      </c>
      <c r="AG58" s="19">
        <f t="shared" si="9"/>
        <v>71.428571428571431</v>
      </c>
      <c r="AH58" s="9">
        <v>4</v>
      </c>
      <c r="AI58" s="9">
        <v>2</v>
      </c>
      <c r="AJ58" s="19">
        <f t="shared" si="10"/>
        <v>50</v>
      </c>
      <c r="AK58" s="9">
        <v>10</v>
      </c>
      <c r="AL58" s="9">
        <v>4</v>
      </c>
      <c r="AM58" s="19">
        <f t="shared" si="11"/>
        <v>40</v>
      </c>
      <c r="AN58" s="7">
        <v>4</v>
      </c>
      <c r="AO58" s="9">
        <v>3</v>
      </c>
      <c r="AP58" s="19">
        <f t="shared" si="12"/>
        <v>75</v>
      </c>
      <c r="AQ58" s="9">
        <v>9</v>
      </c>
      <c r="AR58" s="9">
        <v>6</v>
      </c>
      <c r="AS58" s="19">
        <f t="shared" si="13"/>
        <v>66.666666666666657</v>
      </c>
      <c r="AT58" s="10">
        <f t="shared" si="14"/>
        <v>27</v>
      </c>
      <c r="AU58" s="10">
        <f t="shared" si="15"/>
        <v>19</v>
      </c>
      <c r="AV58" s="26">
        <f t="shared" si="16"/>
        <v>70.370370370370367</v>
      </c>
      <c r="AW58" s="10">
        <f t="shared" si="17"/>
        <v>51</v>
      </c>
      <c r="AX58" s="10">
        <f t="shared" si="18"/>
        <v>28</v>
      </c>
      <c r="AY58" s="26">
        <f t="shared" si="19"/>
        <v>54.901960784313729</v>
      </c>
      <c r="AZ58" s="10">
        <f t="shared" si="20"/>
        <v>78</v>
      </c>
      <c r="BA58" s="10">
        <f t="shared" si="21"/>
        <v>47</v>
      </c>
      <c r="BB58" s="27">
        <f t="shared" si="22"/>
        <v>60.256410256410255</v>
      </c>
    </row>
    <row r="59" spans="1:54" s="11" customFormat="1">
      <c r="A59" s="12">
        <v>53</v>
      </c>
      <c r="B59" s="13">
        <v>1230321050</v>
      </c>
      <c r="C59" s="14" t="s">
        <v>75</v>
      </c>
      <c r="D59" s="7">
        <v>2</v>
      </c>
      <c r="E59" s="9">
        <v>0</v>
      </c>
      <c r="F59" s="19">
        <f t="shared" si="0"/>
        <v>0</v>
      </c>
      <c r="G59" s="9">
        <v>4</v>
      </c>
      <c r="H59" s="9">
        <v>2</v>
      </c>
      <c r="I59" s="19">
        <f t="shared" si="1"/>
        <v>50</v>
      </c>
      <c r="J59" s="7">
        <v>4</v>
      </c>
      <c r="K59" s="9">
        <v>2</v>
      </c>
      <c r="L59" s="19">
        <f t="shared" si="2"/>
        <v>50</v>
      </c>
      <c r="M59" s="9">
        <v>10</v>
      </c>
      <c r="N59" s="9">
        <v>4</v>
      </c>
      <c r="O59" s="19">
        <f t="shared" si="3"/>
        <v>40</v>
      </c>
      <c r="P59" s="7">
        <v>9</v>
      </c>
      <c r="Q59" s="9">
        <v>9</v>
      </c>
      <c r="R59" s="19">
        <f t="shared" si="4"/>
        <v>100</v>
      </c>
      <c r="S59" s="9">
        <v>5</v>
      </c>
      <c r="T59" s="9">
        <v>5</v>
      </c>
      <c r="U59" s="19">
        <f t="shared" si="5"/>
        <v>100</v>
      </c>
      <c r="V59" s="7">
        <v>2</v>
      </c>
      <c r="W59" s="9">
        <v>2</v>
      </c>
      <c r="X59" s="19">
        <f t="shared" si="6"/>
        <v>100</v>
      </c>
      <c r="Y59" s="9">
        <v>6</v>
      </c>
      <c r="Z59" s="9">
        <v>4</v>
      </c>
      <c r="AA59" s="19">
        <f t="shared" si="7"/>
        <v>66.666666666666657</v>
      </c>
      <c r="AB59" s="9">
        <v>2</v>
      </c>
      <c r="AC59" s="9">
        <v>1</v>
      </c>
      <c r="AD59" s="19">
        <f t="shared" si="8"/>
        <v>50</v>
      </c>
      <c r="AE59" s="9">
        <v>7</v>
      </c>
      <c r="AF59" s="9">
        <v>5</v>
      </c>
      <c r="AG59" s="19">
        <f t="shared" si="9"/>
        <v>71.428571428571431</v>
      </c>
      <c r="AH59" s="9">
        <v>4</v>
      </c>
      <c r="AI59" s="9">
        <v>3</v>
      </c>
      <c r="AJ59" s="19">
        <f t="shared" si="10"/>
        <v>75</v>
      </c>
      <c r="AK59" s="9">
        <v>10</v>
      </c>
      <c r="AL59" s="9">
        <v>6</v>
      </c>
      <c r="AM59" s="19">
        <f t="shared" si="11"/>
        <v>60</v>
      </c>
      <c r="AN59" s="7">
        <v>4</v>
      </c>
      <c r="AO59" s="9">
        <v>4</v>
      </c>
      <c r="AP59" s="19">
        <f t="shared" si="12"/>
        <v>100</v>
      </c>
      <c r="AQ59" s="9">
        <v>9</v>
      </c>
      <c r="AR59" s="9">
        <v>6</v>
      </c>
      <c r="AS59" s="19">
        <f t="shared" si="13"/>
        <v>66.666666666666657</v>
      </c>
      <c r="AT59" s="10">
        <f t="shared" si="14"/>
        <v>27</v>
      </c>
      <c r="AU59" s="10">
        <f t="shared" si="15"/>
        <v>21</v>
      </c>
      <c r="AV59" s="26">
        <f t="shared" si="16"/>
        <v>77.777777777777786</v>
      </c>
      <c r="AW59" s="10">
        <f t="shared" si="17"/>
        <v>51</v>
      </c>
      <c r="AX59" s="10">
        <f t="shared" si="18"/>
        <v>32</v>
      </c>
      <c r="AY59" s="26">
        <f t="shared" si="19"/>
        <v>62.745098039215684</v>
      </c>
      <c r="AZ59" s="10">
        <f t="shared" si="20"/>
        <v>78</v>
      </c>
      <c r="BA59" s="10">
        <f t="shared" si="21"/>
        <v>53</v>
      </c>
      <c r="BB59" s="27">
        <f t="shared" si="22"/>
        <v>67.948717948717956</v>
      </c>
    </row>
    <row r="60" spans="1:54" s="11" customFormat="1">
      <c r="A60" s="12">
        <v>54</v>
      </c>
      <c r="B60" s="13">
        <v>1230321052</v>
      </c>
      <c r="C60" s="14" t="s">
        <v>76</v>
      </c>
      <c r="D60" s="7">
        <v>2</v>
      </c>
      <c r="E60" s="9">
        <v>1</v>
      </c>
      <c r="F60" s="19">
        <f t="shared" si="0"/>
        <v>50</v>
      </c>
      <c r="G60" s="9">
        <v>4</v>
      </c>
      <c r="H60" s="9">
        <v>1</v>
      </c>
      <c r="I60" s="19">
        <f t="shared" si="1"/>
        <v>25</v>
      </c>
      <c r="J60" s="7">
        <v>4</v>
      </c>
      <c r="K60" s="9">
        <v>3</v>
      </c>
      <c r="L60" s="19">
        <f t="shared" si="2"/>
        <v>75</v>
      </c>
      <c r="M60" s="9">
        <v>10</v>
      </c>
      <c r="N60" s="9">
        <v>3</v>
      </c>
      <c r="O60" s="19">
        <f t="shared" si="3"/>
        <v>30</v>
      </c>
      <c r="P60" s="7">
        <v>9</v>
      </c>
      <c r="Q60" s="9">
        <v>5</v>
      </c>
      <c r="R60" s="19">
        <f t="shared" si="4"/>
        <v>55.555555555555557</v>
      </c>
      <c r="S60" s="9">
        <v>5</v>
      </c>
      <c r="T60" s="9">
        <v>4</v>
      </c>
      <c r="U60" s="19">
        <f t="shared" si="5"/>
        <v>80</v>
      </c>
      <c r="V60" s="7">
        <v>2</v>
      </c>
      <c r="W60" s="9">
        <v>1</v>
      </c>
      <c r="X60" s="19">
        <f t="shared" si="6"/>
        <v>50</v>
      </c>
      <c r="Y60" s="9">
        <v>6</v>
      </c>
      <c r="Z60" s="9">
        <v>2</v>
      </c>
      <c r="AA60" s="19">
        <f t="shared" si="7"/>
        <v>33.333333333333329</v>
      </c>
      <c r="AB60" s="9">
        <v>2</v>
      </c>
      <c r="AC60" s="9">
        <v>0</v>
      </c>
      <c r="AD60" s="19">
        <f t="shared" si="8"/>
        <v>0</v>
      </c>
      <c r="AE60" s="9">
        <v>7</v>
      </c>
      <c r="AF60" s="9">
        <v>3</v>
      </c>
      <c r="AG60" s="19">
        <f t="shared" si="9"/>
        <v>42.857142857142854</v>
      </c>
      <c r="AH60" s="9">
        <v>4</v>
      </c>
      <c r="AI60" s="9">
        <v>1</v>
      </c>
      <c r="AJ60" s="19">
        <f t="shared" si="10"/>
        <v>25</v>
      </c>
      <c r="AK60" s="9">
        <v>10</v>
      </c>
      <c r="AL60" s="9">
        <v>1</v>
      </c>
      <c r="AM60" s="19">
        <f t="shared" si="11"/>
        <v>10</v>
      </c>
      <c r="AN60" s="7">
        <v>4</v>
      </c>
      <c r="AO60" s="9">
        <v>3</v>
      </c>
      <c r="AP60" s="19">
        <f t="shared" si="12"/>
        <v>75</v>
      </c>
      <c r="AQ60" s="9">
        <v>9</v>
      </c>
      <c r="AR60" s="9">
        <v>5</v>
      </c>
      <c r="AS60" s="19">
        <f t="shared" si="13"/>
        <v>55.555555555555557</v>
      </c>
      <c r="AT60" s="10">
        <f t="shared" si="14"/>
        <v>27</v>
      </c>
      <c r="AU60" s="10">
        <f t="shared" si="15"/>
        <v>14</v>
      </c>
      <c r="AV60" s="26">
        <f t="shared" si="16"/>
        <v>51.851851851851848</v>
      </c>
      <c r="AW60" s="10">
        <f t="shared" si="17"/>
        <v>51</v>
      </c>
      <c r="AX60" s="10">
        <f t="shared" si="18"/>
        <v>19</v>
      </c>
      <c r="AY60" s="26">
        <f t="shared" si="19"/>
        <v>37.254901960784316</v>
      </c>
      <c r="AZ60" s="10">
        <f t="shared" si="20"/>
        <v>78</v>
      </c>
      <c r="BA60" s="10">
        <f t="shared" si="21"/>
        <v>33</v>
      </c>
      <c r="BB60" s="27">
        <f t="shared" si="22"/>
        <v>42.307692307692307</v>
      </c>
    </row>
    <row r="61" spans="1:54" s="11" customFormat="1">
      <c r="A61" s="12">
        <v>55</v>
      </c>
      <c r="B61" s="13">
        <v>1230321053</v>
      </c>
      <c r="C61" s="14" t="s">
        <v>77</v>
      </c>
      <c r="D61" s="7">
        <v>2</v>
      </c>
      <c r="E61" s="9">
        <v>1</v>
      </c>
      <c r="F61" s="19">
        <f t="shared" si="0"/>
        <v>50</v>
      </c>
      <c r="G61" s="9">
        <v>4</v>
      </c>
      <c r="H61" s="9">
        <v>2</v>
      </c>
      <c r="I61" s="19">
        <f t="shared" si="1"/>
        <v>50</v>
      </c>
      <c r="J61" s="7">
        <v>4</v>
      </c>
      <c r="K61" s="9">
        <v>3</v>
      </c>
      <c r="L61" s="19">
        <f t="shared" si="2"/>
        <v>75</v>
      </c>
      <c r="M61" s="9">
        <v>10</v>
      </c>
      <c r="N61" s="9">
        <v>4</v>
      </c>
      <c r="O61" s="19">
        <f t="shared" si="3"/>
        <v>40</v>
      </c>
      <c r="P61" s="7">
        <v>9</v>
      </c>
      <c r="Q61" s="9">
        <v>8</v>
      </c>
      <c r="R61" s="19">
        <f t="shared" si="4"/>
        <v>88.888888888888886</v>
      </c>
      <c r="S61" s="9">
        <v>5</v>
      </c>
      <c r="T61" s="9">
        <v>4</v>
      </c>
      <c r="U61" s="19">
        <f t="shared" si="5"/>
        <v>80</v>
      </c>
      <c r="V61" s="7">
        <v>2</v>
      </c>
      <c r="W61" s="9">
        <v>2</v>
      </c>
      <c r="X61" s="19">
        <f t="shared" si="6"/>
        <v>100</v>
      </c>
      <c r="Y61" s="9">
        <v>6</v>
      </c>
      <c r="Z61" s="9">
        <v>3</v>
      </c>
      <c r="AA61" s="19">
        <f t="shared" si="7"/>
        <v>50</v>
      </c>
      <c r="AB61" s="9">
        <v>2</v>
      </c>
      <c r="AC61" s="9">
        <v>2</v>
      </c>
      <c r="AD61" s="19">
        <f t="shared" si="8"/>
        <v>100</v>
      </c>
      <c r="AE61" s="9">
        <v>7</v>
      </c>
      <c r="AF61" s="9">
        <v>3</v>
      </c>
      <c r="AG61" s="19">
        <f t="shared" si="9"/>
        <v>42.857142857142854</v>
      </c>
      <c r="AH61" s="9">
        <v>4</v>
      </c>
      <c r="AI61" s="9">
        <v>1</v>
      </c>
      <c r="AJ61" s="19">
        <f t="shared" si="10"/>
        <v>25</v>
      </c>
      <c r="AK61" s="9">
        <v>10</v>
      </c>
      <c r="AL61" s="9">
        <v>6</v>
      </c>
      <c r="AM61" s="19">
        <f t="shared" si="11"/>
        <v>60</v>
      </c>
      <c r="AN61" s="7">
        <v>4</v>
      </c>
      <c r="AO61" s="9">
        <v>3</v>
      </c>
      <c r="AP61" s="19">
        <f t="shared" si="12"/>
        <v>75</v>
      </c>
      <c r="AQ61" s="9">
        <v>9</v>
      </c>
      <c r="AR61" s="9">
        <v>7</v>
      </c>
      <c r="AS61" s="19">
        <f t="shared" si="13"/>
        <v>77.777777777777786</v>
      </c>
      <c r="AT61" s="10">
        <f t="shared" si="14"/>
        <v>27</v>
      </c>
      <c r="AU61" s="10">
        <f t="shared" si="15"/>
        <v>20</v>
      </c>
      <c r="AV61" s="26">
        <f t="shared" si="16"/>
        <v>74.074074074074076</v>
      </c>
      <c r="AW61" s="10">
        <f t="shared" si="17"/>
        <v>51</v>
      </c>
      <c r="AX61" s="10">
        <f t="shared" si="18"/>
        <v>29</v>
      </c>
      <c r="AY61" s="26">
        <f t="shared" si="19"/>
        <v>56.862745098039213</v>
      </c>
      <c r="AZ61" s="10">
        <f t="shared" si="20"/>
        <v>78</v>
      </c>
      <c r="BA61" s="10">
        <f t="shared" si="21"/>
        <v>49</v>
      </c>
      <c r="BB61" s="27">
        <f t="shared" si="22"/>
        <v>62.820512820512818</v>
      </c>
    </row>
    <row r="62" spans="1:54" s="11" customFormat="1">
      <c r="A62" s="12">
        <v>56</v>
      </c>
      <c r="B62" s="13">
        <v>1230321054</v>
      </c>
      <c r="C62" s="14" t="s">
        <v>100</v>
      </c>
      <c r="D62" s="7">
        <v>2</v>
      </c>
      <c r="E62" s="9">
        <v>0</v>
      </c>
      <c r="F62" s="19">
        <f t="shared" si="0"/>
        <v>0</v>
      </c>
      <c r="G62" s="9">
        <v>4</v>
      </c>
      <c r="H62" s="9">
        <v>0</v>
      </c>
      <c r="I62" s="19">
        <f t="shared" si="1"/>
        <v>0</v>
      </c>
      <c r="J62" s="7">
        <v>4</v>
      </c>
      <c r="K62" s="9">
        <v>0</v>
      </c>
      <c r="L62" s="19">
        <f t="shared" si="2"/>
        <v>0</v>
      </c>
      <c r="M62" s="9">
        <v>10</v>
      </c>
      <c r="N62" s="9">
        <v>0</v>
      </c>
      <c r="O62" s="19">
        <f t="shared" si="3"/>
        <v>0</v>
      </c>
      <c r="P62" s="7">
        <v>9</v>
      </c>
      <c r="Q62" s="9">
        <v>0</v>
      </c>
      <c r="R62" s="19">
        <f t="shared" si="4"/>
        <v>0</v>
      </c>
      <c r="S62" s="9">
        <v>5</v>
      </c>
      <c r="T62" s="9">
        <v>0</v>
      </c>
      <c r="U62" s="19">
        <f t="shared" si="5"/>
        <v>0</v>
      </c>
      <c r="V62" s="7">
        <v>2</v>
      </c>
      <c r="W62" s="9">
        <v>0</v>
      </c>
      <c r="X62" s="19">
        <f t="shared" si="6"/>
        <v>0</v>
      </c>
      <c r="Y62" s="9">
        <v>6</v>
      </c>
      <c r="Z62" s="9">
        <v>0</v>
      </c>
      <c r="AA62" s="19">
        <f t="shared" si="7"/>
        <v>0</v>
      </c>
      <c r="AB62" s="9">
        <v>2</v>
      </c>
      <c r="AC62" s="9">
        <v>1</v>
      </c>
      <c r="AD62" s="19">
        <f t="shared" si="8"/>
        <v>50</v>
      </c>
      <c r="AE62" s="9">
        <v>7</v>
      </c>
      <c r="AF62" s="9">
        <v>2</v>
      </c>
      <c r="AG62" s="19">
        <f t="shared" si="9"/>
        <v>28.571428571428569</v>
      </c>
      <c r="AH62" s="9">
        <v>4</v>
      </c>
      <c r="AI62" s="9">
        <v>1</v>
      </c>
      <c r="AJ62" s="19">
        <f t="shared" si="10"/>
        <v>25</v>
      </c>
      <c r="AK62" s="9">
        <v>10</v>
      </c>
      <c r="AL62" s="9">
        <v>4</v>
      </c>
      <c r="AM62" s="19">
        <f t="shared" si="11"/>
        <v>40</v>
      </c>
      <c r="AN62" s="7">
        <v>4</v>
      </c>
      <c r="AO62" s="9">
        <v>2</v>
      </c>
      <c r="AP62" s="19">
        <f t="shared" si="12"/>
        <v>50</v>
      </c>
      <c r="AQ62" s="9">
        <v>9</v>
      </c>
      <c r="AR62" s="9">
        <v>5</v>
      </c>
      <c r="AS62" s="19">
        <f t="shared" si="13"/>
        <v>55.555555555555557</v>
      </c>
      <c r="AT62" s="10">
        <f t="shared" si="14"/>
        <v>27</v>
      </c>
      <c r="AU62" s="10">
        <f t="shared" si="15"/>
        <v>4</v>
      </c>
      <c r="AV62" s="26">
        <f t="shared" si="16"/>
        <v>14.814814814814813</v>
      </c>
      <c r="AW62" s="10">
        <f t="shared" si="17"/>
        <v>51</v>
      </c>
      <c r="AX62" s="10">
        <f t="shared" si="18"/>
        <v>11</v>
      </c>
      <c r="AY62" s="26">
        <f t="shared" si="19"/>
        <v>21.568627450980394</v>
      </c>
      <c r="AZ62" s="10">
        <f t="shared" si="20"/>
        <v>78</v>
      </c>
      <c r="BA62" s="10">
        <f t="shared" si="21"/>
        <v>15</v>
      </c>
      <c r="BB62" s="27">
        <f t="shared" si="22"/>
        <v>19.230769230769234</v>
      </c>
    </row>
    <row r="63" spans="1:54">
      <c r="A63" s="12">
        <v>57</v>
      </c>
      <c r="B63" s="13">
        <v>1230321055</v>
      </c>
      <c r="C63" s="14" t="s">
        <v>78</v>
      </c>
      <c r="D63" s="7">
        <v>2</v>
      </c>
      <c r="E63" s="7">
        <v>0</v>
      </c>
      <c r="F63" s="19">
        <f t="shared" si="0"/>
        <v>0</v>
      </c>
      <c r="G63" s="9">
        <v>4</v>
      </c>
      <c r="H63" s="7">
        <v>0</v>
      </c>
      <c r="I63" s="19">
        <f t="shared" si="1"/>
        <v>0</v>
      </c>
      <c r="J63" s="7">
        <v>4</v>
      </c>
      <c r="K63" s="7">
        <v>3</v>
      </c>
      <c r="L63" s="19">
        <f t="shared" si="2"/>
        <v>75</v>
      </c>
      <c r="M63" s="9">
        <v>10</v>
      </c>
      <c r="N63" s="7">
        <v>8</v>
      </c>
      <c r="O63" s="19">
        <f t="shared" si="3"/>
        <v>80</v>
      </c>
      <c r="P63" s="7">
        <v>9</v>
      </c>
      <c r="Q63" s="7">
        <v>6</v>
      </c>
      <c r="R63" s="19">
        <f t="shared" si="4"/>
        <v>66.666666666666657</v>
      </c>
      <c r="S63" s="7">
        <v>5</v>
      </c>
      <c r="T63" s="7">
        <v>4</v>
      </c>
      <c r="U63" s="19">
        <f t="shared" si="5"/>
        <v>80</v>
      </c>
      <c r="V63" s="7">
        <v>2</v>
      </c>
      <c r="W63" s="7">
        <v>0</v>
      </c>
      <c r="X63" s="19">
        <f t="shared" si="6"/>
        <v>0</v>
      </c>
      <c r="Y63" s="9">
        <v>6</v>
      </c>
      <c r="Z63" s="7">
        <v>2</v>
      </c>
      <c r="AA63" s="19">
        <f t="shared" si="7"/>
        <v>33.333333333333329</v>
      </c>
      <c r="AB63" s="7">
        <v>2</v>
      </c>
      <c r="AC63" s="7">
        <v>1</v>
      </c>
      <c r="AD63" s="19">
        <f t="shared" si="8"/>
        <v>50</v>
      </c>
      <c r="AE63" s="7">
        <v>7</v>
      </c>
      <c r="AF63" s="7">
        <v>3</v>
      </c>
      <c r="AG63" s="19">
        <f t="shared" si="9"/>
        <v>42.857142857142854</v>
      </c>
      <c r="AH63" s="7">
        <v>4</v>
      </c>
      <c r="AI63" s="7">
        <v>3</v>
      </c>
      <c r="AJ63" s="19">
        <f t="shared" si="10"/>
        <v>75</v>
      </c>
      <c r="AK63" s="9">
        <v>10</v>
      </c>
      <c r="AL63" s="7">
        <v>7</v>
      </c>
      <c r="AM63" s="19">
        <f t="shared" si="11"/>
        <v>70</v>
      </c>
      <c r="AN63" s="7">
        <v>4</v>
      </c>
      <c r="AO63" s="7">
        <v>4</v>
      </c>
      <c r="AP63" s="19">
        <f t="shared" si="12"/>
        <v>100</v>
      </c>
      <c r="AQ63" s="9">
        <v>9</v>
      </c>
      <c r="AR63" s="7">
        <v>7</v>
      </c>
      <c r="AS63" s="19">
        <f t="shared" si="13"/>
        <v>77.777777777777786</v>
      </c>
      <c r="AT63" s="10">
        <f t="shared" si="14"/>
        <v>27</v>
      </c>
      <c r="AU63" s="10">
        <f t="shared" si="15"/>
        <v>17</v>
      </c>
      <c r="AV63" s="26">
        <f t="shared" si="16"/>
        <v>62.962962962962962</v>
      </c>
      <c r="AW63" s="10">
        <f t="shared" si="17"/>
        <v>51</v>
      </c>
      <c r="AX63" s="10">
        <f t="shared" si="18"/>
        <v>31</v>
      </c>
      <c r="AY63" s="26">
        <f t="shared" si="19"/>
        <v>60.784313725490193</v>
      </c>
      <c r="AZ63" s="10">
        <f t="shared" si="20"/>
        <v>78</v>
      </c>
      <c r="BA63" s="10">
        <f t="shared" si="21"/>
        <v>48</v>
      </c>
      <c r="BB63" s="27">
        <f t="shared" si="22"/>
        <v>61.53846153846154</v>
      </c>
    </row>
    <row r="64" spans="1:54">
      <c r="A64" s="12">
        <v>58</v>
      </c>
      <c r="B64" s="13">
        <v>1230321056</v>
      </c>
      <c r="C64" s="14" t="s">
        <v>79</v>
      </c>
      <c r="D64" s="7">
        <v>2</v>
      </c>
      <c r="E64" s="7">
        <v>0</v>
      </c>
      <c r="F64" s="19">
        <f t="shared" si="0"/>
        <v>0</v>
      </c>
      <c r="G64" s="9">
        <v>4</v>
      </c>
      <c r="H64" s="7">
        <v>1</v>
      </c>
      <c r="I64" s="19">
        <f t="shared" si="1"/>
        <v>25</v>
      </c>
      <c r="J64" s="7">
        <v>4</v>
      </c>
      <c r="K64" s="7">
        <v>3</v>
      </c>
      <c r="L64" s="19">
        <f t="shared" si="2"/>
        <v>75</v>
      </c>
      <c r="M64" s="9">
        <v>10</v>
      </c>
      <c r="N64" s="7">
        <v>6</v>
      </c>
      <c r="O64" s="19">
        <f t="shared" si="3"/>
        <v>60</v>
      </c>
      <c r="P64" s="7">
        <v>9</v>
      </c>
      <c r="Q64" s="7">
        <v>6</v>
      </c>
      <c r="R64" s="19">
        <f t="shared" si="4"/>
        <v>66.666666666666657</v>
      </c>
      <c r="S64" s="7">
        <v>5</v>
      </c>
      <c r="T64" s="7">
        <v>4</v>
      </c>
      <c r="U64" s="19">
        <f t="shared" si="5"/>
        <v>80</v>
      </c>
      <c r="V64" s="7">
        <v>2</v>
      </c>
      <c r="W64" s="7">
        <v>1</v>
      </c>
      <c r="X64" s="19">
        <f t="shared" si="6"/>
        <v>50</v>
      </c>
      <c r="Y64" s="9">
        <v>6</v>
      </c>
      <c r="Z64" s="7">
        <v>2</v>
      </c>
      <c r="AA64" s="19">
        <f t="shared" si="7"/>
        <v>33.333333333333329</v>
      </c>
      <c r="AB64" s="7">
        <v>2</v>
      </c>
      <c r="AC64" s="7">
        <v>2</v>
      </c>
      <c r="AD64" s="19">
        <f t="shared" si="8"/>
        <v>100</v>
      </c>
      <c r="AE64" s="7">
        <v>7</v>
      </c>
      <c r="AF64" s="7">
        <v>3</v>
      </c>
      <c r="AG64" s="19">
        <f t="shared" si="9"/>
        <v>42.857142857142854</v>
      </c>
      <c r="AH64" s="7">
        <v>4</v>
      </c>
      <c r="AI64" s="7">
        <v>3</v>
      </c>
      <c r="AJ64" s="19">
        <f t="shared" si="10"/>
        <v>75</v>
      </c>
      <c r="AK64" s="9">
        <v>10</v>
      </c>
      <c r="AL64" s="7">
        <v>5</v>
      </c>
      <c r="AM64" s="19">
        <f t="shared" si="11"/>
        <v>50</v>
      </c>
      <c r="AN64" s="7">
        <v>4</v>
      </c>
      <c r="AO64" s="7">
        <v>3</v>
      </c>
      <c r="AP64" s="19">
        <f t="shared" si="12"/>
        <v>75</v>
      </c>
      <c r="AQ64" s="9">
        <v>9</v>
      </c>
      <c r="AR64" s="7">
        <v>5</v>
      </c>
      <c r="AS64" s="19">
        <f t="shared" si="13"/>
        <v>55.555555555555557</v>
      </c>
      <c r="AT64" s="10">
        <f t="shared" si="14"/>
        <v>27</v>
      </c>
      <c r="AU64" s="10">
        <f t="shared" si="15"/>
        <v>18</v>
      </c>
      <c r="AV64" s="26">
        <f t="shared" si="16"/>
        <v>66.666666666666657</v>
      </c>
      <c r="AW64" s="10">
        <f t="shared" si="17"/>
        <v>51</v>
      </c>
      <c r="AX64" s="10">
        <f t="shared" si="18"/>
        <v>26</v>
      </c>
      <c r="AY64" s="26">
        <f t="shared" si="19"/>
        <v>50.980392156862742</v>
      </c>
      <c r="AZ64" s="10">
        <f t="shared" si="20"/>
        <v>78</v>
      </c>
      <c r="BA64" s="10">
        <f t="shared" si="21"/>
        <v>44</v>
      </c>
      <c r="BB64" s="27">
        <f t="shared" si="22"/>
        <v>56.410256410256409</v>
      </c>
    </row>
    <row r="65" spans="1:54">
      <c r="A65" s="12">
        <v>59</v>
      </c>
      <c r="B65" s="13">
        <v>1230321057</v>
      </c>
      <c r="C65" s="14" t="s">
        <v>80</v>
      </c>
      <c r="D65" s="7">
        <v>2</v>
      </c>
      <c r="E65" s="7">
        <v>0</v>
      </c>
      <c r="F65" s="19">
        <f t="shared" si="0"/>
        <v>0</v>
      </c>
      <c r="G65" s="9">
        <v>4</v>
      </c>
      <c r="H65" s="7">
        <v>0</v>
      </c>
      <c r="I65" s="19">
        <f t="shared" si="1"/>
        <v>0</v>
      </c>
      <c r="J65" s="7">
        <v>4</v>
      </c>
      <c r="K65" s="7">
        <v>3</v>
      </c>
      <c r="L65" s="19">
        <f t="shared" si="2"/>
        <v>75</v>
      </c>
      <c r="M65" s="9">
        <v>10</v>
      </c>
      <c r="N65" s="7">
        <v>3</v>
      </c>
      <c r="O65" s="19">
        <f t="shared" si="3"/>
        <v>30</v>
      </c>
      <c r="P65" s="7">
        <v>9</v>
      </c>
      <c r="Q65" s="7">
        <v>3</v>
      </c>
      <c r="R65" s="19">
        <f t="shared" si="4"/>
        <v>33.333333333333329</v>
      </c>
      <c r="S65" s="7">
        <v>5</v>
      </c>
      <c r="T65" s="7">
        <v>3</v>
      </c>
      <c r="U65" s="19">
        <f t="shared" si="5"/>
        <v>60</v>
      </c>
      <c r="V65" s="7">
        <v>2</v>
      </c>
      <c r="W65" s="7">
        <v>1</v>
      </c>
      <c r="X65" s="19">
        <f t="shared" si="6"/>
        <v>50</v>
      </c>
      <c r="Y65" s="9">
        <v>6</v>
      </c>
      <c r="Z65" s="7">
        <v>5</v>
      </c>
      <c r="AA65" s="19">
        <f t="shared" si="7"/>
        <v>83.333333333333343</v>
      </c>
      <c r="AB65" s="7">
        <v>2</v>
      </c>
      <c r="AC65" s="7">
        <v>1</v>
      </c>
      <c r="AD65" s="19">
        <f t="shared" si="8"/>
        <v>50</v>
      </c>
      <c r="AE65" s="7">
        <v>7</v>
      </c>
      <c r="AF65" s="7">
        <v>5</v>
      </c>
      <c r="AG65" s="19">
        <f t="shared" si="9"/>
        <v>71.428571428571431</v>
      </c>
      <c r="AH65" s="7">
        <v>4</v>
      </c>
      <c r="AI65" s="7">
        <v>4</v>
      </c>
      <c r="AJ65" s="19">
        <f t="shared" si="10"/>
        <v>100</v>
      </c>
      <c r="AK65" s="9">
        <v>10</v>
      </c>
      <c r="AL65" s="7">
        <v>6</v>
      </c>
      <c r="AM65" s="19">
        <f t="shared" si="11"/>
        <v>60</v>
      </c>
      <c r="AN65" s="7">
        <v>4</v>
      </c>
      <c r="AO65" s="7">
        <v>4</v>
      </c>
      <c r="AP65" s="19">
        <f t="shared" si="12"/>
        <v>100</v>
      </c>
      <c r="AQ65" s="9">
        <v>9</v>
      </c>
      <c r="AR65" s="7">
        <v>3</v>
      </c>
      <c r="AS65" s="19">
        <f t="shared" si="13"/>
        <v>33.333333333333329</v>
      </c>
      <c r="AT65" s="10">
        <f t="shared" si="14"/>
        <v>27</v>
      </c>
      <c r="AU65" s="10">
        <f t="shared" si="15"/>
        <v>16</v>
      </c>
      <c r="AV65" s="26">
        <f t="shared" si="16"/>
        <v>59.259259259259252</v>
      </c>
      <c r="AW65" s="10">
        <f t="shared" si="17"/>
        <v>51</v>
      </c>
      <c r="AX65" s="10">
        <f t="shared" si="18"/>
        <v>25</v>
      </c>
      <c r="AY65" s="26">
        <f t="shared" si="19"/>
        <v>49.019607843137251</v>
      </c>
      <c r="AZ65" s="10">
        <f t="shared" si="20"/>
        <v>78</v>
      </c>
      <c r="BA65" s="10">
        <f t="shared" si="21"/>
        <v>41</v>
      </c>
      <c r="BB65" s="27">
        <f t="shared" si="22"/>
        <v>52.564102564102569</v>
      </c>
    </row>
    <row r="66" spans="1:54">
      <c r="A66" s="12">
        <v>60</v>
      </c>
      <c r="B66" s="13">
        <v>1230321058</v>
      </c>
      <c r="C66" s="14" t="s">
        <v>81</v>
      </c>
      <c r="D66" s="7">
        <v>2</v>
      </c>
      <c r="E66" s="7">
        <v>0</v>
      </c>
      <c r="F66" s="19">
        <f t="shared" si="0"/>
        <v>0</v>
      </c>
      <c r="G66" s="9">
        <v>4</v>
      </c>
      <c r="H66" s="7">
        <v>1</v>
      </c>
      <c r="I66" s="19">
        <f t="shared" si="1"/>
        <v>25</v>
      </c>
      <c r="J66" s="7">
        <v>4</v>
      </c>
      <c r="K66" s="7">
        <v>4</v>
      </c>
      <c r="L66" s="19">
        <f t="shared" si="2"/>
        <v>100</v>
      </c>
      <c r="M66" s="9">
        <v>10</v>
      </c>
      <c r="N66" s="7">
        <v>9</v>
      </c>
      <c r="O66" s="19">
        <f t="shared" si="3"/>
        <v>90</v>
      </c>
      <c r="P66" s="7">
        <v>9</v>
      </c>
      <c r="Q66" s="7">
        <v>9</v>
      </c>
      <c r="R66" s="19">
        <f t="shared" si="4"/>
        <v>100</v>
      </c>
      <c r="S66" s="7">
        <v>5</v>
      </c>
      <c r="T66" s="7">
        <v>4</v>
      </c>
      <c r="U66" s="19">
        <f t="shared" si="5"/>
        <v>80</v>
      </c>
      <c r="V66" s="7">
        <v>2</v>
      </c>
      <c r="W66" s="7">
        <v>2</v>
      </c>
      <c r="X66" s="19">
        <f t="shared" si="6"/>
        <v>100</v>
      </c>
      <c r="Y66" s="9">
        <v>6</v>
      </c>
      <c r="Z66" s="7">
        <v>4</v>
      </c>
      <c r="AA66" s="19">
        <f t="shared" si="7"/>
        <v>66.666666666666657</v>
      </c>
      <c r="AB66" s="7">
        <v>2</v>
      </c>
      <c r="AC66" s="7">
        <v>2</v>
      </c>
      <c r="AD66" s="19">
        <f t="shared" si="8"/>
        <v>100</v>
      </c>
      <c r="AE66" s="7">
        <v>7</v>
      </c>
      <c r="AF66" s="7">
        <v>3</v>
      </c>
      <c r="AG66" s="19">
        <f t="shared" si="9"/>
        <v>42.857142857142854</v>
      </c>
      <c r="AH66" s="7">
        <v>4</v>
      </c>
      <c r="AI66" s="7">
        <v>2</v>
      </c>
      <c r="AJ66" s="19">
        <f t="shared" si="10"/>
        <v>50</v>
      </c>
      <c r="AK66" s="9">
        <v>10</v>
      </c>
      <c r="AL66" s="7">
        <v>8</v>
      </c>
      <c r="AM66" s="19">
        <f t="shared" si="11"/>
        <v>80</v>
      </c>
      <c r="AN66" s="7">
        <v>4</v>
      </c>
      <c r="AO66" s="7">
        <v>4</v>
      </c>
      <c r="AP66" s="19">
        <f t="shared" si="12"/>
        <v>100</v>
      </c>
      <c r="AQ66" s="9">
        <v>9</v>
      </c>
      <c r="AR66" s="7">
        <v>7</v>
      </c>
      <c r="AS66" s="19">
        <f t="shared" si="13"/>
        <v>77.777777777777786</v>
      </c>
      <c r="AT66" s="10">
        <f t="shared" si="14"/>
        <v>27</v>
      </c>
      <c r="AU66" s="10">
        <f t="shared" si="15"/>
        <v>23</v>
      </c>
      <c r="AV66" s="26">
        <f t="shared" si="16"/>
        <v>85.18518518518519</v>
      </c>
      <c r="AW66" s="10">
        <f t="shared" si="17"/>
        <v>51</v>
      </c>
      <c r="AX66" s="10">
        <f t="shared" si="18"/>
        <v>36</v>
      </c>
      <c r="AY66" s="26">
        <f t="shared" si="19"/>
        <v>70.588235294117652</v>
      </c>
      <c r="AZ66" s="10">
        <f t="shared" si="20"/>
        <v>78</v>
      </c>
      <c r="BA66" s="10">
        <f t="shared" si="21"/>
        <v>59</v>
      </c>
      <c r="BB66" s="27">
        <f t="shared" si="22"/>
        <v>75.641025641025635</v>
      </c>
    </row>
    <row r="67" spans="1:54">
      <c r="A67" s="12">
        <v>61</v>
      </c>
      <c r="B67" s="13">
        <v>1230321060</v>
      </c>
      <c r="C67" s="14" t="s">
        <v>82</v>
      </c>
      <c r="D67" s="7">
        <v>2</v>
      </c>
      <c r="E67" s="7">
        <v>0</v>
      </c>
      <c r="F67" s="19">
        <f t="shared" si="0"/>
        <v>0</v>
      </c>
      <c r="G67" s="9">
        <v>4</v>
      </c>
      <c r="H67" s="7">
        <v>1</v>
      </c>
      <c r="I67" s="19">
        <f t="shared" si="1"/>
        <v>25</v>
      </c>
      <c r="J67" s="7">
        <v>4</v>
      </c>
      <c r="K67" s="7">
        <v>1</v>
      </c>
      <c r="L67" s="19">
        <f t="shared" si="2"/>
        <v>25</v>
      </c>
      <c r="M67" s="9">
        <v>10</v>
      </c>
      <c r="N67" s="7">
        <v>3</v>
      </c>
      <c r="O67" s="19">
        <f t="shared" si="3"/>
        <v>30</v>
      </c>
      <c r="P67" s="7">
        <v>9</v>
      </c>
      <c r="Q67" s="7">
        <v>2</v>
      </c>
      <c r="R67" s="19">
        <f t="shared" si="4"/>
        <v>22.222222222222221</v>
      </c>
      <c r="S67" s="7">
        <v>5</v>
      </c>
      <c r="T67" s="7">
        <v>3</v>
      </c>
      <c r="U67" s="19">
        <f t="shared" si="5"/>
        <v>60</v>
      </c>
      <c r="V67" s="7">
        <v>2</v>
      </c>
      <c r="W67" s="7">
        <v>1</v>
      </c>
      <c r="X67" s="19">
        <f t="shared" si="6"/>
        <v>50</v>
      </c>
      <c r="Y67" s="9">
        <v>6</v>
      </c>
      <c r="Z67" s="7">
        <v>2</v>
      </c>
      <c r="AA67" s="19">
        <f t="shared" si="7"/>
        <v>33.333333333333329</v>
      </c>
      <c r="AB67" s="7">
        <v>2</v>
      </c>
      <c r="AC67" s="7">
        <v>0</v>
      </c>
      <c r="AD67" s="19">
        <f t="shared" si="8"/>
        <v>0</v>
      </c>
      <c r="AE67" s="7">
        <v>7</v>
      </c>
      <c r="AF67" s="7">
        <v>2</v>
      </c>
      <c r="AG67" s="19">
        <f t="shared" si="9"/>
        <v>28.571428571428569</v>
      </c>
      <c r="AH67" s="7">
        <v>4</v>
      </c>
      <c r="AI67" s="7">
        <v>0</v>
      </c>
      <c r="AJ67" s="19">
        <f t="shared" si="10"/>
        <v>0</v>
      </c>
      <c r="AK67" s="9">
        <v>10</v>
      </c>
      <c r="AL67" s="7">
        <v>1</v>
      </c>
      <c r="AM67" s="19">
        <f t="shared" si="11"/>
        <v>10</v>
      </c>
      <c r="AN67" s="7">
        <v>4</v>
      </c>
      <c r="AO67" s="7">
        <v>1</v>
      </c>
      <c r="AP67" s="19">
        <f t="shared" si="12"/>
        <v>25</v>
      </c>
      <c r="AQ67" s="9">
        <v>9</v>
      </c>
      <c r="AR67" s="7">
        <v>2</v>
      </c>
      <c r="AS67" s="19">
        <f t="shared" si="13"/>
        <v>22.222222222222221</v>
      </c>
      <c r="AT67" s="10">
        <f t="shared" si="14"/>
        <v>27</v>
      </c>
      <c r="AU67" s="10">
        <f t="shared" si="15"/>
        <v>5</v>
      </c>
      <c r="AV67" s="26">
        <f t="shared" si="16"/>
        <v>18.518518518518519</v>
      </c>
      <c r="AW67" s="10">
        <f t="shared" si="17"/>
        <v>51</v>
      </c>
      <c r="AX67" s="10">
        <f t="shared" si="18"/>
        <v>14</v>
      </c>
      <c r="AY67" s="26">
        <f t="shared" si="19"/>
        <v>27.450980392156865</v>
      </c>
      <c r="AZ67" s="10">
        <f t="shared" si="20"/>
        <v>78</v>
      </c>
      <c r="BA67" s="10">
        <f t="shared" si="21"/>
        <v>19</v>
      </c>
      <c r="BB67" s="27">
        <f t="shared" si="22"/>
        <v>24.358974358974358</v>
      </c>
    </row>
    <row r="68" spans="1:54">
      <c r="A68" s="12">
        <v>62</v>
      </c>
      <c r="B68" s="13">
        <v>1230321061</v>
      </c>
      <c r="C68" s="14" t="s">
        <v>101</v>
      </c>
      <c r="D68" s="7">
        <v>2</v>
      </c>
      <c r="E68" s="7">
        <v>0</v>
      </c>
      <c r="F68" s="19">
        <f t="shared" si="0"/>
        <v>0</v>
      </c>
      <c r="G68" s="9">
        <v>4</v>
      </c>
      <c r="H68" s="7">
        <v>0</v>
      </c>
      <c r="I68" s="19">
        <f t="shared" si="1"/>
        <v>0</v>
      </c>
      <c r="J68" s="7">
        <v>4</v>
      </c>
      <c r="K68" s="7">
        <v>1</v>
      </c>
      <c r="L68" s="19">
        <f t="shared" si="2"/>
        <v>25</v>
      </c>
      <c r="M68" s="9">
        <v>10</v>
      </c>
      <c r="N68" s="7">
        <v>0</v>
      </c>
      <c r="O68" s="19">
        <f t="shared" si="3"/>
        <v>0</v>
      </c>
      <c r="P68" s="7">
        <v>9</v>
      </c>
      <c r="Q68" s="7">
        <v>0</v>
      </c>
      <c r="R68" s="19">
        <f t="shared" si="4"/>
        <v>0</v>
      </c>
      <c r="S68" s="7">
        <v>5</v>
      </c>
      <c r="T68" s="7">
        <v>1</v>
      </c>
      <c r="U68" s="19">
        <f t="shared" si="5"/>
        <v>20</v>
      </c>
      <c r="V68" s="7">
        <v>2</v>
      </c>
      <c r="W68" s="7">
        <v>0</v>
      </c>
      <c r="X68" s="19">
        <f t="shared" si="6"/>
        <v>0</v>
      </c>
      <c r="Y68" s="9">
        <v>6</v>
      </c>
      <c r="Z68" s="7">
        <v>0</v>
      </c>
      <c r="AA68" s="19">
        <f t="shared" si="7"/>
        <v>0</v>
      </c>
      <c r="AB68" s="7">
        <v>2</v>
      </c>
      <c r="AC68" s="20">
        <v>0</v>
      </c>
      <c r="AD68" s="19">
        <f t="shared" si="8"/>
        <v>0</v>
      </c>
      <c r="AE68" s="7">
        <v>7</v>
      </c>
      <c r="AF68" s="20">
        <v>0</v>
      </c>
      <c r="AG68" s="19">
        <f t="shared" si="9"/>
        <v>0</v>
      </c>
      <c r="AH68" s="7">
        <v>4</v>
      </c>
      <c r="AI68" s="7">
        <v>0</v>
      </c>
      <c r="AJ68" s="19">
        <f t="shared" si="10"/>
        <v>0</v>
      </c>
      <c r="AK68" s="9">
        <v>10</v>
      </c>
      <c r="AL68" s="7">
        <v>0</v>
      </c>
      <c r="AM68" s="19">
        <f t="shared" si="11"/>
        <v>0</v>
      </c>
      <c r="AN68" s="7">
        <v>4</v>
      </c>
      <c r="AO68" s="7">
        <v>0</v>
      </c>
      <c r="AP68" s="19">
        <f t="shared" si="12"/>
        <v>0</v>
      </c>
      <c r="AQ68" s="9">
        <v>9</v>
      </c>
      <c r="AR68" s="7">
        <v>0</v>
      </c>
      <c r="AS68" s="19">
        <f t="shared" si="13"/>
        <v>0</v>
      </c>
      <c r="AT68" s="10">
        <f t="shared" si="14"/>
        <v>27</v>
      </c>
      <c r="AU68" s="10">
        <f t="shared" si="15"/>
        <v>1</v>
      </c>
      <c r="AV68" s="26">
        <f t="shared" si="16"/>
        <v>3.7037037037037033</v>
      </c>
      <c r="AW68" s="10">
        <f t="shared" si="17"/>
        <v>51</v>
      </c>
      <c r="AX68" s="10">
        <f t="shared" si="18"/>
        <v>1</v>
      </c>
      <c r="AY68" s="26">
        <f t="shared" si="19"/>
        <v>1.9607843137254901</v>
      </c>
      <c r="AZ68" s="10">
        <f t="shared" si="20"/>
        <v>78</v>
      </c>
      <c r="BA68" s="10">
        <f t="shared" si="21"/>
        <v>2</v>
      </c>
      <c r="BB68" s="27">
        <f t="shared" si="22"/>
        <v>2.5641025641025639</v>
      </c>
    </row>
    <row r="69" spans="1:54">
      <c r="A69" s="12">
        <v>63</v>
      </c>
      <c r="B69" s="13">
        <v>1230321062</v>
      </c>
      <c r="C69" s="14" t="s">
        <v>83</v>
      </c>
      <c r="D69" s="7">
        <v>2</v>
      </c>
      <c r="E69" s="7">
        <v>0</v>
      </c>
      <c r="F69" s="19">
        <f t="shared" si="0"/>
        <v>0</v>
      </c>
      <c r="G69" s="9">
        <v>4</v>
      </c>
      <c r="H69" s="7">
        <v>2</v>
      </c>
      <c r="I69" s="19">
        <f t="shared" si="1"/>
        <v>50</v>
      </c>
      <c r="J69" s="7">
        <v>4</v>
      </c>
      <c r="K69" s="7">
        <v>2</v>
      </c>
      <c r="L69" s="19">
        <f t="shared" si="2"/>
        <v>50</v>
      </c>
      <c r="M69" s="9">
        <v>10</v>
      </c>
      <c r="N69" s="7">
        <v>3</v>
      </c>
      <c r="O69" s="19">
        <f t="shared" si="3"/>
        <v>30</v>
      </c>
      <c r="P69" s="7">
        <v>9</v>
      </c>
      <c r="Q69" s="7">
        <v>7</v>
      </c>
      <c r="R69" s="19">
        <f t="shared" si="4"/>
        <v>77.777777777777786</v>
      </c>
      <c r="S69" s="7">
        <v>5</v>
      </c>
      <c r="T69" s="7">
        <v>4</v>
      </c>
      <c r="U69" s="19">
        <f t="shared" si="5"/>
        <v>80</v>
      </c>
      <c r="V69" s="7">
        <v>2</v>
      </c>
      <c r="W69" s="7">
        <v>1</v>
      </c>
      <c r="X69" s="19">
        <f t="shared" si="6"/>
        <v>50</v>
      </c>
      <c r="Y69" s="9">
        <v>6</v>
      </c>
      <c r="Z69" s="7">
        <v>2</v>
      </c>
      <c r="AA69" s="19">
        <f t="shared" si="7"/>
        <v>33.333333333333329</v>
      </c>
      <c r="AB69" s="7">
        <v>2</v>
      </c>
      <c r="AC69" s="7">
        <v>2</v>
      </c>
      <c r="AD69" s="19">
        <f t="shared" si="8"/>
        <v>100</v>
      </c>
      <c r="AE69" s="7">
        <v>7</v>
      </c>
      <c r="AF69" s="7">
        <v>5</v>
      </c>
      <c r="AG69" s="19">
        <f t="shared" si="9"/>
        <v>71.428571428571431</v>
      </c>
      <c r="AH69" s="7">
        <v>4</v>
      </c>
      <c r="AI69" s="7">
        <v>2</v>
      </c>
      <c r="AJ69" s="19">
        <f t="shared" si="10"/>
        <v>50</v>
      </c>
      <c r="AK69" s="9">
        <v>10</v>
      </c>
      <c r="AL69" s="7">
        <v>3</v>
      </c>
      <c r="AM69" s="19">
        <f t="shared" si="11"/>
        <v>30</v>
      </c>
      <c r="AN69" s="7">
        <v>4</v>
      </c>
      <c r="AO69" s="7">
        <v>4</v>
      </c>
      <c r="AP69" s="19">
        <f t="shared" si="12"/>
        <v>100</v>
      </c>
      <c r="AQ69" s="9">
        <v>9</v>
      </c>
      <c r="AR69" s="7">
        <v>9</v>
      </c>
      <c r="AS69" s="19">
        <f t="shared" si="13"/>
        <v>100</v>
      </c>
      <c r="AT69" s="10">
        <f t="shared" si="14"/>
        <v>27</v>
      </c>
      <c r="AU69" s="10">
        <f t="shared" si="15"/>
        <v>18</v>
      </c>
      <c r="AV69" s="26">
        <f t="shared" si="16"/>
        <v>66.666666666666657</v>
      </c>
      <c r="AW69" s="10">
        <f t="shared" si="17"/>
        <v>51</v>
      </c>
      <c r="AX69" s="10">
        <f t="shared" si="18"/>
        <v>28</v>
      </c>
      <c r="AY69" s="26">
        <f t="shared" si="19"/>
        <v>54.901960784313729</v>
      </c>
      <c r="AZ69" s="10">
        <f t="shared" si="20"/>
        <v>78</v>
      </c>
      <c r="BA69" s="10">
        <f t="shared" si="21"/>
        <v>46</v>
      </c>
      <c r="BB69" s="27">
        <f t="shared" si="22"/>
        <v>58.974358974358978</v>
      </c>
    </row>
    <row r="70" spans="1:54">
      <c r="A70" s="12">
        <v>64</v>
      </c>
      <c r="B70" s="13">
        <v>1230321063</v>
      </c>
      <c r="C70" s="14" t="s">
        <v>84</v>
      </c>
      <c r="D70" s="7">
        <v>2</v>
      </c>
      <c r="E70" s="7">
        <v>1</v>
      </c>
      <c r="F70" s="19">
        <f>E70/D70*100</f>
        <v>50</v>
      </c>
      <c r="G70" s="9">
        <v>4</v>
      </c>
      <c r="H70" s="7">
        <v>1</v>
      </c>
      <c r="I70" s="19">
        <f t="shared" si="1"/>
        <v>25</v>
      </c>
      <c r="J70" s="7">
        <v>4</v>
      </c>
      <c r="K70" s="7">
        <v>3</v>
      </c>
      <c r="L70" s="19">
        <f t="shared" si="2"/>
        <v>75</v>
      </c>
      <c r="M70" s="9">
        <v>10</v>
      </c>
      <c r="N70" s="7">
        <v>5</v>
      </c>
      <c r="O70" s="19">
        <f t="shared" si="3"/>
        <v>50</v>
      </c>
      <c r="P70" s="7">
        <v>9</v>
      </c>
      <c r="Q70" s="7">
        <v>7</v>
      </c>
      <c r="R70" s="19">
        <f t="shared" si="4"/>
        <v>77.777777777777786</v>
      </c>
      <c r="S70" s="7">
        <v>5</v>
      </c>
      <c r="T70" s="7">
        <v>4</v>
      </c>
      <c r="U70" s="19">
        <f t="shared" si="5"/>
        <v>80</v>
      </c>
      <c r="V70" s="7">
        <v>2</v>
      </c>
      <c r="W70" s="7">
        <v>1</v>
      </c>
      <c r="X70" s="19">
        <f t="shared" si="6"/>
        <v>50</v>
      </c>
      <c r="Y70" s="9">
        <v>6</v>
      </c>
      <c r="Z70" s="7">
        <v>4</v>
      </c>
      <c r="AA70" s="19">
        <f t="shared" si="7"/>
        <v>66.666666666666657</v>
      </c>
      <c r="AB70" s="7">
        <v>2</v>
      </c>
      <c r="AC70" s="7">
        <v>1</v>
      </c>
      <c r="AD70" s="19">
        <f t="shared" si="8"/>
        <v>50</v>
      </c>
      <c r="AE70" s="7">
        <v>7</v>
      </c>
      <c r="AF70" s="7">
        <v>7</v>
      </c>
      <c r="AG70" s="19">
        <f t="shared" si="9"/>
        <v>100</v>
      </c>
      <c r="AH70" s="7">
        <v>4</v>
      </c>
      <c r="AI70" s="7">
        <v>3</v>
      </c>
      <c r="AJ70" s="19">
        <f t="shared" si="10"/>
        <v>75</v>
      </c>
      <c r="AK70" s="9">
        <v>10</v>
      </c>
      <c r="AL70" s="7">
        <v>7</v>
      </c>
      <c r="AM70" s="19">
        <f t="shared" si="11"/>
        <v>70</v>
      </c>
      <c r="AN70" s="7">
        <v>4</v>
      </c>
      <c r="AO70" s="7">
        <v>3</v>
      </c>
      <c r="AP70" s="19">
        <f t="shared" si="12"/>
        <v>75</v>
      </c>
      <c r="AQ70" s="9">
        <v>9</v>
      </c>
      <c r="AR70" s="7">
        <v>8</v>
      </c>
      <c r="AS70" s="19">
        <f t="shared" si="13"/>
        <v>88.888888888888886</v>
      </c>
      <c r="AT70" s="10">
        <f t="shared" si="14"/>
        <v>27</v>
      </c>
      <c r="AU70" s="10">
        <f t="shared" si="15"/>
        <v>19</v>
      </c>
      <c r="AV70" s="26">
        <f t="shared" si="16"/>
        <v>70.370370370370367</v>
      </c>
      <c r="AW70" s="10">
        <f t="shared" si="17"/>
        <v>51</v>
      </c>
      <c r="AX70" s="10">
        <f t="shared" si="18"/>
        <v>36</v>
      </c>
      <c r="AY70" s="26">
        <f t="shared" si="19"/>
        <v>70.588235294117652</v>
      </c>
      <c r="AZ70" s="10">
        <f t="shared" si="20"/>
        <v>78</v>
      </c>
      <c r="BA70" s="10">
        <f t="shared" si="21"/>
        <v>55</v>
      </c>
      <c r="BB70" s="27">
        <f t="shared" si="22"/>
        <v>70.512820512820511</v>
      </c>
    </row>
    <row r="71" spans="1:54">
      <c r="A71" s="12">
        <v>65</v>
      </c>
      <c r="B71" s="13">
        <v>1230321064</v>
      </c>
      <c r="C71" s="14" t="s">
        <v>102</v>
      </c>
      <c r="D71" s="7">
        <v>2</v>
      </c>
      <c r="E71" s="7">
        <v>1</v>
      </c>
      <c r="F71" s="19">
        <f t="shared" si="0"/>
        <v>50</v>
      </c>
      <c r="G71" s="9">
        <v>4</v>
      </c>
      <c r="H71" s="7">
        <v>2</v>
      </c>
      <c r="I71" s="19">
        <f t="shared" si="1"/>
        <v>50</v>
      </c>
      <c r="J71" s="7">
        <v>4</v>
      </c>
      <c r="K71" s="7">
        <v>2</v>
      </c>
      <c r="L71" s="19">
        <f t="shared" si="2"/>
        <v>50</v>
      </c>
      <c r="M71" s="9">
        <v>10</v>
      </c>
      <c r="N71" s="7">
        <v>5</v>
      </c>
      <c r="O71" s="19">
        <f t="shared" si="3"/>
        <v>50</v>
      </c>
      <c r="P71" s="7">
        <v>9</v>
      </c>
      <c r="Q71" s="7">
        <v>7</v>
      </c>
      <c r="R71" s="19">
        <f t="shared" si="4"/>
        <v>77.777777777777786</v>
      </c>
      <c r="S71" s="7">
        <v>5</v>
      </c>
      <c r="T71" s="7">
        <v>2</v>
      </c>
      <c r="U71" s="19">
        <f t="shared" si="5"/>
        <v>40</v>
      </c>
      <c r="V71" s="7">
        <v>2</v>
      </c>
      <c r="W71" s="7">
        <v>1</v>
      </c>
      <c r="X71" s="19">
        <f t="shared" si="6"/>
        <v>50</v>
      </c>
      <c r="Y71" s="9">
        <v>6</v>
      </c>
      <c r="Z71" s="7">
        <v>4</v>
      </c>
      <c r="AA71" s="19">
        <f t="shared" si="7"/>
        <v>66.666666666666657</v>
      </c>
      <c r="AB71" s="7">
        <v>2</v>
      </c>
      <c r="AC71" s="20">
        <v>1</v>
      </c>
      <c r="AD71" s="19">
        <f t="shared" si="8"/>
        <v>50</v>
      </c>
      <c r="AE71" s="7">
        <v>7</v>
      </c>
      <c r="AF71" s="20">
        <v>5</v>
      </c>
      <c r="AG71" s="19">
        <f t="shared" si="9"/>
        <v>71.428571428571431</v>
      </c>
      <c r="AH71" s="7">
        <v>4</v>
      </c>
      <c r="AI71" s="7">
        <v>3</v>
      </c>
      <c r="AJ71" s="19">
        <f t="shared" si="10"/>
        <v>75</v>
      </c>
      <c r="AK71" s="9">
        <v>10</v>
      </c>
      <c r="AL71" s="7">
        <v>5</v>
      </c>
      <c r="AM71" s="19">
        <f t="shared" si="11"/>
        <v>50</v>
      </c>
      <c r="AN71" s="7">
        <v>4</v>
      </c>
      <c r="AO71" s="7">
        <v>3</v>
      </c>
      <c r="AP71" s="19">
        <f t="shared" si="12"/>
        <v>75</v>
      </c>
      <c r="AQ71" s="9">
        <v>9</v>
      </c>
      <c r="AR71" s="7">
        <v>6</v>
      </c>
      <c r="AS71" s="19">
        <f t="shared" si="13"/>
        <v>66.666666666666657</v>
      </c>
      <c r="AT71" s="10">
        <f t="shared" si="14"/>
        <v>27</v>
      </c>
      <c r="AU71" s="10">
        <f t="shared" si="15"/>
        <v>18</v>
      </c>
      <c r="AV71" s="26">
        <f t="shared" si="16"/>
        <v>66.666666666666657</v>
      </c>
      <c r="AW71" s="10">
        <f t="shared" si="17"/>
        <v>51</v>
      </c>
      <c r="AX71" s="10">
        <f t="shared" si="18"/>
        <v>29</v>
      </c>
      <c r="AY71" s="26">
        <f t="shared" si="19"/>
        <v>56.862745098039213</v>
      </c>
      <c r="AZ71" s="10">
        <f t="shared" si="20"/>
        <v>78</v>
      </c>
      <c r="BA71" s="10">
        <f t="shared" si="21"/>
        <v>47</v>
      </c>
      <c r="BB71" s="27">
        <f t="shared" si="22"/>
        <v>60.256410256410255</v>
      </c>
    </row>
    <row r="72" spans="1:54">
      <c r="A72" s="12">
        <v>66</v>
      </c>
      <c r="B72" s="13">
        <v>1230321065</v>
      </c>
      <c r="C72" s="14" t="s">
        <v>85</v>
      </c>
      <c r="D72" s="7">
        <v>2</v>
      </c>
      <c r="E72" s="7">
        <v>0</v>
      </c>
      <c r="F72" s="19">
        <f t="shared" ref="F72:F88" si="23">E72/D72*100</f>
        <v>0</v>
      </c>
      <c r="G72" s="9">
        <v>4</v>
      </c>
      <c r="H72" s="7">
        <v>2</v>
      </c>
      <c r="I72" s="19">
        <f t="shared" ref="I72:I88" si="24">H72/G72*100</f>
        <v>50</v>
      </c>
      <c r="J72" s="7">
        <v>4</v>
      </c>
      <c r="K72" s="7">
        <v>3</v>
      </c>
      <c r="L72" s="19">
        <f t="shared" ref="L72:L88" si="25">K72/J72*100</f>
        <v>75</v>
      </c>
      <c r="M72" s="9">
        <v>10</v>
      </c>
      <c r="N72" s="7">
        <v>4</v>
      </c>
      <c r="O72" s="19">
        <f t="shared" ref="O72:O88" si="26">N72/M72*100</f>
        <v>40</v>
      </c>
      <c r="P72" s="7">
        <v>9</v>
      </c>
      <c r="Q72" s="7">
        <v>2</v>
      </c>
      <c r="R72" s="19">
        <f t="shared" ref="R72:R88" si="27">Q72/P72*100</f>
        <v>22.222222222222221</v>
      </c>
      <c r="S72" s="7">
        <v>5</v>
      </c>
      <c r="T72" s="7">
        <v>3</v>
      </c>
      <c r="U72" s="19">
        <f t="shared" ref="U72:U88" si="28">T72/S72*100</f>
        <v>60</v>
      </c>
      <c r="V72" s="7">
        <v>2</v>
      </c>
      <c r="W72" s="7">
        <v>1</v>
      </c>
      <c r="X72" s="19">
        <f t="shared" ref="X72:X88" si="29">W72/V72*100</f>
        <v>50</v>
      </c>
      <c r="Y72" s="9">
        <v>6</v>
      </c>
      <c r="Z72" s="7">
        <v>4</v>
      </c>
      <c r="AA72" s="19">
        <f t="shared" ref="AA72:AA88" si="30">Z72/Y72*100</f>
        <v>66.666666666666657</v>
      </c>
      <c r="AB72" s="7">
        <v>2</v>
      </c>
      <c r="AC72" s="7">
        <v>0</v>
      </c>
      <c r="AD72" s="19">
        <f t="shared" ref="AD72:AD88" si="31">AC72/AB72*100</f>
        <v>0</v>
      </c>
      <c r="AE72" s="7">
        <v>7</v>
      </c>
      <c r="AF72" s="7">
        <v>1</v>
      </c>
      <c r="AG72" s="19">
        <f t="shared" ref="AG72:AG88" si="32">AF72/AE72*100</f>
        <v>14.285714285714285</v>
      </c>
      <c r="AH72" s="7">
        <v>4</v>
      </c>
      <c r="AI72" s="7">
        <v>2</v>
      </c>
      <c r="AJ72" s="19">
        <f t="shared" ref="AJ72:AJ88" si="33">AI72/AH72*100</f>
        <v>50</v>
      </c>
      <c r="AK72" s="9">
        <v>10</v>
      </c>
      <c r="AL72" s="7">
        <v>5</v>
      </c>
      <c r="AM72" s="19">
        <f t="shared" ref="AM72:AM88" si="34">AL72/AK72*100</f>
        <v>50</v>
      </c>
      <c r="AN72" s="7">
        <v>4</v>
      </c>
      <c r="AO72" s="7">
        <v>3</v>
      </c>
      <c r="AP72" s="19">
        <f t="shared" ref="AP72:AP88" si="35">AO72/AN72*100</f>
        <v>75</v>
      </c>
      <c r="AQ72" s="9">
        <v>9</v>
      </c>
      <c r="AR72" s="7">
        <v>2</v>
      </c>
      <c r="AS72" s="19">
        <f t="shared" ref="AS72:AS88" si="36">AR72/AQ72*100</f>
        <v>22.222222222222221</v>
      </c>
      <c r="AT72" s="10">
        <f t="shared" ref="AT72:AT83" si="37">SUM(D72,J72,P72,V72,AB72,AH72,AN72)</f>
        <v>27</v>
      </c>
      <c r="AU72" s="10">
        <f t="shared" ref="AU72:AU83" si="38">SUM(E72,K72,Q72,W72,AC72,AI72,AO72)</f>
        <v>11</v>
      </c>
      <c r="AV72" s="26">
        <f t="shared" ref="AV72:AV83" si="39">AU72/AT72*100</f>
        <v>40.74074074074074</v>
      </c>
      <c r="AW72" s="10">
        <f t="shared" ref="AW72:AW83" si="40">SUM(G72,M72,S72,Y72,AE72,AK72,AQ72)</f>
        <v>51</v>
      </c>
      <c r="AX72" s="10">
        <f t="shared" ref="AX72:AX83" si="41">SUM(H72,N72,T72,Z72,AF72,AL72,AR72)</f>
        <v>21</v>
      </c>
      <c r="AY72" s="26">
        <f t="shared" ref="AY72:AY83" si="42">AX72/AW72*100</f>
        <v>41.17647058823529</v>
      </c>
      <c r="AZ72" s="10">
        <f t="shared" ref="AZ72:AZ83" si="43">SUM(AT72,AW72)</f>
        <v>78</v>
      </c>
      <c r="BA72" s="10">
        <f t="shared" ref="BA72:BA83" si="44">SUM(AU72,AX72)</f>
        <v>32</v>
      </c>
      <c r="BB72" s="27">
        <f t="shared" ref="BB72:BB83" si="45">BA72/AZ72*100</f>
        <v>41.025641025641022</v>
      </c>
    </row>
    <row r="73" spans="1:54">
      <c r="A73" s="12">
        <v>67</v>
      </c>
      <c r="B73" s="13">
        <v>1230321066</v>
      </c>
      <c r="C73" s="14" t="s">
        <v>86</v>
      </c>
      <c r="D73" s="7">
        <v>2</v>
      </c>
      <c r="E73" s="7">
        <v>1</v>
      </c>
      <c r="F73" s="19">
        <f t="shared" si="23"/>
        <v>50</v>
      </c>
      <c r="G73" s="9">
        <v>4</v>
      </c>
      <c r="H73" s="7">
        <v>1</v>
      </c>
      <c r="I73" s="19">
        <f t="shared" si="24"/>
        <v>25</v>
      </c>
      <c r="J73" s="7">
        <v>4</v>
      </c>
      <c r="K73" s="7">
        <v>1</v>
      </c>
      <c r="L73" s="19">
        <f t="shared" si="25"/>
        <v>25</v>
      </c>
      <c r="M73" s="9">
        <v>10</v>
      </c>
      <c r="N73" s="7">
        <v>4</v>
      </c>
      <c r="O73" s="19">
        <f t="shared" si="26"/>
        <v>40</v>
      </c>
      <c r="P73" s="7">
        <v>9</v>
      </c>
      <c r="Q73" s="7">
        <v>5</v>
      </c>
      <c r="R73" s="19">
        <f t="shared" si="27"/>
        <v>55.555555555555557</v>
      </c>
      <c r="S73" s="7">
        <v>5</v>
      </c>
      <c r="T73" s="7">
        <v>4</v>
      </c>
      <c r="U73" s="19">
        <f t="shared" si="28"/>
        <v>80</v>
      </c>
      <c r="V73" s="7">
        <v>2</v>
      </c>
      <c r="W73" s="7">
        <v>2</v>
      </c>
      <c r="X73" s="19">
        <f t="shared" si="29"/>
        <v>100</v>
      </c>
      <c r="Y73" s="9">
        <v>6</v>
      </c>
      <c r="Z73" s="7">
        <v>2</v>
      </c>
      <c r="AA73" s="19">
        <f t="shared" si="30"/>
        <v>33.333333333333329</v>
      </c>
      <c r="AB73" s="7">
        <v>2</v>
      </c>
      <c r="AC73" s="7">
        <v>0</v>
      </c>
      <c r="AD73" s="19">
        <f t="shared" si="31"/>
        <v>0</v>
      </c>
      <c r="AE73" s="7">
        <v>7</v>
      </c>
      <c r="AF73" s="7">
        <v>3</v>
      </c>
      <c r="AG73" s="19">
        <f t="shared" si="32"/>
        <v>42.857142857142854</v>
      </c>
      <c r="AH73" s="7">
        <v>4</v>
      </c>
      <c r="AI73" s="7">
        <v>2</v>
      </c>
      <c r="AJ73" s="19">
        <f t="shared" si="33"/>
        <v>50</v>
      </c>
      <c r="AK73" s="9">
        <v>10</v>
      </c>
      <c r="AL73" s="7">
        <v>6</v>
      </c>
      <c r="AM73" s="19">
        <f t="shared" si="34"/>
        <v>60</v>
      </c>
      <c r="AN73" s="7">
        <v>4</v>
      </c>
      <c r="AO73" s="7">
        <v>3</v>
      </c>
      <c r="AP73" s="19">
        <f t="shared" si="35"/>
        <v>75</v>
      </c>
      <c r="AQ73" s="9">
        <v>9</v>
      </c>
      <c r="AR73" s="7">
        <v>6</v>
      </c>
      <c r="AS73" s="19">
        <f t="shared" si="36"/>
        <v>66.666666666666657</v>
      </c>
      <c r="AT73" s="10">
        <f t="shared" si="37"/>
        <v>27</v>
      </c>
      <c r="AU73" s="10">
        <f t="shared" si="38"/>
        <v>14</v>
      </c>
      <c r="AV73" s="26">
        <f t="shared" si="39"/>
        <v>51.851851851851848</v>
      </c>
      <c r="AW73" s="10">
        <f t="shared" si="40"/>
        <v>51</v>
      </c>
      <c r="AX73" s="10">
        <f t="shared" si="41"/>
        <v>26</v>
      </c>
      <c r="AY73" s="26">
        <f t="shared" si="42"/>
        <v>50.980392156862742</v>
      </c>
      <c r="AZ73" s="10">
        <f t="shared" si="43"/>
        <v>78</v>
      </c>
      <c r="BA73" s="10">
        <f t="shared" si="44"/>
        <v>40</v>
      </c>
      <c r="BB73" s="27">
        <f t="shared" si="45"/>
        <v>51.282051282051277</v>
      </c>
    </row>
    <row r="74" spans="1:54">
      <c r="A74" s="12">
        <v>68</v>
      </c>
      <c r="B74" s="13">
        <v>1230321067</v>
      </c>
      <c r="C74" s="14" t="s">
        <v>87</v>
      </c>
      <c r="D74" s="7">
        <v>2</v>
      </c>
      <c r="E74" s="7">
        <v>1</v>
      </c>
      <c r="F74" s="19">
        <f t="shared" si="23"/>
        <v>50</v>
      </c>
      <c r="G74" s="9">
        <v>4</v>
      </c>
      <c r="H74" s="7">
        <v>2</v>
      </c>
      <c r="I74" s="19">
        <f t="shared" si="24"/>
        <v>50</v>
      </c>
      <c r="J74" s="7">
        <v>4</v>
      </c>
      <c r="K74" s="7">
        <v>3</v>
      </c>
      <c r="L74" s="19">
        <f t="shared" si="25"/>
        <v>75</v>
      </c>
      <c r="M74" s="9">
        <v>10</v>
      </c>
      <c r="N74" s="7">
        <v>5</v>
      </c>
      <c r="O74" s="19">
        <f t="shared" si="26"/>
        <v>50</v>
      </c>
      <c r="P74" s="7">
        <v>9</v>
      </c>
      <c r="Q74" s="7">
        <v>7</v>
      </c>
      <c r="R74" s="19">
        <f t="shared" si="27"/>
        <v>77.777777777777786</v>
      </c>
      <c r="S74" s="7">
        <v>5</v>
      </c>
      <c r="T74" s="7">
        <v>4</v>
      </c>
      <c r="U74" s="19">
        <f t="shared" si="28"/>
        <v>80</v>
      </c>
      <c r="V74" s="7">
        <v>2</v>
      </c>
      <c r="W74" s="7">
        <v>2</v>
      </c>
      <c r="X74" s="19">
        <f t="shared" si="29"/>
        <v>100</v>
      </c>
      <c r="Y74" s="9">
        <v>6</v>
      </c>
      <c r="Z74" s="7">
        <v>4</v>
      </c>
      <c r="AA74" s="19">
        <f t="shared" si="30"/>
        <v>66.666666666666657</v>
      </c>
      <c r="AB74" s="7">
        <v>2</v>
      </c>
      <c r="AC74" s="7">
        <v>2</v>
      </c>
      <c r="AD74" s="19">
        <f t="shared" si="31"/>
        <v>100</v>
      </c>
      <c r="AE74" s="7">
        <v>7</v>
      </c>
      <c r="AF74" s="7">
        <v>5</v>
      </c>
      <c r="AG74" s="19">
        <f t="shared" si="32"/>
        <v>71.428571428571431</v>
      </c>
      <c r="AH74" s="7">
        <v>4</v>
      </c>
      <c r="AI74" s="7">
        <v>2</v>
      </c>
      <c r="AJ74" s="19">
        <f t="shared" si="33"/>
        <v>50</v>
      </c>
      <c r="AK74" s="9">
        <v>10</v>
      </c>
      <c r="AL74" s="7">
        <v>7</v>
      </c>
      <c r="AM74" s="19">
        <f t="shared" si="34"/>
        <v>70</v>
      </c>
      <c r="AN74" s="7">
        <v>4</v>
      </c>
      <c r="AO74" s="7">
        <v>4</v>
      </c>
      <c r="AP74" s="19">
        <f t="shared" si="35"/>
        <v>100</v>
      </c>
      <c r="AQ74" s="9">
        <v>9</v>
      </c>
      <c r="AR74" s="7">
        <v>8</v>
      </c>
      <c r="AS74" s="19">
        <f t="shared" si="36"/>
        <v>88.888888888888886</v>
      </c>
      <c r="AT74" s="10">
        <f t="shared" si="37"/>
        <v>27</v>
      </c>
      <c r="AU74" s="10">
        <f t="shared" si="38"/>
        <v>21</v>
      </c>
      <c r="AV74" s="26">
        <f t="shared" si="39"/>
        <v>77.777777777777786</v>
      </c>
      <c r="AW74" s="10">
        <f t="shared" si="40"/>
        <v>51</v>
      </c>
      <c r="AX74" s="10">
        <f t="shared" si="41"/>
        <v>35</v>
      </c>
      <c r="AY74" s="26">
        <f t="shared" si="42"/>
        <v>68.627450980392155</v>
      </c>
      <c r="AZ74" s="10">
        <f t="shared" si="43"/>
        <v>78</v>
      </c>
      <c r="BA74" s="10">
        <f t="shared" si="44"/>
        <v>56</v>
      </c>
      <c r="BB74" s="27">
        <f t="shared" si="45"/>
        <v>71.794871794871796</v>
      </c>
    </row>
    <row r="75" spans="1:54">
      <c r="A75" s="12">
        <v>69</v>
      </c>
      <c r="B75" s="13">
        <v>1230321068</v>
      </c>
      <c r="C75" s="14" t="s">
        <v>88</v>
      </c>
      <c r="D75" s="7">
        <v>2</v>
      </c>
      <c r="E75" s="7">
        <v>0</v>
      </c>
      <c r="F75" s="19">
        <f t="shared" si="23"/>
        <v>0</v>
      </c>
      <c r="G75" s="9">
        <v>4</v>
      </c>
      <c r="H75" s="7">
        <v>0</v>
      </c>
      <c r="I75" s="19">
        <f t="shared" si="24"/>
        <v>0</v>
      </c>
      <c r="J75" s="7">
        <v>4</v>
      </c>
      <c r="K75" s="7">
        <v>2</v>
      </c>
      <c r="L75" s="19">
        <f t="shared" si="25"/>
        <v>50</v>
      </c>
      <c r="M75" s="9">
        <v>10</v>
      </c>
      <c r="N75" s="7">
        <v>4</v>
      </c>
      <c r="O75" s="19">
        <f t="shared" si="26"/>
        <v>40</v>
      </c>
      <c r="P75" s="7">
        <v>9</v>
      </c>
      <c r="Q75" s="7">
        <v>6</v>
      </c>
      <c r="R75" s="19">
        <f t="shared" si="27"/>
        <v>66.666666666666657</v>
      </c>
      <c r="S75" s="7">
        <v>5</v>
      </c>
      <c r="T75" s="7">
        <v>3</v>
      </c>
      <c r="U75" s="19">
        <f t="shared" si="28"/>
        <v>60</v>
      </c>
      <c r="V75" s="7">
        <v>2</v>
      </c>
      <c r="W75" s="7">
        <v>2</v>
      </c>
      <c r="X75" s="19">
        <f t="shared" si="29"/>
        <v>100</v>
      </c>
      <c r="Y75" s="9">
        <v>6</v>
      </c>
      <c r="Z75" s="7">
        <v>3</v>
      </c>
      <c r="AA75" s="19">
        <f t="shared" si="30"/>
        <v>50</v>
      </c>
      <c r="AB75" s="7">
        <v>2</v>
      </c>
      <c r="AC75" s="7">
        <v>1</v>
      </c>
      <c r="AD75" s="19">
        <f t="shared" si="31"/>
        <v>50</v>
      </c>
      <c r="AE75" s="7">
        <v>7</v>
      </c>
      <c r="AF75" s="7">
        <v>5</v>
      </c>
      <c r="AG75" s="19">
        <f t="shared" si="32"/>
        <v>71.428571428571431</v>
      </c>
      <c r="AH75" s="7">
        <v>4</v>
      </c>
      <c r="AI75" s="7">
        <v>2</v>
      </c>
      <c r="AJ75" s="19">
        <f t="shared" si="33"/>
        <v>50</v>
      </c>
      <c r="AK75" s="9">
        <v>10</v>
      </c>
      <c r="AL75" s="7">
        <v>3</v>
      </c>
      <c r="AM75" s="19">
        <f t="shared" si="34"/>
        <v>30</v>
      </c>
      <c r="AN75" s="7">
        <v>4</v>
      </c>
      <c r="AO75" s="7">
        <v>2</v>
      </c>
      <c r="AP75" s="19">
        <f t="shared" si="35"/>
        <v>50</v>
      </c>
      <c r="AQ75" s="9">
        <v>9</v>
      </c>
      <c r="AR75" s="7">
        <v>4</v>
      </c>
      <c r="AS75" s="19">
        <f t="shared" si="36"/>
        <v>44.444444444444443</v>
      </c>
      <c r="AT75" s="10">
        <f t="shared" si="37"/>
        <v>27</v>
      </c>
      <c r="AU75" s="10">
        <f t="shared" si="38"/>
        <v>15</v>
      </c>
      <c r="AV75" s="26">
        <f t="shared" si="39"/>
        <v>55.555555555555557</v>
      </c>
      <c r="AW75" s="10">
        <f t="shared" si="40"/>
        <v>51</v>
      </c>
      <c r="AX75" s="10">
        <f t="shared" si="41"/>
        <v>22</v>
      </c>
      <c r="AY75" s="26">
        <f t="shared" si="42"/>
        <v>43.137254901960787</v>
      </c>
      <c r="AZ75" s="10">
        <f t="shared" si="43"/>
        <v>78</v>
      </c>
      <c r="BA75" s="10">
        <f t="shared" si="44"/>
        <v>37</v>
      </c>
      <c r="BB75" s="27">
        <f t="shared" si="45"/>
        <v>47.435897435897431</v>
      </c>
    </row>
    <row r="76" spans="1:54">
      <c r="A76" s="12">
        <v>70</v>
      </c>
      <c r="B76" s="13">
        <v>1230321069</v>
      </c>
      <c r="C76" s="14" t="s">
        <v>89</v>
      </c>
      <c r="D76" s="7">
        <v>2</v>
      </c>
      <c r="E76" s="7">
        <v>0</v>
      </c>
      <c r="F76" s="19">
        <f t="shared" si="23"/>
        <v>0</v>
      </c>
      <c r="G76" s="9">
        <v>4</v>
      </c>
      <c r="H76" s="7">
        <v>1</v>
      </c>
      <c r="I76" s="19">
        <f t="shared" si="24"/>
        <v>25</v>
      </c>
      <c r="J76" s="7">
        <v>4</v>
      </c>
      <c r="K76" s="7">
        <v>3</v>
      </c>
      <c r="L76" s="19">
        <f t="shared" si="25"/>
        <v>75</v>
      </c>
      <c r="M76" s="9">
        <v>10</v>
      </c>
      <c r="N76" s="7">
        <v>8</v>
      </c>
      <c r="O76" s="19">
        <f t="shared" si="26"/>
        <v>80</v>
      </c>
      <c r="P76" s="7">
        <v>9</v>
      </c>
      <c r="Q76" s="7">
        <v>7</v>
      </c>
      <c r="R76" s="19">
        <f t="shared" si="27"/>
        <v>77.777777777777786</v>
      </c>
      <c r="S76" s="7">
        <v>5</v>
      </c>
      <c r="T76" s="7">
        <v>3</v>
      </c>
      <c r="U76" s="19">
        <f t="shared" si="28"/>
        <v>60</v>
      </c>
      <c r="V76" s="7">
        <v>2</v>
      </c>
      <c r="W76" s="7">
        <v>2</v>
      </c>
      <c r="X76" s="19">
        <f t="shared" si="29"/>
        <v>100</v>
      </c>
      <c r="Y76" s="9">
        <v>6</v>
      </c>
      <c r="Z76" s="7">
        <v>5</v>
      </c>
      <c r="AA76" s="19">
        <f t="shared" si="30"/>
        <v>83.333333333333343</v>
      </c>
      <c r="AB76" s="7">
        <v>2</v>
      </c>
      <c r="AC76" s="7">
        <v>1</v>
      </c>
      <c r="AD76" s="19">
        <f t="shared" si="31"/>
        <v>50</v>
      </c>
      <c r="AE76" s="7">
        <v>7</v>
      </c>
      <c r="AF76" s="7">
        <v>1</v>
      </c>
      <c r="AG76" s="19">
        <f t="shared" si="32"/>
        <v>14.285714285714285</v>
      </c>
      <c r="AH76" s="7">
        <v>4</v>
      </c>
      <c r="AI76" s="7">
        <v>3</v>
      </c>
      <c r="AJ76" s="19">
        <f t="shared" si="33"/>
        <v>75</v>
      </c>
      <c r="AK76" s="9">
        <v>10</v>
      </c>
      <c r="AL76" s="7">
        <v>7</v>
      </c>
      <c r="AM76" s="19">
        <f t="shared" si="34"/>
        <v>70</v>
      </c>
      <c r="AN76" s="7">
        <v>4</v>
      </c>
      <c r="AO76" s="7">
        <v>3</v>
      </c>
      <c r="AP76" s="19">
        <f t="shared" si="35"/>
        <v>75</v>
      </c>
      <c r="AQ76" s="9">
        <v>9</v>
      </c>
      <c r="AR76" s="7">
        <v>7</v>
      </c>
      <c r="AS76" s="19">
        <f t="shared" si="36"/>
        <v>77.777777777777786</v>
      </c>
      <c r="AT76" s="10">
        <f t="shared" si="37"/>
        <v>27</v>
      </c>
      <c r="AU76" s="10">
        <f t="shared" si="38"/>
        <v>19</v>
      </c>
      <c r="AV76" s="26">
        <f t="shared" si="39"/>
        <v>70.370370370370367</v>
      </c>
      <c r="AW76" s="10">
        <f t="shared" si="40"/>
        <v>51</v>
      </c>
      <c r="AX76" s="10">
        <f t="shared" si="41"/>
        <v>32</v>
      </c>
      <c r="AY76" s="26">
        <f t="shared" si="42"/>
        <v>62.745098039215684</v>
      </c>
      <c r="AZ76" s="10">
        <f t="shared" si="43"/>
        <v>78</v>
      </c>
      <c r="BA76" s="10">
        <f t="shared" si="44"/>
        <v>51</v>
      </c>
      <c r="BB76" s="27">
        <f t="shared" si="45"/>
        <v>65.384615384615387</v>
      </c>
    </row>
    <row r="77" spans="1:54">
      <c r="A77" s="12">
        <v>71</v>
      </c>
      <c r="B77" s="13">
        <v>1230321070</v>
      </c>
      <c r="C77" s="14" t="s">
        <v>90</v>
      </c>
      <c r="D77" s="7">
        <v>2</v>
      </c>
      <c r="E77" s="7">
        <v>1</v>
      </c>
      <c r="F77" s="19">
        <f t="shared" si="23"/>
        <v>50</v>
      </c>
      <c r="G77" s="9">
        <v>4</v>
      </c>
      <c r="H77" s="7">
        <v>0</v>
      </c>
      <c r="I77" s="19">
        <f t="shared" si="24"/>
        <v>0</v>
      </c>
      <c r="J77" s="7">
        <v>4</v>
      </c>
      <c r="K77" s="7">
        <v>1</v>
      </c>
      <c r="L77" s="19">
        <f t="shared" si="25"/>
        <v>25</v>
      </c>
      <c r="M77" s="9">
        <v>10</v>
      </c>
      <c r="N77" s="7">
        <v>1</v>
      </c>
      <c r="O77" s="19">
        <f t="shared" si="26"/>
        <v>10</v>
      </c>
      <c r="P77" s="7">
        <v>9</v>
      </c>
      <c r="Q77" s="7">
        <v>1</v>
      </c>
      <c r="R77" s="19">
        <f t="shared" si="27"/>
        <v>11.111111111111111</v>
      </c>
      <c r="S77" s="7">
        <v>5</v>
      </c>
      <c r="T77" s="7">
        <v>3</v>
      </c>
      <c r="U77" s="19">
        <f t="shared" si="28"/>
        <v>60</v>
      </c>
      <c r="V77" s="7">
        <v>2</v>
      </c>
      <c r="W77" s="7">
        <v>1</v>
      </c>
      <c r="X77" s="19">
        <f t="shared" si="29"/>
        <v>50</v>
      </c>
      <c r="Y77" s="9">
        <v>6</v>
      </c>
      <c r="Z77" s="7">
        <v>0</v>
      </c>
      <c r="AA77" s="19">
        <f t="shared" si="30"/>
        <v>0</v>
      </c>
      <c r="AB77" s="7">
        <v>2</v>
      </c>
      <c r="AC77" s="7">
        <v>1</v>
      </c>
      <c r="AD77" s="19">
        <f t="shared" si="31"/>
        <v>50</v>
      </c>
      <c r="AE77" s="7">
        <v>7</v>
      </c>
      <c r="AF77" s="7">
        <v>1</v>
      </c>
      <c r="AG77" s="19">
        <f t="shared" si="32"/>
        <v>14.285714285714285</v>
      </c>
      <c r="AH77" s="7">
        <v>4</v>
      </c>
      <c r="AI77" s="7">
        <v>3</v>
      </c>
      <c r="AJ77" s="19">
        <f t="shared" si="33"/>
        <v>75</v>
      </c>
      <c r="AK77" s="9">
        <v>10</v>
      </c>
      <c r="AL77" s="7">
        <v>3</v>
      </c>
      <c r="AM77" s="19">
        <f t="shared" si="34"/>
        <v>30</v>
      </c>
      <c r="AN77" s="7">
        <v>4</v>
      </c>
      <c r="AO77" s="7">
        <v>3</v>
      </c>
      <c r="AP77" s="19">
        <f t="shared" si="35"/>
        <v>75</v>
      </c>
      <c r="AQ77" s="9">
        <v>9</v>
      </c>
      <c r="AR77" s="7">
        <v>5</v>
      </c>
      <c r="AS77" s="19">
        <f t="shared" si="36"/>
        <v>55.555555555555557</v>
      </c>
      <c r="AT77" s="10">
        <f t="shared" si="37"/>
        <v>27</v>
      </c>
      <c r="AU77" s="10">
        <f t="shared" si="38"/>
        <v>11</v>
      </c>
      <c r="AV77" s="26">
        <f t="shared" si="39"/>
        <v>40.74074074074074</v>
      </c>
      <c r="AW77" s="10">
        <f t="shared" si="40"/>
        <v>51</v>
      </c>
      <c r="AX77" s="10">
        <f t="shared" si="41"/>
        <v>13</v>
      </c>
      <c r="AY77" s="26">
        <f t="shared" si="42"/>
        <v>25.490196078431371</v>
      </c>
      <c r="AZ77" s="10">
        <f t="shared" si="43"/>
        <v>78</v>
      </c>
      <c r="BA77" s="10">
        <f t="shared" si="44"/>
        <v>24</v>
      </c>
      <c r="BB77" s="27">
        <f t="shared" si="45"/>
        <v>30.76923076923077</v>
      </c>
    </row>
    <row r="78" spans="1:54">
      <c r="A78" s="12">
        <v>72</v>
      </c>
      <c r="B78" s="13">
        <v>1230321071</v>
      </c>
      <c r="C78" s="14" t="s">
        <v>91</v>
      </c>
      <c r="D78" s="7">
        <v>2</v>
      </c>
      <c r="E78" s="7">
        <v>0</v>
      </c>
      <c r="F78" s="19">
        <f t="shared" si="23"/>
        <v>0</v>
      </c>
      <c r="G78" s="9">
        <v>4</v>
      </c>
      <c r="H78" s="7">
        <v>0</v>
      </c>
      <c r="I78" s="19">
        <f t="shared" si="24"/>
        <v>0</v>
      </c>
      <c r="J78" s="7">
        <v>4</v>
      </c>
      <c r="K78" s="7">
        <v>2</v>
      </c>
      <c r="L78" s="19">
        <f t="shared" si="25"/>
        <v>50</v>
      </c>
      <c r="M78" s="9">
        <v>10</v>
      </c>
      <c r="N78" s="7">
        <v>4</v>
      </c>
      <c r="O78" s="19">
        <f t="shared" si="26"/>
        <v>40</v>
      </c>
      <c r="P78" s="7">
        <v>9</v>
      </c>
      <c r="Q78" s="7">
        <v>7</v>
      </c>
      <c r="R78" s="19">
        <f t="shared" si="27"/>
        <v>77.777777777777786</v>
      </c>
      <c r="S78" s="7">
        <v>5</v>
      </c>
      <c r="T78" s="7">
        <v>3</v>
      </c>
      <c r="U78" s="19">
        <f t="shared" si="28"/>
        <v>60</v>
      </c>
      <c r="V78" s="7">
        <v>2</v>
      </c>
      <c r="W78" s="7">
        <v>2</v>
      </c>
      <c r="X78" s="19">
        <f t="shared" si="29"/>
        <v>100</v>
      </c>
      <c r="Y78" s="9">
        <v>6</v>
      </c>
      <c r="Z78" s="7">
        <v>5</v>
      </c>
      <c r="AA78" s="19">
        <f t="shared" si="30"/>
        <v>83.333333333333343</v>
      </c>
      <c r="AB78" s="7">
        <v>2</v>
      </c>
      <c r="AC78" s="7">
        <v>1</v>
      </c>
      <c r="AD78" s="19">
        <f t="shared" si="31"/>
        <v>50</v>
      </c>
      <c r="AE78" s="7">
        <v>7</v>
      </c>
      <c r="AF78" s="7">
        <v>5</v>
      </c>
      <c r="AG78" s="19">
        <f t="shared" si="32"/>
        <v>71.428571428571431</v>
      </c>
      <c r="AH78" s="7">
        <v>4</v>
      </c>
      <c r="AI78" s="7">
        <v>3</v>
      </c>
      <c r="AJ78" s="19">
        <f t="shared" si="33"/>
        <v>75</v>
      </c>
      <c r="AK78" s="9">
        <v>10</v>
      </c>
      <c r="AL78" s="7">
        <v>7</v>
      </c>
      <c r="AM78" s="19">
        <f t="shared" si="34"/>
        <v>70</v>
      </c>
      <c r="AN78" s="7">
        <v>4</v>
      </c>
      <c r="AO78" s="7">
        <v>2</v>
      </c>
      <c r="AP78" s="19">
        <f t="shared" si="35"/>
        <v>50</v>
      </c>
      <c r="AQ78" s="9">
        <v>9</v>
      </c>
      <c r="AR78" s="7">
        <v>5</v>
      </c>
      <c r="AS78" s="19">
        <f t="shared" si="36"/>
        <v>55.555555555555557</v>
      </c>
      <c r="AT78" s="10">
        <f t="shared" si="37"/>
        <v>27</v>
      </c>
      <c r="AU78" s="10">
        <f t="shared" si="38"/>
        <v>17</v>
      </c>
      <c r="AV78" s="26">
        <f t="shared" si="39"/>
        <v>62.962962962962962</v>
      </c>
      <c r="AW78" s="10">
        <f t="shared" si="40"/>
        <v>51</v>
      </c>
      <c r="AX78" s="10">
        <f t="shared" si="41"/>
        <v>29</v>
      </c>
      <c r="AY78" s="26">
        <f t="shared" si="42"/>
        <v>56.862745098039213</v>
      </c>
      <c r="AZ78" s="10">
        <f t="shared" si="43"/>
        <v>78</v>
      </c>
      <c r="BA78" s="10">
        <f t="shared" si="44"/>
        <v>46</v>
      </c>
      <c r="BB78" s="27">
        <f t="shared" si="45"/>
        <v>58.974358974358978</v>
      </c>
    </row>
    <row r="79" spans="1:54">
      <c r="A79" s="12">
        <v>73</v>
      </c>
      <c r="B79" s="13">
        <v>1230321072</v>
      </c>
      <c r="C79" s="14" t="s">
        <v>92</v>
      </c>
      <c r="D79" s="7">
        <v>2</v>
      </c>
      <c r="E79" s="7">
        <v>0</v>
      </c>
      <c r="F79" s="19">
        <f t="shared" si="23"/>
        <v>0</v>
      </c>
      <c r="G79" s="9">
        <v>4</v>
      </c>
      <c r="H79" s="7">
        <v>0</v>
      </c>
      <c r="I79" s="19">
        <f t="shared" si="24"/>
        <v>0</v>
      </c>
      <c r="J79" s="7">
        <v>4</v>
      </c>
      <c r="K79" s="7">
        <v>0</v>
      </c>
      <c r="L79" s="19">
        <f t="shared" si="25"/>
        <v>0</v>
      </c>
      <c r="M79" s="9">
        <v>10</v>
      </c>
      <c r="N79" s="7">
        <v>0</v>
      </c>
      <c r="O79" s="19">
        <f t="shared" si="26"/>
        <v>0</v>
      </c>
      <c r="P79" s="7">
        <v>9</v>
      </c>
      <c r="Q79" s="7">
        <v>2</v>
      </c>
      <c r="R79" s="19">
        <f t="shared" si="27"/>
        <v>22.222222222222221</v>
      </c>
      <c r="S79" s="7">
        <v>5</v>
      </c>
      <c r="T79" s="7">
        <v>1</v>
      </c>
      <c r="U79" s="19">
        <f t="shared" si="28"/>
        <v>20</v>
      </c>
      <c r="V79" s="7">
        <v>2</v>
      </c>
      <c r="W79" s="7">
        <v>0</v>
      </c>
      <c r="X79" s="19">
        <f t="shared" si="29"/>
        <v>0</v>
      </c>
      <c r="Y79" s="9">
        <v>6</v>
      </c>
      <c r="Z79" s="7">
        <v>0</v>
      </c>
      <c r="AA79" s="19">
        <f t="shared" si="30"/>
        <v>0</v>
      </c>
      <c r="AB79" s="7">
        <v>2</v>
      </c>
      <c r="AC79" s="7">
        <v>0</v>
      </c>
      <c r="AD79" s="19">
        <f t="shared" si="31"/>
        <v>0</v>
      </c>
      <c r="AE79" s="7">
        <v>7</v>
      </c>
      <c r="AF79" s="7">
        <v>0</v>
      </c>
      <c r="AG79" s="19">
        <f t="shared" si="32"/>
        <v>0</v>
      </c>
      <c r="AH79" s="7">
        <v>4</v>
      </c>
      <c r="AI79" s="7">
        <v>3</v>
      </c>
      <c r="AJ79" s="19">
        <f t="shared" si="33"/>
        <v>75</v>
      </c>
      <c r="AK79" s="9">
        <v>10</v>
      </c>
      <c r="AL79" s="7">
        <v>2</v>
      </c>
      <c r="AM79" s="19">
        <f t="shared" si="34"/>
        <v>20</v>
      </c>
      <c r="AN79" s="7">
        <v>4</v>
      </c>
      <c r="AO79" s="7">
        <v>1</v>
      </c>
      <c r="AP79" s="19">
        <f t="shared" si="35"/>
        <v>25</v>
      </c>
      <c r="AQ79" s="9">
        <v>9</v>
      </c>
      <c r="AR79" s="7">
        <v>7</v>
      </c>
      <c r="AS79" s="19">
        <f t="shared" si="36"/>
        <v>77.777777777777786</v>
      </c>
      <c r="AT79" s="10">
        <f t="shared" si="37"/>
        <v>27</v>
      </c>
      <c r="AU79" s="10">
        <f t="shared" si="38"/>
        <v>6</v>
      </c>
      <c r="AV79" s="26">
        <f t="shared" si="39"/>
        <v>22.222222222222221</v>
      </c>
      <c r="AW79" s="10">
        <f t="shared" si="40"/>
        <v>51</v>
      </c>
      <c r="AX79" s="10">
        <f t="shared" si="41"/>
        <v>10</v>
      </c>
      <c r="AY79" s="26">
        <f t="shared" si="42"/>
        <v>19.607843137254903</v>
      </c>
      <c r="AZ79" s="10">
        <f t="shared" si="43"/>
        <v>78</v>
      </c>
      <c r="BA79" s="10">
        <f t="shared" si="44"/>
        <v>16</v>
      </c>
      <c r="BB79" s="27">
        <f t="shared" si="45"/>
        <v>20.512820512820511</v>
      </c>
    </row>
    <row r="80" spans="1:54">
      <c r="A80" s="12">
        <v>74</v>
      </c>
      <c r="B80" s="13">
        <v>1230321073</v>
      </c>
      <c r="C80" s="14" t="s">
        <v>93</v>
      </c>
      <c r="D80" s="7">
        <v>2</v>
      </c>
      <c r="E80" s="7">
        <v>0</v>
      </c>
      <c r="F80" s="19">
        <f t="shared" si="23"/>
        <v>0</v>
      </c>
      <c r="G80" s="9">
        <v>4</v>
      </c>
      <c r="H80" s="7">
        <v>4</v>
      </c>
      <c r="I80" s="19">
        <f t="shared" si="24"/>
        <v>100</v>
      </c>
      <c r="J80" s="7">
        <v>4</v>
      </c>
      <c r="K80" s="7">
        <v>2</v>
      </c>
      <c r="L80" s="19">
        <f t="shared" si="25"/>
        <v>50</v>
      </c>
      <c r="M80" s="9">
        <v>10</v>
      </c>
      <c r="N80" s="7">
        <v>6</v>
      </c>
      <c r="O80" s="19">
        <f t="shared" si="26"/>
        <v>60</v>
      </c>
      <c r="P80" s="7">
        <v>9</v>
      </c>
      <c r="Q80" s="7">
        <v>8</v>
      </c>
      <c r="R80" s="19">
        <f t="shared" si="27"/>
        <v>88.888888888888886</v>
      </c>
      <c r="S80" s="7">
        <v>5</v>
      </c>
      <c r="T80" s="7">
        <v>2</v>
      </c>
      <c r="U80" s="19">
        <f t="shared" si="28"/>
        <v>40</v>
      </c>
      <c r="V80" s="7">
        <v>2</v>
      </c>
      <c r="W80" s="7">
        <v>2</v>
      </c>
      <c r="X80" s="19">
        <f t="shared" si="29"/>
        <v>100</v>
      </c>
      <c r="Y80" s="9">
        <v>6</v>
      </c>
      <c r="Z80" s="7">
        <v>1</v>
      </c>
      <c r="AA80" s="19">
        <f t="shared" si="30"/>
        <v>16.666666666666664</v>
      </c>
      <c r="AB80" s="7">
        <v>2</v>
      </c>
      <c r="AC80" s="7">
        <v>2</v>
      </c>
      <c r="AD80" s="19">
        <f t="shared" si="31"/>
        <v>100</v>
      </c>
      <c r="AE80" s="7">
        <v>7</v>
      </c>
      <c r="AF80" s="7">
        <v>4</v>
      </c>
      <c r="AG80" s="19">
        <f t="shared" si="32"/>
        <v>57.142857142857139</v>
      </c>
      <c r="AH80" s="7">
        <v>4</v>
      </c>
      <c r="AI80" s="7">
        <v>2</v>
      </c>
      <c r="AJ80" s="19">
        <f t="shared" si="33"/>
        <v>50</v>
      </c>
      <c r="AK80" s="9">
        <v>10</v>
      </c>
      <c r="AL80" s="7">
        <v>5</v>
      </c>
      <c r="AM80" s="19">
        <f t="shared" si="34"/>
        <v>50</v>
      </c>
      <c r="AN80" s="7">
        <v>4</v>
      </c>
      <c r="AO80" s="7">
        <v>2</v>
      </c>
      <c r="AP80" s="19">
        <f t="shared" si="35"/>
        <v>50</v>
      </c>
      <c r="AQ80" s="9">
        <v>9</v>
      </c>
      <c r="AR80" s="7">
        <v>7</v>
      </c>
      <c r="AS80" s="19">
        <f t="shared" si="36"/>
        <v>77.777777777777786</v>
      </c>
      <c r="AT80" s="10">
        <f t="shared" si="37"/>
        <v>27</v>
      </c>
      <c r="AU80" s="10">
        <f t="shared" si="38"/>
        <v>18</v>
      </c>
      <c r="AV80" s="26">
        <f t="shared" si="39"/>
        <v>66.666666666666657</v>
      </c>
      <c r="AW80" s="10">
        <f t="shared" si="40"/>
        <v>51</v>
      </c>
      <c r="AX80" s="10">
        <f t="shared" si="41"/>
        <v>29</v>
      </c>
      <c r="AY80" s="26">
        <f t="shared" si="42"/>
        <v>56.862745098039213</v>
      </c>
      <c r="AZ80" s="10">
        <f t="shared" si="43"/>
        <v>78</v>
      </c>
      <c r="BA80" s="10">
        <f t="shared" si="44"/>
        <v>47</v>
      </c>
      <c r="BB80" s="27">
        <f t="shared" si="45"/>
        <v>60.256410256410255</v>
      </c>
    </row>
    <row r="81" spans="1:54">
      <c r="A81" s="12">
        <v>75</v>
      </c>
      <c r="B81" s="13">
        <v>1230321074</v>
      </c>
      <c r="C81" s="14" t="s">
        <v>94</v>
      </c>
      <c r="D81" s="7">
        <v>2</v>
      </c>
      <c r="E81" s="7">
        <v>0</v>
      </c>
      <c r="F81" s="19">
        <f t="shared" si="23"/>
        <v>0</v>
      </c>
      <c r="G81" s="9">
        <v>4</v>
      </c>
      <c r="H81" s="7">
        <v>0</v>
      </c>
      <c r="I81" s="19">
        <f t="shared" si="24"/>
        <v>0</v>
      </c>
      <c r="J81" s="7">
        <v>4</v>
      </c>
      <c r="K81" s="7">
        <v>1</v>
      </c>
      <c r="L81" s="19">
        <f t="shared" si="25"/>
        <v>25</v>
      </c>
      <c r="M81" s="9">
        <v>10</v>
      </c>
      <c r="N81" s="7">
        <v>2</v>
      </c>
      <c r="O81" s="19">
        <f t="shared" si="26"/>
        <v>20</v>
      </c>
      <c r="P81" s="7">
        <v>9</v>
      </c>
      <c r="Q81" s="7">
        <v>3</v>
      </c>
      <c r="R81" s="19">
        <f t="shared" si="27"/>
        <v>33.333333333333329</v>
      </c>
      <c r="S81" s="7">
        <v>5</v>
      </c>
      <c r="T81" s="7">
        <v>1</v>
      </c>
      <c r="U81" s="19">
        <f t="shared" si="28"/>
        <v>20</v>
      </c>
      <c r="V81" s="7">
        <v>2</v>
      </c>
      <c r="W81" s="7">
        <v>0</v>
      </c>
      <c r="X81" s="19">
        <f t="shared" si="29"/>
        <v>0</v>
      </c>
      <c r="Y81" s="9">
        <v>6</v>
      </c>
      <c r="Z81" s="7">
        <v>2</v>
      </c>
      <c r="AA81" s="19">
        <f t="shared" si="30"/>
        <v>33.333333333333329</v>
      </c>
      <c r="AB81" s="7">
        <v>2</v>
      </c>
      <c r="AC81" s="7">
        <v>1</v>
      </c>
      <c r="AD81" s="19">
        <f t="shared" si="31"/>
        <v>50</v>
      </c>
      <c r="AE81" s="7">
        <v>7</v>
      </c>
      <c r="AF81" s="7">
        <v>0</v>
      </c>
      <c r="AG81" s="19">
        <f t="shared" si="32"/>
        <v>0</v>
      </c>
      <c r="AH81" s="7">
        <v>4</v>
      </c>
      <c r="AI81" s="7">
        <v>1</v>
      </c>
      <c r="AJ81" s="19">
        <f t="shared" si="33"/>
        <v>25</v>
      </c>
      <c r="AK81" s="9">
        <v>10</v>
      </c>
      <c r="AL81" s="7">
        <v>2</v>
      </c>
      <c r="AM81" s="19">
        <f t="shared" si="34"/>
        <v>20</v>
      </c>
      <c r="AN81" s="7">
        <v>4</v>
      </c>
      <c r="AO81" s="7">
        <v>1</v>
      </c>
      <c r="AP81" s="19">
        <f t="shared" si="35"/>
        <v>25</v>
      </c>
      <c r="AQ81" s="9">
        <v>9</v>
      </c>
      <c r="AR81" s="7">
        <v>7</v>
      </c>
      <c r="AS81" s="19">
        <f t="shared" si="36"/>
        <v>77.777777777777786</v>
      </c>
      <c r="AT81" s="10">
        <f t="shared" si="37"/>
        <v>27</v>
      </c>
      <c r="AU81" s="10">
        <f t="shared" si="38"/>
        <v>7</v>
      </c>
      <c r="AV81" s="26">
        <f t="shared" si="39"/>
        <v>25.925925925925924</v>
      </c>
      <c r="AW81" s="10">
        <f t="shared" si="40"/>
        <v>51</v>
      </c>
      <c r="AX81" s="10">
        <f t="shared" si="41"/>
        <v>14</v>
      </c>
      <c r="AY81" s="26">
        <f t="shared" si="42"/>
        <v>27.450980392156865</v>
      </c>
      <c r="AZ81" s="10">
        <f t="shared" si="43"/>
        <v>78</v>
      </c>
      <c r="BA81" s="10">
        <f t="shared" si="44"/>
        <v>21</v>
      </c>
      <c r="BB81" s="27">
        <f t="shared" si="45"/>
        <v>26.923076923076923</v>
      </c>
    </row>
    <row r="82" spans="1:54">
      <c r="A82" s="12">
        <v>76</v>
      </c>
      <c r="B82" s="13">
        <v>1230321075</v>
      </c>
      <c r="C82" s="14" t="s">
        <v>95</v>
      </c>
      <c r="D82" s="7">
        <v>2</v>
      </c>
      <c r="E82" s="7">
        <v>0</v>
      </c>
      <c r="F82" s="19">
        <f t="shared" si="23"/>
        <v>0</v>
      </c>
      <c r="G82" s="9">
        <v>4</v>
      </c>
      <c r="H82" s="7">
        <v>1</v>
      </c>
      <c r="I82" s="19">
        <f t="shared" si="24"/>
        <v>25</v>
      </c>
      <c r="J82" s="7">
        <v>4</v>
      </c>
      <c r="K82" s="7">
        <v>2</v>
      </c>
      <c r="L82" s="19">
        <f t="shared" si="25"/>
        <v>50</v>
      </c>
      <c r="M82" s="9">
        <v>10</v>
      </c>
      <c r="N82" s="7">
        <v>2</v>
      </c>
      <c r="O82" s="19">
        <f t="shared" si="26"/>
        <v>20</v>
      </c>
      <c r="P82" s="7">
        <v>9</v>
      </c>
      <c r="Q82" s="7">
        <v>4</v>
      </c>
      <c r="R82" s="19">
        <f t="shared" si="27"/>
        <v>44.444444444444443</v>
      </c>
      <c r="S82" s="7">
        <v>5</v>
      </c>
      <c r="T82" s="7">
        <v>4</v>
      </c>
      <c r="U82" s="19">
        <f t="shared" si="28"/>
        <v>80</v>
      </c>
      <c r="V82" s="7">
        <v>2</v>
      </c>
      <c r="W82" s="7">
        <v>1</v>
      </c>
      <c r="X82" s="19">
        <f t="shared" si="29"/>
        <v>50</v>
      </c>
      <c r="Y82" s="9">
        <v>6</v>
      </c>
      <c r="Z82" s="7">
        <v>2</v>
      </c>
      <c r="AA82" s="19">
        <f t="shared" si="30"/>
        <v>33.333333333333329</v>
      </c>
      <c r="AB82" s="7">
        <v>2</v>
      </c>
      <c r="AC82" s="7">
        <v>2</v>
      </c>
      <c r="AD82" s="19">
        <f t="shared" si="31"/>
        <v>100</v>
      </c>
      <c r="AE82" s="7">
        <v>7</v>
      </c>
      <c r="AF82" s="7">
        <v>2</v>
      </c>
      <c r="AG82" s="19">
        <f t="shared" si="32"/>
        <v>28.571428571428569</v>
      </c>
      <c r="AH82" s="7">
        <v>4</v>
      </c>
      <c r="AI82" s="7">
        <v>2</v>
      </c>
      <c r="AJ82" s="19">
        <f t="shared" si="33"/>
        <v>50</v>
      </c>
      <c r="AK82" s="9">
        <v>10</v>
      </c>
      <c r="AL82" s="7">
        <v>2</v>
      </c>
      <c r="AM82" s="19">
        <f t="shared" si="34"/>
        <v>20</v>
      </c>
      <c r="AN82" s="7">
        <v>4</v>
      </c>
      <c r="AO82" s="7">
        <v>3</v>
      </c>
      <c r="AP82" s="19">
        <f t="shared" si="35"/>
        <v>75</v>
      </c>
      <c r="AQ82" s="9">
        <v>9</v>
      </c>
      <c r="AR82" s="7">
        <v>8</v>
      </c>
      <c r="AS82" s="19">
        <f t="shared" si="36"/>
        <v>88.888888888888886</v>
      </c>
      <c r="AT82" s="10">
        <f t="shared" si="37"/>
        <v>27</v>
      </c>
      <c r="AU82" s="10">
        <f t="shared" si="38"/>
        <v>14</v>
      </c>
      <c r="AV82" s="26">
        <f t="shared" si="39"/>
        <v>51.851851851851848</v>
      </c>
      <c r="AW82" s="10">
        <f t="shared" si="40"/>
        <v>51</v>
      </c>
      <c r="AX82" s="10">
        <f t="shared" si="41"/>
        <v>21</v>
      </c>
      <c r="AY82" s="26">
        <f t="shared" si="42"/>
        <v>41.17647058823529</v>
      </c>
      <c r="AZ82" s="10">
        <f t="shared" si="43"/>
        <v>78</v>
      </c>
      <c r="BA82" s="10">
        <f t="shared" si="44"/>
        <v>35</v>
      </c>
      <c r="BB82" s="27">
        <f t="shared" si="45"/>
        <v>44.871794871794876</v>
      </c>
    </row>
    <row r="83" spans="1:54">
      <c r="A83" s="12">
        <v>77</v>
      </c>
      <c r="B83" s="13">
        <v>1230321076</v>
      </c>
      <c r="C83" s="14" t="s">
        <v>96</v>
      </c>
      <c r="D83" s="7">
        <v>2</v>
      </c>
      <c r="E83" s="7">
        <v>1</v>
      </c>
      <c r="F83" s="19">
        <f t="shared" si="23"/>
        <v>50</v>
      </c>
      <c r="G83" s="9">
        <v>4</v>
      </c>
      <c r="H83" s="7">
        <v>1</v>
      </c>
      <c r="I83" s="19">
        <f t="shared" si="24"/>
        <v>25</v>
      </c>
      <c r="J83" s="7">
        <v>4</v>
      </c>
      <c r="K83" s="7">
        <v>3</v>
      </c>
      <c r="L83" s="19">
        <f t="shared" si="25"/>
        <v>75</v>
      </c>
      <c r="M83" s="9">
        <v>10</v>
      </c>
      <c r="N83" s="7">
        <v>6</v>
      </c>
      <c r="O83" s="19">
        <f t="shared" si="26"/>
        <v>60</v>
      </c>
      <c r="P83" s="7">
        <v>9</v>
      </c>
      <c r="Q83" s="7">
        <v>8</v>
      </c>
      <c r="R83" s="19">
        <f t="shared" si="27"/>
        <v>88.888888888888886</v>
      </c>
      <c r="S83" s="7">
        <v>5</v>
      </c>
      <c r="T83" s="7">
        <v>4</v>
      </c>
      <c r="U83" s="19">
        <f t="shared" si="28"/>
        <v>80</v>
      </c>
      <c r="V83" s="7">
        <v>2</v>
      </c>
      <c r="W83" s="7">
        <v>2</v>
      </c>
      <c r="X83" s="19">
        <f t="shared" si="29"/>
        <v>100</v>
      </c>
      <c r="Y83" s="9">
        <v>6</v>
      </c>
      <c r="Z83" s="7">
        <v>2</v>
      </c>
      <c r="AA83" s="19">
        <f t="shared" si="30"/>
        <v>33.333333333333329</v>
      </c>
      <c r="AB83" s="7">
        <v>2</v>
      </c>
      <c r="AC83" s="7">
        <v>2</v>
      </c>
      <c r="AD83" s="19">
        <f t="shared" si="31"/>
        <v>100</v>
      </c>
      <c r="AE83" s="7">
        <v>7</v>
      </c>
      <c r="AF83" s="7">
        <v>5</v>
      </c>
      <c r="AG83" s="19">
        <f t="shared" si="32"/>
        <v>71.428571428571431</v>
      </c>
      <c r="AH83" s="7">
        <v>4</v>
      </c>
      <c r="AI83" s="7">
        <v>4</v>
      </c>
      <c r="AJ83" s="19">
        <f t="shared" si="33"/>
        <v>100</v>
      </c>
      <c r="AK83" s="9">
        <v>10</v>
      </c>
      <c r="AL83" s="7">
        <v>8</v>
      </c>
      <c r="AM83" s="19">
        <f t="shared" si="34"/>
        <v>80</v>
      </c>
      <c r="AN83" s="7">
        <v>4</v>
      </c>
      <c r="AO83" s="7">
        <v>4</v>
      </c>
      <c r="AP83" s="19">
        <f t="shared" si="35"/>
        <v>100</v>
      </c>
      <c r="AQ83" s="9">
        <v>9</v>
      </c>
      <c r="AR83" s="7">
        <v>5</v>
      </c>
      <c r="AS83" s="19">
        <f t="shared" si="36"/>
        <v>55.555555555555557</v>
      </c>
      <c r="AT83" s="10">
        <f t="shared" si="37"/>
        <v>27</v>
      </c>
      <c r="AU83" s="10">
        <f t="shared" si="38"/>
        <v>24</v>
      </c>
      <c r="AV83" s="26">
        <f t="shared" si="39"/>
        <v>88.888888888888886</v>
      </c>
      <c r="AW83" s="10">
        <f t="shared" si="40"/>
        <v>51</v>
      </c>
      <c r="AX83" s="10">
        <f t="shared" si="41"/>
        <v>31</v>
      </c>
      <c r="AY83" s="26">
        <f t="shared" si="42"/>
        <v>60.784313725490193</v>
      </c>
      <c r="AZ83" s="10">
        <f t="shared" si="43"/>
        <v>78</v>
      </c>
      <c r="BA83" s="10">
        <f t="shared" si="44"/>
        <v>55</v>
      </c>
      <c r="BB83" s="27">
        <f t="shared" si="45"/>
        <v>70.512820512820511</v>
      </c>
    </row>
    <row r="84" spans="1:54" ht="16.5" customHeight="1">
      <c r="A84" s="65" t="s">
        <v>97</v>
      </c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7"/>
    </row>
    <row r="85" spans="1:54">
      <c r="A85" s="12">
        <v>78</v>
      </c>
      <c r="B85" s="13" t="s">
        <v>0</v>
      </c>
      <c r="C85" s="14" t="s">
        <v>103</v>
      </c>
      <c r="D85" s="7">
        <v>2</v>
      </c>
      <c r="E85" s="7">
        <v>0</v>
      </c>
      <c r="F85" s="19">
        <f t="shared" si="23"/>
        <v>0</v>
      </c>
      <c r="G85" s="7">
        <v>4</v>
      </c>
      <c r="H85" s="7">
        <v>0</v>
      </c>
      <c r="I85" s="19">
        <f t="shared" si="24"/>
        <v>0</v>
      </c>
      <c r="J85" s="7">
        <v>4</v>
      </c>
      <c r="K85" s="7">
        <v>0</v>
      </c>
      <c r="L85" s="19">
        <f t="shared" si="25"/>
        <v>0</v>
      </c>
      <c r="M85" s="7">
        <v>11</v>
      </c>
      <c r="N85" s="7">
        <v>0</v>
      </c>
      <c r="O85" s="19">
        <f t="shared" si="26"/>
        <v>0</v>
      </c>
      <c r="P85" s="7">
        <v>9</v>
      </c>
      <c r="Q85" s="7">
        <v>0</v>
      </c>
      <c r="R85" s="19">
        <f t="shared" si="27"/>
        <v>0</v>
      </c>
      <c r="S85" s="7">
        <v>5</v>
      </c>
      <c r="T85" s="7">
        <v>0</v>
      </c>
      <c r="U85" s="19">
        <f t="shared" si="28"/>
        <v>0</v>
      </c>
      <c r="V85" s="7">
        <v>2</v>
      </c>
      <c r="W85" s="7">
        <v>0</v>
      </c>
      <c r="X85" s="19">
        <f t="shared" si="29"/>
        <v>0</v>
      </c>
      <c r="Y85" s="7">
        <v>6</v>
      </c>
      <c r="Z85" s="7">
        <v>0</v>
      </c>
      <c r="AA85" s="19">
        <f t="shared" si="30"/>
        <v>0</v>
      </c>
      <c r="AB85" s="7">
        <v>2</v>
      </c>
      <c r="AC85" s="7">
        <v>0</v>
      </c>
      <c r="AD85" s="19">
        <f t="shared" si="31"/>
        <v>0</v>
      </c>
      <c r="AE85" s="7">
        <v>7</v>
      </c>
      <c r="AF85" s="7">
        <v>0</v>
      </c>
      <c r="AG85" s="19">
        <f t="shared" si="32"/>
        <v>0</v>
      </c>
      <c r="AH85" s="7">
        <v>4</v>
      </c>
      <c r="AI85" s="7">
        <v>0</v>
      </c>
      <c r="AJ85" s="19">
        <f t="shared" si="33"/>
        <v>0</v>
      </c>
      <c r="AK85" s="7">
        <v>10</v>
      </c>
      <c r="AL85" s="7">
        <v>0</v>
      </c>
      <c r="AM85" s="19">
        <f t="shared" si="34"/>
        <v>0</v>
      </c>
      <c r="AN85" s="7">
        <v>2</v>
      </c>
      <c r="AO85" s="7">
        <v>0</v>
      </c>
      <c r="AP85" s="19">
        <f t="shared" si="35"/>
        <v>0</v>
      </c>
      <c r="AQ85" s="7">
        <v>5</v>
      </c>
      <c r="AR85" s="7">
        <v>0</v>
      </c>
      <c r="AS85" s="19">
        <f t="shared" si="36"/>
        <v>0</v>
      </c>
      <c r="AT85" s="10">
        <f t="shared" ref="AT85:AT88" si="46">SUM(D85,J85,P85,V85,AB85,AH85,AN85)</f>
        <v>25</v>
      </c>
      <c r="AU85" s="10">
        <f t="shared" ref="AU85:AU88" si="47">SUM(E85,K85,Q85,W85,AC85,AI85,AO85)</f>
        <v>0</v>
      </c>
      <c r="AV85" s="26">
        <f t="shared" ref="AV85:AV88" si="48">AU85/AT85*100</f>
        <v>0</v>
      </c>
      <c r="AW85" s="10">
        <f t="shared" ref="AW85:AW88" si="49">SUM(G85,M85,S85,Y85,AE85,AK85,AQ85)</f>
        <v>48</v>
      </c>
      <c r="AX85" s="10">
        <f t="shared" ref="AX85:AX88" si="50">SUM(H85,N85,T85,Z85,AF85,AL85,AR85)</f>
        <v>0</v>
      </c>
      <c r="AY85" s="26">
        <f t="shared" ref="AY85:AY88" si="51">AX85/AW85*100</f>
        <v>0</v>
      </c>
      <c r="AZ85" s="10">
        <f t="shared" ref="AZ85:AZ88" si="52">SUM(AT85,AW85)</f>
        <v>73</v>
      </c>
      <c r="BA85" s="10">
        <f t="shared" ref="BA85:BA88" si="53">SUM(AU85,AX85)</f>
        <v>0</v>
      </c>
      <c r="BB85" s="27">
        <f t="shared" ref="BB85:BB88" si="54">BA85/AZ85*100</f>
        <v>0</v>
      </c>
    </row>
    <row r="86" spans="1:54">
      <c r="A86" s="65" t="s">
        <v>98</v>
      </c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7"/>
    </row>
    <row r="87" spans="1:54">
      <c r="A87" s="12">
        <v>1</v>
      </c>
      <c r="B87" s="15">
        <v>1220321025</v>
      </c>
      <c r="C87" s="15" t="s">
        <v>99</v>
      </c>
      <c r="D87" s="7">
        <v>2</v>
      </c>
      <c r="E87" s="7">
        <v>0</v>
      </c>
      <c r="F87" s="19">
        <f t="shared" si="23"/>
        <v>0</v>
      </c>
      <c r="G87" s="7">
        <v>4</v>
      </c>
      <c r="H87" s="7">
        <v>0</v>
      </c>
      <c r="I87" s="19">
        <f t="shared" si="24"/>
        <v>0</v>
      </c>
      <c r="J87" s="7">
        <v>4</v>
      </c>
      <c r="K87" s="7">
        <v>0</v>
      </c>
      <c r="L87" s="19">
        <f t="shared" si="25"/>
        <v>0</v>
      </c>
      <c r="M87" s="7">
        <v>11</v>
      </c>
      <c r="N87" s="7">
        <v>0</v>
      </c>
      <c r="O87" s="19">
        <f t="shared" si="26"/>
        <v>0</v>
      </c>
      <c r="P87" s="7">
        <v>9</v>
      </c>
      <c r="Q87" s="7">
        <v>0</v>
      </c>
      <c r="R87" s="19">
        <f t="shared" si="27"/>
        <v>0</v>
      </c>
      <c r="S87" s="7">
        <v>5</v>
      </c>
      <c r="T87" s="7">
        <v>0</v>
      </c>
      <c r="U87" s="19">
        <f t="shared" si="28"/>
        <v>0</v>
      </c>
      <c r="V87" s="7">
        <v>2</v>
      </c>
      <c r="W87" s="7">
        <v>0</v>
      </c>
      <c r="X87" s="19">
        <f t="shared" si="29"/>
        <v>0</v>
      </c>
      <c r="Y87" s="7">
        <v>6</v>
      </c>
      <c r="Z87" s="7">
        <v>0</v>
      </c>
      <c r="AA87" s="19">
        <f t="shared" si="30"/>
        <v>0</v>
      </c>
      <c r="AB87" s="7">
        <v>2</v>
      </c>
      <c r="AC87" s="7">
        <v>0</v>
      </c>
      <c r="AD87" s="19">
        <f t="shared" si="31"/>
        <v>0</v>
      </c>
      <c r="AE87" s="7">
        <v>7</v>
      </c>
      <c r="AF87" s="7">
        <v>0</v>
      </c>
      <c r="AG87" s="19">
        <f t="shared" si="32"/>
        <v>0</v>
      </c>
      <c r="AH87" s="7">
        <v>4</v>
      </c>
      <c r="AI87" s="7">
        <v>0</v>
      </c>
      <c r="AJ87" s="19">
        <f t="shared" si="33"/>
        <v>0</v>
      </c>
      <c r="AK87" s="7">
        <v>10</v>
      </c>
      <c r="AL87" s="7">
        <v>0</v>
      </c>
      <c r="AM87" s="19">
        <f t="shared" si="34"/>
        <v>0</v>
      </c>
      <c r="AN87" s="7">
        <v>4</v>
      </c>
      <c r="AO87" s="7">
        <v>1</v>
      </c>
      <c r="AP87" s="19">
        <f t="shared" si="35"/>
        <v>25</v>
      </c>
      <c r="AQ87" s="7">
        <v>9</v>
      </c>
      <c r="AR87" s="7">
        <v>2</v>
      </c>
      <c r="AS87" s="19">
        <f t="shared" si="36"/>
        <v>22.222222222222221</v>
      </c>
      <c r="AT87" s="10">
        <f t="shared" si="46"/>
        <v>27</v>
      </c>
      <c r="AU87" s="10">
        <f t="shared" si="47"/>
        <v>1</v>
      </c>
      <c r="AV87" s="26">
        <f t="shared" si="48"/>
        <v>3.7037037037037033</v>
      </c>
      <c r="AW87" s="10">
        <f t="shared" si="49"/>
        <v>52</v>
      </c>
      <c r="AX87" s="10">
        <f t="shared" si="50"/>
        <v>2</v>
      </c>
      <c r="AY87" s="26">
        <f t="shared" si="51"/>
        <v>3.8461538461538463</v>
      </c>
      <c r="AZ87" s="10">
        <f t="shared" si="52"/>
        <v>79</v>
      </c>
      <c r="BA87" s="10">
        <f t="shared" si="53"/>
        <v>3</v>
      </c>
      <c r="BB87" s="27">
        <f t="shared" si="54"/>
        <v>3.79746835443038</v>
      </c>
    </row>
    <row r="88" spans="1:54">
      <c r="A88" s="12">
        <v>2</v>
      </c>
      <c r="B88" s="15">
        <v>1230321051</v>
      </c>
      <c r="C88" s="15" t="s">
        <v>104</v>
      </c>
      <c r="D88" s="7">
        <v>2</v>
      </c>
      <c r="E88" s="7">
        <v>0</v>
      </c>
      <c r="F88" s="19">
        <f t="shared" si="23"/>
        <v>0</v>
      </c>
      <c r="G88" s="7">
        <v>4</v>
      </c>
      <c r="H88" s="7">
        <v>0</v>
      </c>
      <c r="I88" s="19">
        <f t="shared" si="24"/>
        <v>0</v>
      </c>
      <c r="J88" s="7">
        <v>4</v>
      </c>
      <c r="K88" s="7">
        <v>3</v>
      </c>
      <c r="L88" s="19">
        <f t="shared" si="25"/>
        <v>75</v>
      </c>
      <c r="M88" s="7">
        <v>10</v>
      </c>
      <c r="N88" s="7">
        <v>2</v>
      </c>
      <c r="O88" s="19">
        <f t="shared" si="26"/>
        <v>20</v>
      </c>
      <c r="P88" s="7">
        <v>9</v>
      </c>
      <c r="Q88" s="7">
        <v>3</v>
      </c>
      <c r="R88" s="19">
        <f t="shared" si="27"/>
        <v>33.333333333333329</v>
      </c>
      <c r="S88" s="7">
        <v>5</v>
      </c>
      <c r="T88" s="7">
        <v>2</v>
      </c>
      <c r="U88" s="19">
        <f t="shared" si="28"/>
        <v>40</v>
      </c>
      <c r="V88" s="7">
        <v>2</v>
      </c>
      <c r="W88" s="7">
        <v>1</v>
      </c>
      <c r="X88" s="19">
        <f t="shared" si="29"/>
        <v>50</v>
      </c>
      <c r="Y88" s="7">
        <v>6</v>
      </c>
      <c r="Z88" s="7">
        <v>4</v>
      </c>
      <c r="AA88" s="19">
        <f t="shared" si="30"/>
        <v>66.666666666666657</v>
      </c>
      <c r="AB88" s="7">
        <v>2</v>
      </c>
      <c r="AC88" s="7">
        <v>0</v>
      </c>
      <c r="AD88" s="19">
        <f t="shared" si="31"/>
        <v>0</v>
      </c>
      <c r="AE88" s="7">
        <v>7</v>
      </c>
      <c r="AF88" s="7">
        <v>0</v>
      </c>
      <c r="AG88" s="19">
        <f t="shared" si="32"/>
        <v>0</v>
      </c>
      <c r="AH88" s="7">
        <v>4</v>
      </c>
      <c r="AI88" s="7">
        <v>1</v>
      </c>
      <c r="AJ88" s="19">
        <f t="shared" si="33"/>
        <v>25</v>
      </c>
      <c r="AK88" s="7">
        <v>10</v>
      </c>
      <c r="AL88" s="7">
        <v>6</v>
      </c>
      <c r="AM88" s="19">
        <f t="shared" si="34"/>
        <v>60</v>
      </c>
      <c r="AN88" s="7">
        <v>4</v>
      </c>
      <c r="AO88" s="7">
        <v>1</v>
      </c>
      <c r="AP88" s="19">
        <f t="shared" si="35"/>
        <v>25</v>
      </c>
      <c r="AQ88" s="7">
        <v>9</v>
      </c>
      <c r="AR88" s="7">
        <v>8</v>
      </c>
      <c r="AS88" s="19">
        <f t="shared" si="36"/>
        <v>88.888888888888886</v>
      </c>
      <c r="AT88" s="10">
        <f t="shared" si="46"/>
        <v>27</v>
      </c>
      <c r="AU88" s="10">
        <f t="shared" si="47"/>
        <v>9</v>
      </c>
      <c r="AV88" s="26">
        <f t="shared" si="48"/>
        <v>33.333333333333329</v>
      </c>
      <c r="AW88" s="10">
        <f t="shared" si="49"/>
        <v>51</v>
      </c>
      <c r="AX88" s="10">
        <f t="shared" si="50"/>
        <v>22</v>
      </c>
      <c r="AY88" s="26">
        <f t="shared" si="51"/>
        <v>43.137254901960787</v>
      </c>
      <c r="AZ88" s="10">
        <f t="shared" si="52"/>
        <v>78</v>
      </c>
      <c r="BA88" s="10">
        <f t="shared" si="53"/>
        <v>31</v>
      </c>
      <c r="BB88" s="27">
        <f t="shared" si="54"/>
        <v>39.743589743589745</v>
      </c>
    </row>
  </sheetData>
  <mergeCells count="17">
    <mergeCell ref="C5:C6"/>
    <mergeCell ref="A84:BB84"/>
    <mergeCell ref="A86:BB86"/>
    <mergeCell ref="AT5:BB5"/>
    <mergeCell ref="A1:BB1"/>
    <mergeCell ref="A2:BB2"/>
    <mergeCell ref="A3:BB3"/>
    <mergeCell ref="A4:BB4"/>
    <mergeCell ref="J5:O5"/>
    <mergeCell ref="P5:U5"/>
    <mergeCell ref="V5:AA5"/>
    <mergeCell ref="AB5:AG5"/>
    <mergeCell ref="AH5:AM5"/>
    <mergeCell ref="AN5:AS5"/>
    <mergeCell ref="D5:I5"/>
    <mergeCell ref="A5:A6"/>
    <mergeCell ref="B5:B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B050"/>
  </sheetPr>
  <dimension ref="A1:K86"/>
  <sheetViews>
    <sheetView tabSelected="1" topLeftCell="A67" workbookViewId="0">
      <selection activeCell="L11" sqref="L11"/>
    </sheetView>
  </sheetViews>
  <sheetFormatPr defaultRowHeight="15"/>
  <cols>
    <col min="1" max="1" width="5" bestFit="1" customWidth="1"/>
    <col min="2" max="2" width="12.42578125" bestFit="1" customWidth="1"/>
    <col min="3" max="3" width="51.140625" bestFit="1" customWidth="1"/>
    <col min="4" max="4" width="13.140625" bestFit="1" customWidth="1"/>
    <col min="5" max="5" width="7.85546875" bestFit="1" customWidth="1"/>
    <col min="6" max="6" width="13.140625" bestFit="1" customWidth="1"/>
    <col min="7" max="8" width="7.85546875" bestFit="1" customWidth="1"/>
    <col min="9" max="9" width="11.85546875" bestFit="1" customWidth="1"/>
    <col min="10" max="10" width="13.140625" bestFit="1" customWidth="1"/>
    <col min="11" max="11" width="9.5703125" customWidth="1"/>
  </cols>
  <sheetData>
    <row r="1" spans="1:11" ht="18.75">
      <c r="A1" s="76" t="s">
        <v>2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8.75">
      <c r="A2" s="76" t="s">
        <v>128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11" ht="18.75">
      <c r="A3" s="76" t="s">
        <v>136</v>
      </c>
      <c r="B3" s="76"/>
      <c r="C3" s="76"/>
      <c r="D3" s="76"/>
      <c r="E3" s="76"/>
      <c r="F3" s="76"/>
      <c r="G3" s="76"/>
      <c r="H3" s="76"/>
      <c r="I3" s="76"/>
      <c r="J3" s="76"/>
      <c r="K3" s="76"/>
    </row>
    <row r="4" spans="1:11" ht="45">
      <c r="A4" s="3" t="s">
        <v>11</v>
      </c>
      <c r="B4" s="3" t="s">
        <v>12</v>
      </c>
      <c r="C4" s="4" t="s">
        <v>13</v>
      </c>
      <c r="D4" s="5" t="s">
        <v>21</v>
      </c>
      <c r="E4" s="5" t="s">
        <v>15</v>
      </c>
      <c r="F4" s="5" t="s">
        <v>16</v>
      </c>
      <c r="G4" s="5" t="s">
        <v>17</v>
      </c>
      <c r="H4" s="5" t="s">
        <v>18</v>
      </c>
      <c r="I4" s="5" t="s">
        <v>19</v>
      </c>
      <c r="J4" s="5" t="s">
        <v>20</v>
      </c>
      <c r="K4" s="5" t="s">
        <v>14</v>
      </c>
    </row>
    <row r="5" spans="1:11" ht="16.5">
      <c r="A5" s="12">
        <v>1</v>
      </c>
      <c r="B5" s="13">
        <v>1220321013</v>
      </c>
      <c r="C5" s="14" t="s">
        <v>23</v>
      </c>
      <c r="D5" s="1">
        <v>58.208955223880601</v>
      </c>
      <c r="E5" s="2">
        <v>40</v>
      </c>
      <c r="F5" s="2">
        <v>33.333333333333329</v>
      </c>
      <c r="G5" s="1">
        <v>33.333333333333329</v>
      </c>
      <c r="H5" s="2">
        <v>14.285714285714285</v>
      </c>
      <c r="I5" s="1">
        <v>24.137931034482758</v>
      </c>
      <c r="J5" s="1">
        <v>12.658227848101266</v>
      </c>
      <c r="K5" s="55">
        <f>AVERAGE(D5:J5)</f>
        <v>30.851070722692217</v>
      </c>
    </row>
    <row r="6" spans="1:11" ht="16.5">
      <c r="A6" s="12">
        <v>2</v>
      </c>
      <c r="B6" s="13">
        <v>1220321039</v>
      </c>
      <c r="C6" s="14" t="s">
        <v>24</v>
      </c>
      <c r="D6" s="1">
        <v>59.701492537313428</v>
      </c>
      <c r="E6" s="2">
        <v>60</v>
      </c>
      <c r="F6" s="2">
        <v>31.884057971014489</v>
      </c>
      <c r="G6" s="1">
        <v>31.884057971014489</v>
      </c>
      <c r="H6" s="2">
        <v>33.333333333333329</v>
      </c>
      <c r="I6" s="1">
        <v>56.896551724137936</v>
      </c>
      <c r="J6" s="1">
        <v>51.898734177215189</v>
      </c>
      <c r="K6" s="55">
        <f t="shared" ref="K6:K69" si="0">AVERAGE(D6:J6)</f>
        <v>46.514032530575548</v>
      </c>
    </row>
    <row r="7" spans="1:11" ht="16.5">
      <c r="A7" s="12">
        <v>3</v>
      </c>
      <c r="B7" s="13">
        <v>1220321040</v>
      </c>
      <c r="C7" s="14" t="s">
        <v>25</v>
      </c>
      <c r="D7" s="1">
        <v>59.701492537313428</v>
      </c>
      <c r="E7" s="2">
        <v>65.454545454545453</v>
      </c>
      <c r="F7" s="2">
        <v>39.705882352941174</v>
      </c>
      <c r="G7" s="1">
        <v>39.705882352941174</v>
      </c>
      <c r="H7" s="2">
        <v>38.095238095238095</v>
      </c>
      <c r="I7" s="1">
        <v>29.310344827586203</v>
      </c>
      <c r="J7" s="1">
        <v>16.666666666666664</v>
      </c>
      <c r="K7" s="55">
        <f t="shared" si="0"/>
        <v>41.234293183890316</v>
      </c>
    </row>
    <row r="8" spans="1:11" ht="16.5">
      <c r="A8" s="12">
        <v>4</v>
      </c>
      <c r="B8" s="13">
        <v>1220321049</v>
      </c>
      <c r="C8" s="14" t="s">
        <v>26</v>
      </c>
      <c r="D8" s="1">
        <v>59.701492537313428</v>
      </c>
      <c r="E8" s="2">
        <v>40</v>
      </c>
      <c r="F8" s="2">
        <v>17.391304347826086</v>
      </c>
      <c r="G8" s="1">
        <v>17.391304347826086</v>
      </c>
      <c r="H8" s="2">
        <v>42.857142857142854</v>
      </c>
      <c r="I8" s="1">
        <v>31.03448275862069</v>
      </c>
      <c r="J8" s="1">
        <v>18.9873417721519</v>
      </c>
      <c r="K8" s="55">
        <f t="shared" si="0"/>
        <v>32.480438374411577</v>
      </c>
    </row>
    <row r="9" spans="1:11" ht="16.5">
      <c r="A9" s="12">
        <v>5</v>
      </c>
      <c r="B9" s="13">
        <v>1230321002</v>
      </c>
      <c r="C9" s="14" t="s">
        <v>27</v>
      </c>
      <c r="D9" s="1">
        <v>73.134328358208961</v>
      </c>
      <c r="E9" s="2">
        <v>72.727272727272734</v>
      </c>
      <c r="F9" s="2">
        <v>76.119402985074629</v>
      </c>
      <c r="G9" s="1">
        <v>76.119402985074629</v>
      </c>
      <c r="H9" s="2">
        <v>71.428571428571431</v>
      </c>
      <c r="I9" s="1">
        <v>63.793103448275865</v>
      </c>
      <c r="J9" s="1">
        <v>66.666666666666657</v>
      </c>
      <c r="K9" s="55">
        <f t="shared" si="0"/>
        <v>71.426964085592132</v>
      </c>
    </row>
    <row r="10" spans="1:11" ht="16.5">
      <c r="A10" s="12">
        <v>6</v>
      </c>
      <c r="B10" s="13">
        <v>1230321003</v>
      </c>
      <c r="C10" s="14" t="s">
        <v>28</v>
      </c>
      <c r="D10" s="1">
        <v>67.164179104477611</v>
      </c>
      <c r="E10" s="1">
        <v>61.818181818181813</v>
      </c>
      <c r="F10" s="1">
        <v>56.71641791044776</v>
      </c>
      <c r="G10" s="1">
        <v>56.71641791044776</v>
      </c>
      <c r="H10" s="1">
        <v>64.285714285714292</v>
      </c>
      <c r="I10" s="1">
        <v>41.379310344827587</v>
      </c>
      <c r="J10" s="1">
        <v>43.589743589743591</v>
      </c>
      <c r="K10" s="55">
        <f t="shared" si="0"/>
        <v>55.952852137691487</v>
      </c>
    </row>
    <row r="11" spans="1:11" ht="16.5">
      <c r="A11" s="12">
        <v>7</v>
      </c>
      <c r="B11" s="13">
        <v>1230321004</v>
      </c>
      <c r="C11" s="14" t="s">
        <v>29</v>
      </c>
      <c r="D11" s="1">
        <v>71.641791044776113</v>
      </c>
      <c r="E11" s="2">
        <v>67.272727272727266</v>
      </c>
      <c r="F11" s="2">
        <v>55.223880597014926</v>
      </c>
      <c r="G11" s="1">
        <v>55.223880597014926</v>
      </c>
      <c r="H11" s="2">
        <v>47.619047619047613</v>
      </c>
      <c r="I11" s="1">
        <v>22.413793103448278</v>
      </c>
      <c r="J11" s="1">
        <v>44.871794871794876</v>
      </c>
      <c r="K11" s="55">
        <f t="shared" si="0"/>
        <v>52.03813072940342</v>
      </c>
    </row>
    <row r="12" spans="1:11" ht="16.5">
      <c r="A12" s="12">
        <v>8</v>
      </c>
      <c r="B12" s="13">
        <v>1230321005</v>
      </c>
      <c r="C12" s="14" t="s">
        <v>30</v>
      </c>
      <c r="D12" s="1">
        <v>71.641791044776113</v>
      </c>
      <c r="E12" s="2">
        <v>61.818181818181813</v>
      </c>
      <c r="F12" s="2">
        <v>62.68656716417911</v>
      </c>
      <c r="G12" s="1">
        <v>62.68656716417911</v>
      </c>
      <c r="H12" s="2">
        <v>85.714285714285708</v>
      </c>
      <c r="I12" s="1">
        <v>53.448275862068961</v>
      </c>
      <c r="J12" s="1">
        <v>70.512820512820511</v>
      </c>
      <c r="K12" s="55">
        <f t="shared" si="0"/>
        <v>66.929784182927321</v>
      </c>
    </row>
    <row r="13" spans="1:11" ht="16.5">
      <c r="A13" s="12">
        <v>9</v>
      </c>
      <c r="B13" s="13">
        <v>1230321006</v>
      </c>
      <c r="C13" s="14" t="s">
        <v>31</v>
      </c>
      <c r="D13" s="1">
        <v>71.641791044776113</v>
      </c>
      <c r="E13" s="2">
        <v>74.545454545454547</v>
      </c>
      <c r="F13" s="2">
        <v>67.164179104477611</v>
      </c>
      <c r="G13" s="1">
        <v>67.164179104477611</v>
      </c>
      <c r="H13" s="2">
        <v>76.19047619047619</v>
      </c>
      <c r="I13" s="1">
        <v>56.896551724137936</v>
      </c>
      <c r="J13" s="1">
        <v>64.102564102564102</v>
      </c>
      <c r="K13" s="55">
        <f t="shared" si="0"/>
        <v>68.243599402337736</v>
      </c>
    </row>
    <row r="14" spans="1:11" ht="16.5">
      <c r="A14" s="12">
        <v>10</v>
      </c>
      <c r="B14" s="13">
        <v>1230321007</v>
      </c>
      <c r="C14" s="14" t="s">
        <v>32</v>
      </c>
      <c r="D14" s="1">
        <v>73.134328358208961</v>
      </c>
      <c r="E14" s="2">
        <v>72.727272727272734</v>
      </c>
      <c r="F14" s="2">
        <v>59.701492537313428</v>
      </c>
      <c r="G14" s="1">
        <v>59.701492537313428</v>
      </c>
      <c r="H14" s="2">
        <v>78.571428571428569</v>
      </c>
      <c r="I14" s="1">
        <v>60.344827586206897</v>
      </c>
      <c r="J14" s="1">
        <v>69.230769230769226</v>
      </c>
      <c r="K14" s="55">
        <f t="shared" si="0"/>
        <v>67.630230221216181</v>
      </c>
    </row>
    <row r="15" spans="1:11" ht="16.5">
      <c r="A15" s="12">
        <v>11</v>
      </c>
      <c r="B15" s="13">
        <v>1230321008</v>
      </c>
      <c r="C15" s="14" t="s">
        <v>33</v>
      </c>
      <c r="D15" s="1">
        <v>71.641791044776113</v>
      </c>
      <c r="E15" s="2">
        <v>60</v>
      </c>
      <c r="F15" s="2">
        <v>52.238805970149251</v>
      </c>
      <c r="G15" s="1">
        <v>52.238805970149251</v>
      </c>
      <c r="H15" s="2">
        <v>61.904761904761905</v>
      </c>
      <c r="I15" s="1">
        <v>41.379310344827587</v>
      </c>
      <c r="J15" s="1">
        <v>43.589743589743591</v>
      </c>
      <c r="K15" s="55">
        <f t="shared" si="0"/>
        <v>54.713316974915394</v>
      </c>
    </row>
    <row r="16" spans="1:11" ht="16.5">
      <c r="A16" s="12">
        <v>12</v>
      </c>
      <c r="B16" s="13">
        <v>1230321009</v>
      </c>
      <c r="C16" s="14" t="s">
        <v>34</v>
      </c>
      <c r="D16" s="1">
        <v>73.134328358208961</v>
      </c>
      <c r="E16" s="2">
        <v>47.272727272727273</v>
      </c>
      <c r="F16" s="2">
        <v>52.238805970149251</v>
      </c>
      <c r="G16" s="1">
        <v>52.238805970149251</v>
      </c>
      <c r="H16" s="2">
        <v>66.666666666666657</v>
      </c>
      <c r="I16" s="1">
        <v>46.551724137931032</v>
      </c>
      <c r="J16" s="1">
        <v>26.923076923076923</v>
      </c>
      <c r="K16" s="55">
        <f t="shared" si="0"/>
        <v>52.146590756987052</v>
      </c>
    </row>
    <row r="17" spans="1:11" ht="16.5">
      <c r="A17" s="12">
        <v>13</v>
      </c>
      <c r="B17" s="13">
        <v>1230321010</v>
      </c>
      <c r="C17" s="14" t="s">
        <v>35</v>
      </c>
      <c r="D17" s="1">
        <v>73.134328358208961</v>
      </c>
      <c r="E17" s="2">
        <v>72.727272727272734</v>
      </c>
      <c r="F17" s="2">
        <v>58.208955223880601</v>
      </c>
      <c r="G17" s="1">
        <v>58.208955223880601</v>
      </c>
      <c r="H17" s="2">
        <v>52.380952380952387</v>
      </c>
      <c r="I17" s="1">
        <v>41.379310344827587</v>
      </c>
      <c r="J17" s="1">
        <v>58.974358974358978</v>
      </c>
      <c r="K17" s="55">
        <f t="shared" si="0"/>
        <v>59.28773331905456</v>
      </c>
    </row>
    <row r="18" spans="1:11" ht="16.5">
      <c r="A18" s="12">
        <v>14</v>
      </c>
      <c r="B18" s="13">
        <v>1230321011</v>
      </c>
      <c r="C18" s="14" t="s">
        <v>36</v>
      </c>
      <c r="D18" s="1">
        <v>70.149253731343293</v>
      </c>
      <c r="E18" s="2">
        <v>85.454545454545453</v>
      </c>
      <c r="F18" s="2">
        <v>54.411764705882348</v>
      </c>
      <c r="G18" s="1">
        <v>54.411764705882348</v>
      </c>
      <c r="H18" s="2">
        <v>54.761904761904766</v>
      </c>
      <c r="I18" s="1">
        <v>53.448275862068961</v>
      </c>
      <c r="J18" s="1">
        <v>38.461538461538467</v>
      </c>
      <c r="K18" s="55">
        <f t="shared" si="0"/>
        <v>58.728435383309375</v>
      </c>
    </row>
    <row r="19" spans="1:11" ht="16.5">
      <c r="A19" s="12">
        <v>15</v>
      </c>
      <c r="B19" s="13">
        <v>1230321012</v>
      </c>
      <c r="C19" s="14" t="s">
        <v>37</v>
      </c>
      <c r="D19" s="1">
        <v>70.149253731343293</v>
      </c>
      <c r="E19" s="2">
        <v>80</v>
      </c>
      <c r="F19" s="2">
        <v>68.656716417910445</v>
      </c>
      <c r="G19" s="1">
        <v>68.656716417910445</v>
      </c>
      <c r="H19" s="2">
        <v>88.095238095238088</v>
      </c>
      <c r="I19" s="1">
        <v>63.793103448275865</v>
      </c>
      <c r="J19" s="1">
        <v>51.282051282051277</v>
      </c>
      <c r="K19" s="55">
        <f t="shared" si="0"/>
        <v>70.090439913247053</v>
      </c>
    </row>
    <row r="20" spans="1:11" ht="16.5">
      <c r="A20" s="12">
        <v>16</v>
      </c>
      <c r="B20" s="13">
        <v>1230321013</v>
      </c>
      <c r="C20" s="14" t="s">
        <v>38</v>
      </c>
      <c r="D20" s="1">
        <v>76.119402985074629</v>
      </c>
      <c r="E20" s="2">
        <v>76.363636363636374</v>
      </c>
      <c r="F20" s="2">
        <v>73.134328358208961</v>
      </c>
      <c r="G20" s="1">
        <v>73.134328358208961</v>
      </c>
      <c r="H20" s="2">
        <v>76.19047619047619</v>
      </c>
      <c r="I20" s="1">
        <v>48.275862068965516</v>
      </c>
      <c r="J20" s="1">
        <v>62.820512820512818</v>
      </c>
      <c r="K20" s="55">
        <f t="shared" si="0"/>
        <v>69.434078163583351</v>
      </c>
    </row>
    <row r="21" spans="1:11" ht="16.5">
      <c r="A21" s="12">
        <v>17</v>
      </c>
      <c r="B21" s="13">
        <v>1230321014</v>
      </c>
      <c r="C21" s="14" t="s">
        <v>39</v>
      </c>
      <c r="D21" s="1">
        <v>73.134328358208961</v>
      </c>
      <c r="E21" s="2">
        <v>81.818181818181827</v>
      </c>
      <c r="F21" s="2">
        <v>67.164179104477611</v>
      </c>
      <c r="G21" s="1">
        <v>67.164179104477611</v>
      </c>
      <c r="H21" s="2">
        <v>73.80952380952381</v>
      </c>
      <c r="I21" s="1">
        <v>72.41379310344827</v>
      </c>
      <c r="J21" s="1">
        <v>79.487179487179489</v>
      </c>
      <c r="K21" s="55">
        <f t="shared" si="0"/>
        <v>73.570194969356791</v>
      </c>
    </row>
    <row r="22" spans="1:11" ht="16.5">
      <c r="A22" s="12">
        <v>18</v>
      </c>
      <c r="B22" s="13">
        <v>1230321015</v>
      </c>
      <c r="C22" s="14" t="s">
        <v>40</v>
      </c>
      <c r="D22" s="1">
        <v>70.149253731343293</v>
      </c>
      <c r="E22" s="2">
        <v>72.727272727272734</v>
      </c>
      <c r="F22" s="2">
        <v>59.701492537313428</v>
      </c>
      <c r="G22" s="1">
        <v>59.701492537313428</v>
      </c>
      <c r="H22" s="2">
        <v>59.523809523809526</v>
      </c>
      <c r="I22" s="1">
        <v>39.655172413793103</v>
      </c>
      <c r="J22" s="1">
        <v>44.871794871794876</v>
      </c>
      <c r="K22" s="55">
        <f t="shared" si="0"/>
        <v>58.047184048948615</v>
      </c>
    </row>
    <row r="23" spans="1:11" ht="16.5">
      <c r="A23" s="12">
        <v>19</v>
      </c>
      <c r="B23" s="13">
        <v>1230321016</v>
      </c>
      <c r="C23" s="14" t="s">
        <v>41</v>
      </c>
      <c r="D23" s="1">
        <v>70.149253731343293</v>
      </c>
      <c r="E23" s="2">
        <v>70.909090909090907</v>
      </c>
      <c r="F23" s="2">
        <v>67.164179104477611</v>
      </c>
      <c r="G23" s="1">
        <v>67.164179104477611</v>
      </c>
      <c r="H23" s="2">
        <v>54.761904761904766</v>
      </c>
      <c r="I23" s="1">
        <v>50</v>
      </c>
      <c r="J23" s="1">
        <v>57.692307692307686</v>
      </c>
      <c r="K23" s="55">
        <f t="shared" si="0"/>
        <v>62.548702186228844</v>
      </c>
    </row>
    <row r="24" spans="1:11" ht="16.5">
      <c r="A24" s="12">
        <v>20</v>
      </c>
      <c r="B24" s="13">
        <v>1230321017</v>
      </c>
      <c r="C24" s="14" t="s">
        <v>42</v>
      </c>
      <c r="D24" s="1">
        <v>70.149253731343293</v>
      </c>
      <c r="E24" s="2">
        <v>58.18181818181818</v>
      </c>
      <c r="F24" s="2">
        <v>71.641791044776113</v>
      </c>
      <c r="G24" s="1">
        <v>71.641791044776113</v>
      </c>
      <c r="H24" s="2">
        <v>73.80952380952381</v>
      </c>
      <c r="I24" s="1">
        <v>58.620689655172406</v>
      </c>
      <c r="J24" s="1">
        <v>73.076923076923066</v>
      </c>
      <c r="K24" s="55">
        <f t="shared" si="0"/>
        <v>68.160255792047565</v>
      </c>
    </row>
    <row r="25" spans="1:11" ht="16.5">
      <c r="A25" s="12">
        <v>21</v>
      </c>
      <c r="B25" s="13">
        <v>1230321018</v>
      </c>
      <c r="C25" s="14" t="s">
        <v>43</v>
      </c>
      <c r="D25" s="1">
        <v>68.656716417910445</v>
      </c>
      <c r="E25" s="2">
        <v>52.72727272727272</v>
      </c>
      <c r="F25" s="2">
        <v>45.588235294117645</v>
      </c>
      <c r="G25" s="1">
        <v>45.588235294117645</v>
      </c>
      <c r="H25" s="2">
        <v>47.619047619047613</v>
      </c>
      <c r="I25" s="1">
        <v>24.137931034482758</v>
      </c>
      <c r="J25" s="1">
        <v>20.512820512820511</v>
      </c>
      <c r="K25" s="55">
        <f t="shared" si="0"/>
        <v>43.547179842824185</v>
      </c>
    </row>
    <row r="26" spans="1:11" ht="16.5">
      <c r="A26" s="12">
        <v>22</v>
      </c>
      <c r="B26" s="13">
        <v>1230321019</v>
      </c>
      <c r="C26" s="14" t="s">
        <v>44</v>
      </c>
      <c r="D26" s="1">
        <v>79.104477611940297</v>
      </c>
      <c r="E26" s="2">
        <v>81.818181818181827</v>
      </c>
      <c r="F26" s="2">
        <v>77.611940298507463</v>
      </c>
      <c r="G26" s="1">
        <v>77.611940298507463</v>
      </c>
      <c r="H26" s="2">
        <v>95.238095238095227</v>
      </c>
      <c r="I26" s="1">
        <v>79.310344827586206</v>
      </c>
      <c r="J26" s="1">
        <v>83.333333333333343</v>
      </c>
      <c r="K26" s="55">
        <f t="shared" si="0"/>
        <v>82.004044775164544</v>
      </c>
    </row>
    <row r="27" spans="1:11" ht="16.5">
      <c r="A27" s="12">
        <v>23</v>
      </c>
      <c r="B27" s="13">
        <v>1230321020</v>
      </c>
      <c r="C27" s="14" t="s">
        <v>45</v>
      </c>
      <c r="D27" s="1">
        <v>68.656716417910445</v>
      </c>
      <c r="E27" s="2">
        <v>47.272727272727273</v>
      </c>
      <c r="F27" s="2">
        <v>64.179104477611943</v>
      </c>
      <c r="G27" s="1">
        <v>64.179104477611943</v>
      </c>
      <c r="H27" s="2">
        <v>21.428571428571427</v>
      </c>
      <c r="I27" s="1">
        <v>46.551724137931032</v>
      </c>
      <c r="J27" s="1">
        <v>17.948717948717949</v>
      </c>
      <c r="K27" s="55">
        <v>54.27</v>
      </c>
    </row>
    <row r="28" spans="1:11" ht="16.5">
      <c r="A28" s="12">
        <v>24</v>
      </c>
      <c r="B28" s="13">
        <v>1230321021</v>
      </c>
      <c r="C28" s="14" t="s">
        <v>46</v>
      </c>
      <c r="D28" s="1">
        <v>73.134328358208961</v>
      </c>
      <c r="E28" s="2">
        <v>76.363636363636374</v>
      </c>
      <c r="F28" s="2">
        <v>61.194029850746269</v>
      </c>
      <c r="G28" s="1">
        <v>61.194029850746269</v>
      </c>
      <c r="H28" s="2">
        <v>64.285714285714292</v>
      </c>
      <c r="I28" s="1">
        <v>46.551724137931032</v>
      </c>
      <c r="J28" s="1">
        <v>51.282051282051277</v>
      </c>
      <c r="K28" s="55">
        <f t="shared" si="0"/>
        <v>62.000787732719211</v>
      </c>
    </row>
    <row r="29" spans="1:11" ht="16.5">
      <c r="A29" s="12">
        <v>25</v>
      </c>
      <c r="B29" s="13">
        <v>1230321022</v>
      </c>
      <c r="C29" s="14" t="s">
        <v>47</v>
      </c>
      <c r="D29" s="1">
        <v>71.641791044776113</v>
      </c>
      <c r="E29" s="2">
        <v>60</v>
      </c>
      <c r="F29" s="2">
        <v>44.776119402985074</v>
      </c>
      <c r="G29" s="1">
        <v>44.776119402985074</v>
      </c>
      <c r="H29" s="2">
        <v>45.238095238095241</v>
      </c>
      <c r="I29" s="1">
        <v>25.862068965517242</v>
      </c>
      <c r="J29" s="1">
        <v>44.871794871794876</v>
      </c>
      <c r="K29" s="55">
        <f t="shared" si="0"/>
        <v>48.166569846593383</v>
      </c>
    </row>
    <row r="30" spans="1:11" ht="16.5">
      <c r="A30" s="12">
        <v>26</v>
      </c>
      <c r="B30" s="13">
        <v>1230321023</v>
      </c>
      <c r="C30" s="14" t="s">
        <v>48</v>
      </c>
      <c r="D30" s="1">
        <v>70.149253731343293</v>
      </c>
      <c r="E30" s="2">
        <v>61.818181818181813</v>
      </c>
      <c r="F30" s="2">
        <v>67.164179104477611</v>
      </c>
      <c r="G30" s="1">
        <v>67.164179104477611</v>
      </c>
      <c r="H30" s="2">
        <v>59.523809523809526</v>
      </c>
      <c r="I30" s="1">
        <v>51.724137931034484</v>
      </c>
      <c r="J30" s="1">
        <v>55.128205128205131</v>
      </c>
      <c r="K30" s="55">
        <f t="shared" si="0"/>
        <v>61.810278048789925</v>
      </c>
    </row>
    <row r="31" spans="1:11" ht="16.5">
      <c r="A31" s="12">
        <v>27</v>
      </c>
      <c r="B31" s="13">
        <v>1230321024</v>
      </c>
      <c r="C31" s="14" t="s">
        <v>49</v>
      </c>
      <c r="D31" s="1">
        <v>71.641791044776113</v>
      </c>
      <c r="E31" s="2">
        <v>60</v>
      </c>
      <c r="F31" s="2">
        <v>68.656716417910445</v>
      </c>
      <c r="G31" s="1">
        <v>68.656716417910445</v>
      </c>
      <c r="H31" s="2">
        <v>69.047619047619051</v>
      </c>
      <c r="I31" s="1">
        <v>56.896551724137936</v>
      </c>
      <c r="J31" s="1">
        <v>69.230769230769226</v>
      </c>
      <c r="K31" s="55">
        <f t="shared" si="0"/>
        <v>66.304309126160462</v>
      </c>
    </row>
    <row r="32" spans="1:11" ht="16.5">
      <c r="A32" s="12">
        <v>28</v>
      </c>
      <c r="B32" s="13">
        <v>1230321025</v>
      </c>
      <c r="C32" s="14" t="s">
        <v>50</v>
      </c>
      <c r="D32" s="1">
        <v>70.149253731343293</v>
      </c>
      <c r="E32" s="2">
        <v>60</v>
      </c>
      <c r="F32" s="2">
        <v>61.194029850746269</v>
      </c>
      <c r="G32" s="1">
        <v>61.194029850746269</v>
      </c>
      <c r="H32" s="2">
        <v>73.80952380952381</v>
      </c>
      <c r="I32" s="1">
        <v>58.620689655172406</v>
      </c>
      <c r="J32" s="1">
        <v>73.076923076923066</v>
      </c>
      <c r="K32" s="55">
        <f t="shared" si="0"/>
        <v>65.434921424922166</v>
      </c>
    </row>
    <row r="33" spans="1:11" ht="16.5">
      <c r="A33" s="12">
        <v>29</v>
      </c>
      <c r="B33" s="13">
        <v>1230321026</v>
      </c>
      <c r="C33" s="14" t="s">
        <v>51</v>
      </c>
      <c r="D33" s="1">
        <v>74.626865671641795</v>
      </c>
      <c r="E33" s="2">
        <v>56.36363636363636</v>
      </c>
      <c r="F33" s="2">
        <v>42.647058823529413</v>
      </c>
      <c r="G33" s="1">
        <v>42.647058823529413</v>
      </c>
      <c r="H33" s="2">
        <v>50</v>
      </c>
      <c r="I33" s="1">
        <v>37.931034482758619</v>
      </c>
      <c r="J33" s="1">
        <v>46.153846153846153</v>
      </c>
      <c r="K33" s="55">
        <f t="shared" si="0"/>
        <v>50.052785759848817</v>
      </c>
    </row>
    <row r="34" spans="1:11" ht="16.5">
      <c r="A34" s="12">
        <v>30</v>
      </c>
      <c r="B34" s="13">
        <v>1230321027</v>
      </c>
      <c r="C34" s="14" t="s">
        <v>52</v>
      </c>
      <c r="D34" s="1">
        <v>76.119402985074629</v>
      </c>
      <c r="E34" s="2">
        <v>70.909090909090907</v>
      </c>
      <c r="F34" s="2">
        <v>53.731343283582092</v>
      </c>
      <c r="G34" s="1">
        <v>53.731343283582092</v>
      </c>
      <c r="H34" s="2">
        <v>61.904761904761905</v>
      </c>
      <c r="I34" s="1">
        <v>60.344827586206897</v>
      </c>
      <c r="J34" s="1">
        <v>57.692307692307686</v>
      </c>
      <c r="K34" s="55">
        <f t="shared" si="0"/>
        <v>62.061868234943745</v>
      </c>
    </row>
    <row r="35" spans="1:11" ht="16.5">
      <c r="A35" s="12">
        <v>31</v>
      </c>
      <c r="B35" s="13">
        <v>1230321028</v>
      </c>
      <c r="C35" s="14" t="s">
        <v>53</v>
      </c>
      <c r="D35" s="1">
        <v>70.149253731343293</v>
      </c>
      <c r="E35" s="2">
        <v>56.36363636363636</v>
      </c>
      <c r="F35" s="2">
        <v>53.731343283582092</v>
      </c>
      <c r="G35" s="1">
        <v>53.731343283582092</v>
      </c>
      <c r="H35" s="2">
        <v>52.380952380952387</v>
      </c>
      <c r="I35" s="1">
        <v>31.03448275862069</v>
      </c>
      <c r="J35" s="1">
        <v>38.461538461538467</v>
      </c>
      <c r="K35" s="55">
        <f t="shared" si="0"/>
        <v>50.836078609036484</v>
      </c>
    </row>
    <row r="36" spans="1:11" ht="16.5">
      <c r="A36" s="12">
        <v>32</v>
      </c>
      <c r="B36" s="13">
        <v>1230321029</v>
      </c>
      <c r="C36" s="14" t="s">
        <v>54</v>
      </c>
      <c r="D36" s="1">
        <v>70.149253731343293</v>
      </c>
      <c r="E36" s="2">
        <v>45.454545454545453</v>
      </c>
      <c r="F36" s="2">
        <v>33.82352941176471</v>
      </c>
      <c r="G36" s="1">
        <v>33.82352941176471</v>
      </c>
      <c r="H36" s="2">
        <v>35.714285714285715</v>
      </c>
      <c r="I36" s="1">
        <v>24.137931034482758</v>
      </c>
      <c r="J36" s="1">
        <v>21.794871794871796</v>
      </c>
      <c r="K36" s="55">
        <f t="shared" si="0"/>
        <v>37.842563793294062</v>
      </c>
    </row>
    <row r="37" spans="1:11" ht="16.5">
      <c r="A37" s="12">
        <v>33</v>
      </c>
      <c r="B37" s="13">
        <v>1230321030</v>
      </c>
      <c r="C37" s="14" t="s">
        <v>55</v>
      </c>
      <c r="D37" s="1">
        <v>71.641791044776113</v>
      </c>
      <c r="E37" s="2">
        <v>43.636363636363633</v>
      </c>
      <c r="F37" s="2">
        <v>40.298507462686565</v>
      </c>
      <c r="G37" s="1">
        <v>40.298507462686565</v>
      </c>
      <c r="H37" s="2">
        <v>42.857142857142854</v>
      </c>
      <c r="I37" s="1">
        <v>25.862068965517242</v>
      </c>
      <c r="J37" s="1">
        <v>32.051282051282051</v>
      </c>
      <c r="K37" s="55">
        <f t="shared" si="0"/>
        <v>42.377951925779293</v>
      </c>
    </row>
    <row r="38" spans="1:11" ht="16.5">
      <c r="A38" s="12">
        <v>34</v>
      </c>
      <c r="B38" s="13">
        <v>1230321031</v>
      </c>
      <c r="C38" s="14" t="s">
        <v>56</v>
      </c>
      <c r="D38" s="1">
        <v>71.641791044776113</v>
      </c>
      <c r="E38" s="2">
        <v>47.272727272727273</v>
      </c>
      <c r="F38" s="2">
        <v>43.283582089552233</v>
      </c>
      <c r="G38" s="1">
        <v>43.283582089552233</v>
      </c>
      <c r="H38" s="2">
        <v>47.619047619047613</v>
      </c>
      <c r="I38" s="1">
        <v>29.310344827586203</v>
      </c>
      <c r="J38" s="1">
        <v>35.897435897435898</v>
      </c>
      <c r="K38" s="55">
        <f t="shared" si="0"/>
        <v>45.472644405811081</v>
      </c>
    </row>
    <row r="39" spans="1:11" ht="16.5">
      <c r="A39" s="12">
        <v>35</v>
      </c>
      <c r="B39" s="13">
        <v>1230321032</v>
      </c>
      <c r="C39" s="14" t="s">
        <v>57</v>
      </c>
      <c r="D39" s="1">
        <v>70.149253731343293</v>
      </c>
      <c r="E39" s="2">
        <v>80</v>
      </c>
      <c r="F39" s="2">
        <v>59.701492537313428</v>
      </c>
      <c r="G39" s="1">
        <v>59.701492537313428</v>
      </c>
      <c r="H39" s="2">
        <v>42.857142857142854</v>
      </c>
      <c r="I39" s="1">
        <v>51.724137931034484</v>
      </c>
      <c r="J39" s="1">
        <v>46.153846153846153</v>
      </c>
      <c r="K39" s="55">
        <f t="shared" si="0"/>
        <v>58.612480821141943</v>
      </c>
    </row>
    <row r="40" spans="1:11" ht="16.5">
      <c r="A40" s="12">
        <v>36</v>
      </c>
      <c r="B40" s="13">
        <v>1230321033</v>
      </c>
      <c r="C40" s="14" t="s">
        <v>58</v>
      </c>
      <c r="D40" s="1">
        <v>76.119402985074629</v>
      </c>
      <c r="E40" s="2">
        <v>69.090909090909093</v>
      </c>
      <c r="F40" s="2">
        <v>70.149253731343293</v>
      </c>
      <c r="G40" s="1">
        <v>70.149253731343293</v>
      </c>
      <c r="H40" s="2">
        <v>78.571428571428569</v>
      </c>
      <c r="I40" s="1">
        <v>65.517241379310349</v>
      </c>
      <c r="J40" s="1">
        <v>71.794871794871796</v>
      </c>
      <c r="K40" s="55">
        <f t="shared" si="0"/>
        <v>71.62748018346872</v>
      </c>
    </row>
    <row r="41" spans="1:11" ht="16.5">
      <c r="A41" s="12">
        <v>37</v>
      </c>
      <c r="B41" s="13">
        <v>1230321034</v>
      </c>
      <c r="C41" s="14" t="s">
        <v>59</v>
      </c>
      <c r="D41" s="1">
        <v>74.626865671641795</v>
      </c>
      <c r="E41" s="2">
        <v>43.636363636363633</v>
      </c>
      <c r="F41" s="2">
        <v>55.223880597014926</v>
      </c>
      <c r="G41" s="1">
        <v>55.223880597014926</v>
      </c>
      <c r="H41" s="2">
        <v>64.285714285714292</v>
      </c>
      <c r="I41" s="1">
        <v>46.551724137931032</v>
      </c>
      <c r="J41" s="1">
        <v>25.641025641025639</v>
      </c>
      <c r="K41" s="55">
        <f t="shared" si="0"/>
        <v>52.169922080958038</v>
      </c>
    </row>
    <row r="42" spans="1:11" ht="16.5">
      <c r="A42" s="12">
        <v>38</v>
      </c>
      <c r="B42" s="13">
        <v>1230321035</v>
      </c>
      <c r="C42" s="14" t="s">
        <v>60</v>
      </c>
      <c r="D42" s="1">
        <v>73.134328358208961</v>
      </c>
      <c r="E42" s="2">
        <v>52.72727272727272</v>
      </c>
      <c r="F42" s="2">
        <v>46.268656716417908</v>
      </c>
      <c r="G42" s="1">
        <v>46.268656716417908</v>
      </c>
      <c r="H42" s="2">
        <v>61.904761904761905</v>
      </c>
      <c r="I42" s="1">
        <v>51.724137931034484</v>
      </c>
      <c r="J42" s="1">
        <v>56.410256410256409</v>
      </c>
      <c r="K42" s="55">
        <f t="shared" si="0"/>
        <v>55.491152966338618</v>
      </c>
    </row>
    <row r="43" spans="1:11" ht="16.5">
      <c r="A43" s="12">
        <v>39</v>
      </c>
      <c r="B43" s="13">
        <v>1230321036</v>
      </c>
      <c r="C43" s="14" t="s">
        <v>61</v>
      </c>
      <c r="D43" s="2">
        <v>74.626865671641795</v>
      </c>
      <c r="E43" s="2">
        <v>83.636363636363626</v>
      </c>
      <c r="F43" s="2">
        <v>68.656716417910445</v>
      </c>
      <c r="G43" s="1">
        <v>68.656716417910445</v>
      </c>
      <c r="H43" s="2">
        <v>71.428571428571431</v>
      </c>
      <c r="I43" s="1">
        <v>60.344827586206897</v>
      </c>
      <c r="J43" s="1">
        <v>75.641025641025635</v>
      </c>
      <c r="K43" s="55">
        <f t="shared" si="0"/>
        <v>71.855869542804328</v>
      </c>
    </row>
    <row r="44" spans="1:11" ht="16.5">
      <c r="A44" s="12">
        <v>40</v>
      </c>
      <c r="B44" s="13">
        <v>1230321037</v>
      </c>
      <c r="C44" s="14" t="s">
        <v>62</v>
      </c>
      <c r="D44" s="2">
        <v>73.134328358208961</v>
      </c>
      <c r="E44" s="2">
        <v>81.818181818181827</v>
      </c>
      <c r="F44" s="2">
        <v>64.179104477611943</v>
      </c>
      <c r="G44" s="1">
        <v>64.179104477611943</v>
      </c>
      <c r="H44" s="2">
        <v>69.047619047619051</v>
      </c>
      <c r="I44" s="1">
        <v>63.793103448275865</v>
      </c>
      <c r="J44" s="1">
        <v>70.512820512820511</v>
      </c>
      <c r="K44" s="55">
        <f t="shared" si="0"/>
        <v>69.523466020047152</v>
      </c>
    </row>
    <row r="45" spans="1:11" ht="16.5">
      <c r="A45" s="12">
        <v>41</v>
      </c>
      <c r="B45" s="13">
        <v>1230321038</v>
      </c>
      <c r="C45" s="14" t="s">
        <v>63</v>
      </c>
      <c r="D45" s="2">
        <v>71.641791044776113</v>
      </c>
      <c r="E45" s="2">
        <v>34.545454545454547</v>
      </c>
      <c r="F45" s="2">
        <v>37.313432835820898</v>
      </c>
      <c r="G45" s="1">
        <v>37.313432835820898</v>
      </c>
      <c r="H45" s="2">
        <v>38.095238095238095</v>
      </c>
      <c r="I45" s="1">
        <v>20.689655172413794</v>
      </c>
      <c r="J45" s="1">
        <v>24.358974358974358</v>
      </c>
      <c r="K45" s="55">
        <f t="shared" si="0"/>
        <v>37.70828269835696</v>
      </c>
    </row>
    <row r="46" spans="1:11" ht="16.5">
      <c r="A46" s="12">
        <v>42</v>
      </c>
      <c r="B46" s="13">
        <v>1230321039</v>
      </c>
      <c r="C46" s="14" t="s">
        <v>64</v>
      </c>
      <c r="D46" s="2">
        <v>71.641791044776113</v>
      </c>
      <c r="E46" s="2">
        <v>58.18181818181818</v>
      </c>
      <c r="F46" s="2">
        <v>57.352941176470587</v>
      </c>
      <c r="G46" s="1">
        <v>57.352941176470587</v>
      </c>
      <c r="H46" s="2">
        <v>54.761904761904766</v>
      </c>
      <c r="I46" s="1">
        <v>58.620689655172406</v>
      </c>
      <c r="J46" s="1">
        <v>38.461538461538467</v>
      </c>
      <c r="K46" s="55">
        <f t="shared" si="0"/>
        <v>56.624803494021585</v>
      </c>
    </row>
    <row r="47" spans="1:11" ht="16.5">
      <c r="A47" s="12">
        <v>43</v>
      </c>
      <c r="B47" s="13">
        <v>1230321040</v>
      </c>
      <c r="C47" s="14" t="s">
        <v>65</v>
      </c>
      <c r="D47" s="2">
        <v>73.134328358208961</v>
      </c>
      <c r="E47" s="2">
        <v>58.18181818181818</v>
      </c>
      <c r="F47" s="2">
        <v>45.588235294117645</v>
      </c>
      <c r="G47" s="1">
        <v>45.588235294117645</v>
      </c>
      <c r="H47" s="2">
        <v>57.142857142857139</v>
      </c>
      <c r="I47" s="1">
        <v>60.344827586206897</v>
      </c>
      <c r="J47" s="1">
        <v>25.641025641025639</v>
      </c>
      <c r="K47" s="55">
        <f t="shared" si="0"/>
        <v>52.231618214050307</v>
      </c>
    </row>
    <row r="48" spans="1:11" ht="16.5">
      <c r="A48" s="12">
        <v>44</v>
      </c>
      <c r="B48" s="13">
        <v>1230321041</v>
      </c>
      <c r="C48" s="14" t="s">
        <v>66</v>
      </c>
      <c r="D48" s="1">
        <v>74.626865671641795</v>
      </c>
      <c r="E48" s="1">
        <v>74.545454545454547</v>
      </c>
      <c r="F48" s="1">
        <v>48.529411764705884</v>
      </c>
      <c r="G48" s="1">
        <v>48.529411764705884</v>
      </c>
      <c r="H48" s="1">
        <v>69.047619047619051</v>
      </c>
      <c r="I48" s="1">
        <v>53.448275862068961</v>
      </c>
      <c r="J48" s="1">
        <v>64.102564102564102</v>
      </c>
      <c r="K48" s="55">
        <f t="shared" si="0"/>
        <v>61.832800394108595</v>
      </c>
    </row>
    <row r="49" spans="1:11" ht="16.5">
      <c r="A49" s="12">
        <v>45</v>
      </c>
      <c r="B49" s="13">
        <v>1230321042</v>
      </c>
      <c r="C49" s="14" t="s">
        <v>67</v>
      </c>
      <c r="D49" s="1">
        <v>70.149253731343293</v>
      </c>
      <c r="E49" s="1">
        <v>89.090909090909093</v>
      </c>
      <c r="F49" s="1">
        <v>70.588235294117652</v>
      </c>
      <c r="G49" s="1">
        <v>70.588235294117652</v>
      </c>
      <c r="H49" s="1">
        <v>90.476190476190482</v>
      </c>
      <c r="I49" s="1">
        <v>58.620689655172406</v>
      </c>
      <c r="J49" s="1">
        <v>75.641025641025635</v>
      </c>
      <c r="K49" s="55">
        <f t="shared" si="0"/>
        <v>75.022077026125174</v>
      </c>
    </row>
    <row r="50" spans="1:11" ht="16.5">
      <c r="A50" s="12">
        <v>46</v>
      </c>
      <c r="B50" s="13">
        <v>1230321043</v>
      </c>
      <c r="C50" s="14" t="s">
        <v>68</v>
      </c>
      <c r="D50" s="1">
        <v>71.641791044776113</v>
      </c>
      <c r="E50" s="1">
        <v>58.18181818181818</v>
      </c>
      <c r="F50" s="1">
        <v>35.294117647058826</v>
      </c>
      <c r="G50" s="1">
        <v>35.294117647058826</v>
      </c>
      <c r="H50" s="1">
        <v>42.857142857142854</v>
      </c>
      <c r="I50" s="1">
        <v>32.758620689655174</v>
      </c>
      <c r="J50" s="1">
        <v>30.76923076923077</v>
      </c>
      <c r="K50" s="55">
        <f t="shared" si="0"/>
        <v>43.828119833820104</v>
      </c>
    </row>
    <row r="51" spans="1:11" ht="16.5">
      <c r="A51" s="12">
        <v>47</v>
      </c>
      <c r="B51" s="13">
        <v>1230321044</v>
      </c>
      <c r="C51" s="14" t="s">
        <v>69</v>
      </c>
      <c r="D51" s="1">
        <v>73.134328358208961</v>
      </c>
      <c r="E51" s="1">
        <v>63.636363636363633</v>
      </c>
      <c r="F51" s="1">
        <v>38.235294117647058</v>
      </c>
      <c r="G51" s="1">
        <v>38.235294117647058</v>
      </c>
      <c r="H51" s="1">
        <v>61.904761904761905</v>
      </c>
      <c r="I51" s="1">
        <v>48.275862068965516</v>
      </c>
      <c r="J51" s="1">
        <v>32.051282051282051</v>
      </c>
      <c r="K51" s="55">
        <f t="shared" si="0"/>
        <v>50.781883750696601</v>
      </c>
    </row>
    <row r="52" spans="1:11" ht="16.5">
      <c r="A52" s="12">
        <v>48</v>
      </c>
      <c r="B52" s="13">
        <v>1230321045</v>
      </c>
      <c r="C52" s="14" t="s">
        <v>70</v>
      </c>
      <c r="D52" s="1">
        <v>73.134328358208961</v>
      </c>
      <c r="E52" s="1">
        <v>76.363636363636374</v>
      </c>
      <c r="F52" s="1">
        <v>61.764705882352942</v>
      </c>
      <c r="G52" s="1">
        <v>61.764705882352942</v>
      </c>
      <c r="H52" s="1">
        <v>61.904761904761905</v>
      </c>
      <c r="I52" s="1">
        <v>48.275862068965516</v>
      </c>
      <c r="J52" s="1">
        <v>47.435897435897431</v>
      </c>
      <c r="K52" s="55">
        <f t="shared" si="0"/>
        <v>61.520556842310874</v>
      </c>
    </row>
    <row r="53" spans="1:11" ht="16.5">
      <c r="A53" s="12">
        <v>49</v>
      </c>
      <c r="B53" s="13">
        <v>1230321046</v>
      </c>
      <c r="C53" s="14" t="s">
        <v>71</v>
      </c>
      <c r="D53" s="1">
        <v>73.134328358208961</v>
      </c>
      <c r="E53" s="1">
        <v>61.818181818181813</v>
      </c>
      <c r="F53" s="1">
        <v>48.529411764705884</v>
      </c>
      <c r="G53" s="1">
        <v>48.529411764705884</v>
      </c>
      <c r="H53" s="1">
        <v>80.952380952380949</v>
      </c>
      <c r="I53" s="1">
        <v>43.103448275862064</v>
      </c>
      <c r="J53" s="1">
        <v>43.589743589743591</v>
      </c>
      <c r="K53" s="55">
        <f t="shared" si="0"/>
        <v>57.093843789112732</v>
      </c>
    </row>
    <row r="54" spans="1:11" ht="16.5">
      <c r="A54" s="12">
        <v>50</v>
      </c>
      <c r="B54" s="13">
        <v>1230321047</v>
      </c>
      <c r="C54" s="14" t="s">
        <v>72</v>
      </c>
      <c r="D54" s="1">
        <v>74.626865671641795</v>
      </c>
      <c r="E54" s="1">
        <v>69.090909090909093</v>
      </c>
      <c r="F54" s="1">
        <v>63.235294117647058</v>
      </c>
      <c r="G54" s="1">
        <v>63.235294117647058</v>
      </c>
      <c r="H54" s="1">
        <v>76.19047619047619</v>
      </c>
      <c r="I54" s="1">
        <v>60.344827586206897</v>
      </c>
      <c r="J54" s="1">
        <v>52.564102564102569</v>
      </c>
      <c r="K54" s="55">
        <f t="shared" si="0"/>
        <v>65.61253847694725</v>
      </c>
    </row>
    <row r="55" spans="1:11" ht="16.5">
      <c r="A55" s="12">
        <v>51</v>
      </c>
      <c r="B55" s="13">
        <v>1230321048</v>
      </c>
      <c r="C55" s="14" t="s">
        <v>73</v>
      </c>
      <c r="D55" s="1">
        <v>71.641791044776113</v>
      </c>
      <c r="E55" s="1">
        <v>81.818181818181827</v>
      </c>
      <c r="F55" s="1">
        <v>64.705882352941174</v>
      </c>
      <c r="G55" s="1">
        <v>64.705882352941174</v>
      </c>
      <c r="H55" s="1">
        <v>71.428571428571431</v>
      </c>
      <c r="I55" s="1">
        <v>58.620689655172406</v>
      </c>
      <c r="J55" s="1">
        <v>52.564102564102569</v>
      </c>
      <c r="K55" s="55">
        <f t="shared" si="0"/>
        <v>66.49787160238381</v>
      </c>
    </row>
    <row r="56" spans="1:11" ht="16.5">
      <c r="A56" s="12">
        <v>52</v>
      </c>
      <c r="B56" s="13">
        <v>1230321049</v>
      </c>
      <c r="C56" s="14" t="s">
        <v>74</v>
      </c>
      <c r="D56" s="1">
        <v>71.641791044776113</v>
      </c>
      <c r="E56" s="1">
        <v>67.272727272727266</v>
      </c>
      <c r="F56" s="1">
        <v>69.117647058823522</v>
      </c>
      <c r="G56" s="1">
        <v>69.117647058823522</v>
      </c>
      <c r="H56" s="1">
        <v>64.285714285714292</v>
      </c>
      <c r="I56" s="1">
        <v>68.965517241379317</v>
      </c>
      <c r="J56" s="1">
        <v>60.256410256410255</v>
      </c>
      <c r="K56" s="55">
        <f t="shared" si="0"/>
        <v>67.236779174093471</v>
      </c>
    </row>
    <row r="57" spans="1:11" ht="16.5">
      <c r="A57" s="12">
        <v>53</v>
      </c>
      <c r="B57" s="13">
        <v>1230321050</v>
      </c>
      <c r="C57" s="14" t="s">
        <v>75</v>
      </c>
      <c r="D57" s="1">
        <v>73.134328358208961</v>
      </c>
      <c r="E57" s="1">
        <v>76.363636363636374</v>
      </c>
      <c r="F57" s="1">
        <v>67.64705882352942</v>
      </c>
      <c r="G57" s="1">
        <v>67.64705882352942</v>
      </c>
      <c r="H57" s="1">
        <v>80.952380952380949</v>
      </c>
      <c r="I57" s="1">
        <v>72.41379310344827</v>
      </c>
      <c r="J57" s="1">
        <v>67.948717948717956</v>
      </c>
      <c r="K57" s="55">
        <f t="shared" si="0"/>
        <v>72.300996339064483</v>
      </c>
    </row>
    <row r="58" spans="1:11" ht="16.5">
      <c r="A58" s="12">
        <v>54</v>
      </c>
      <c r="B58" s="13">
        <v>1230321052</v>
      </c>
      <c r="C58" s="14" t="s">
        <v>76</v>
      </c>
      <c r="D58" s="1">
        <v>68.656716417910445</v>
      </c>
      <c r="E58" s="1">
        <v>36.363636363636367</v>
      </c>
      <c r="F58" s="1">
        <v>48.529411764705884</v>
      </c>
      <c r="G58" s="1">
        <v>48.529411764705884</v>
      </c>
      <c r="H58" s="1">
        <v>47.619047619047613</v>
      </c>
      <c r="I58" s="1">
        <v>32.758620689655174</v>
      </c>
      <c r="J58" s="1">
        <v>42.307692307692307</v>
      </c>
      <c r="K58" s="55">
        <f t="shared" si="0"/>
        <v>46.394933846764822</v>
      </c>
    </row>
    <row r="59" spans="1:11" ht="16.5">
      <c r="A59" s="12">
        <v>55</v>
      </c>
      <c r="B59" s="13">
        <v>1230321053</v>
      </c>
      <c r="C59" s="14" t="s">
        <v>77</v>
      </c>
      <c r="D59" s="1">
        <v>68.656716417910445</v>
      </c>
      <c r="E59" s="1">
        <v>78.181818181818187</v>
      </c>
      <c r="F59" s="1">
        <v>77.941176470588232</v>
      </c>
      <c r="G59" s="1">
        <v>77.941176470588232</v>
      </c>
      <c r="H59" s="1">
        <v>66.666666666666657</v>
      </c>
      <c r="I59" s="1">
        <v>68.965517241379317</v>
      </c>
      <c r="J59" s="1">
        <v>62.820512820512818</v>
      </c>
      <c r="K59" s="55">
        <f t="shared" si="0"/>
        <v>71.596226324209127</v>
      </c>
    </row>
    <row r="60" spans="1:11" ht="16.5">
      <c r="A60" s="12">
        <v>56</v>
      </c>
      <c r="B60" s="13">
        <v>1230321054</v>
      </c>
      <c r="C60" s="14" t="s">
        <v>100</v>
      </c>
      <c r="D60" s="1">
        <v>68.656716417910445</v>
      </c>
      <c r="E60" s="1">
        <v>40</v>
      </c>
      <c r="F60" s="1">
        <v>30.882352941176471</v>
      </c>
      <c r="G60" s="1">
        <v>30.882352941176471</v>
      </c>
      <c r="H60" s="1">
        <v>40.476190476190474</v>
      </c>
      <c r="I60" s="1">
        <v>15.517241379310345</v>
      </c>
      <c r="J60" s="1">
        <v>19.230769230769234</v>
      </c>
      <c r="K60" s="55">
        <f t="shared" si="0"/>
        <v>35.092231912361918</v>
      </c>
    </row>
    <row r="61" spans="1:11" ht="16.5">
      <c r="A61" s="12">
        <v>57</v>
      </c>
      <c r="B61" s="13">
        <v>1230321055</v>
      </c>
      <c r="C61" s="14" t="s">
        <v>78</v>
      </c>
      <c r="D61" s="1">
        <v>68.656716417910445</v>
      </c>
      <c r="E61" s="1">
        <v>60</v>
      </c>
      <c r="F61" s="1">
        <v>69.117647058823522</v>
      </c>
      <c r="G61" s="1">
        <v>69.117647058823522</v>
      </c>
      <c r="H61" s="1">
        <v>80.952380952380949</v>
      </c>
      <c r="I61" s="1">
        <v>68.965517241379317</v>
      </c>
      <c r="J61" s="1">
        <v>61.53846153846154</v>
      </c>
      <c r="K61" s="55">
        <f t="shared" si="0"/>
        <v>68.335481466825613</v>
      </c>
    </row>
    <row r="62" spans="1:11" ht="16.5">
      <c r="A62" s="12">
        <v>58</v>
      </c>
      <c r="B62" s="13">
        <v>1230321056</v>
      </c>
      <c r="C62" s="14" t="s">
        <v>79</v>
      </c>
      <c r="D62" s="1">
        <v>68.656716417910445</v>
      </c>
      <c r="E62" s="1">
        <v>63.636363636363633</v>
      </c>
      <c r="F62" s="1">
        <v>73.529411764705884</v>
      </c>
      <c r="G62" s="1">
        <v>73.529411764705884</v>
      </c>
      <c r="H62" s="1">
        <v>76.19047619047619</v>
      </c>
      <c r="I62" s="1">
        <v>70.689655172413794</v>
      </c>
      <c r="J62" s="1">
        <v>56.410256410256409</v>
      </c>
      <c r="K62" s="55">
        <f t="shared" si="0"/>
        <v>68.948898765261745</v>
      </c>
    </row>
    <row r="63" spans="1:11" ht="16.5">
      <c r="A63" s="12">
        <v>59</v>
      </c>
      <c r="B63" s="13">
        <v>1230321057</v>
      </c>
      <c r="C63" s="14" t="s">
        <v>80</v>
      </c>
      <c r="D63" s="1">
        <v>70.149253731343293</v>
      </c>
      <c r="E63" s="1">
        <v>74.545454545454547</v>
      </c>
      <c r="F63" s="1">
        <v>48.529411764705884</v>
      </c>
      <c r="G63" s="1">
        <v>48.529411764705884</v>
      </c>
      <c r="H63" s="1">
        <v>76.19047619047619</v>
      </c>
      <c r="I63" s="1">
        <v>60.344827586206897</v>
      </c>
      <c r="J63" s="1">
        <v>52.564102564102569</v>
      </c>
      <c r="K63" s="55">
        <f t="shared" si="0"/>
        <v>61.55041973528504</v>
      </c>
    </row>
    <row r="64" spans="1:11" ht="16.5">
      <c r="A64" s="12">
        <v>60</v>
      </c>
      <c r="B64" s="13">
        <v>1230321058</v>
      </c>
      <c r="C64" s="14" t="s">
        <v>81</v>
      </c>
      <c r="D64" s="1">
        <v>70.149253731343293</v>
      </c>
      <c r="E64" s="1">
        <v>83.636363636363626</v>
      </c>
      <c r="F64" s="1">
        <v>69.117647058823522</v>
      </c>
      <c r="G64" s="1">
        <v>69.117647058823522</v>
      </c>
      <c r="H64" s="1">
        <v>76.19047619047619</v>
      </c>
      <c r="I64" s="1">
        <v>63.793103448275865</v>
      </c>
      <c r="J64" s="1">
        <v>75.641025641025635</v>
      </c>
      <c r="K64" s="55">
        <f t="shared" si="0"/>
        <v>72.520788109304519</v>
      </c>
    </row>
    <row r="65" spans="1:11" ht="16.5">
      <c r="A65" s="12">
        <v>61</v>
      </c>
      <c r="B65" s="13">
        <v>1230321060</v>
      </c>
      <c r="C65" s="14" t="s">
        <v>82</v>
      </c>
      <c r="D65" s="1">
        <v>70.149253731343293</v>
      </c>
      <c r="E65" s="1">
        <v>30.909090909090907</v>
      </c>
      <c r="F65" s="1">
        <v>30.882352941176471</v>
      </c>
      <c r="G65" s="1">
        <v>30.882352941176471</v>
      </c>
      <c r="H65" s="1">
        <v>38.095238095238095</v>
      </c>
      <c r="I65" s="1">
        <v>32.758620689655174</v>
      </c>
      <c r="J65" s="1">
        <v>24.358974358974358</v>
      </c>
      <c r="K65" s="55">
        <f t="shared" si="0"/>
        <v>36.862269095236393</v>
      </c>
    </row>
    <row r="66" spans="1:11" ht="16.5">
      <c r="A66" s="12">
        <v>62</v>
      </c>
      <c r="B66" s="13">
        <v>1230321061</v>
      </c>
      <c r="C66" s="14" t="s">
        <v>101</v>
      </c>
      <c r="D66" s="1">
        <v>70.149253731343293</v>
      </c>
      <c r="E66" s="1">
        <v>18.181818181818183</v>
      </c>
      <c r="F66" s="1">
        <v>4.4117647058823533</v>
      </c>
      <c r="G66" s="1">
        <v>4.4117647058823533</v>
      </c>
      <c r="H66" s="1">
        <v>28.571428571428569</v>
      </c>
      <c r="I66" s="1">
        <v>1.7241379310344827</v>
      </c>
      <c r="J66" s="1">
        <v>2.5641025641025639</v>
      </c>
      <c r="K66" s="55">
        <f t="shared" si="0"/>
        <v>18.573467198784538</v>
      </c>
    </row>
    <row r="67" spans="1:11" ht="16.5">
      <c r="A67" s="12">
        <v>63</v>
      </c>
      <c r="B67" s="13">
        <v>1230321062</v>
      </c>
      <c r="C67" s="14" t="s">
        <v>83</v>
      </c>
      <c r="D67" s="1">
        <v>70.149253731343293</v>
      </c>
      <c r="E67" s="1">
        <v>67.272727272727266</v>
      </c>
      <c r="F67" s="1">
        <v>54.411764705882348</v>
      </c>
      <c r="G67" s="1">
        <v>54.411764705882348</v>
      </c>
      <c r="H67" s="1">
        <v>61.904761904761905</v>
      </c>
      <c r="I67" s="1">
        <v>48.275862068965516</v>
      </c>
      <c r="J67" s="1">
        <v>58.974358974358978</v>
      </c>
      <c r="K67" s="55">
        <f t="shared" si="0"/>
        <v>59.342927623417381</v>
      </c>
    </row>
    <row r="68" spans="1:11" ht="16.5">
      <c r="A68" s="12">
        <v>64</v>
      </c>
      <c r="B68" s="13">
        <v>1230321063</v>
      </c>
      <c r="C68" s="14" t="s">
        <v>84</v>
      </c>
      <c r="D68" s="1">
        <v>70.149253731343293</v>
      </c>
      <c r="E68" s="1">
        <v>81.818181818181827</v>
      </c>
      <c r="F68" s="1">
        <v>64.705882352941174</v>
      </c>
      <c r="G68" s="1">
        <v>64.705882352941174</v>
      </c>
      <c r="H68" s="1">
        <v>66.666666666666657</v>
      </c>
      <c r="I68" s="1">
        <v>65.517241379310349</v>
      </c>
      <c r="J68" s="1">
        <v>70.512820512820511</v>
      </c>
      <c r="K68" s="55">
        <f t="shared" si="0"/>
        <v>69.153704116314984</v>
      </c>
    </row>
    <row r="69" spans="1:11" ht="16.5">
      <c r="A69" s="12">
        <v>65</v>
      </c>
      <c r="B69" s="13">
        <v>1230321064</v>
      </c>
      <c r="C69" s="14" t="s">
        <v>102</v>
      </c>
      <c r="D69" s="1">
        <v>70.149253731343293</v>
      </c>
      <c r="E69" s="1">
        <v>63.636363636363633</v>
      </c>
      <c r="F69" s="1">
        <v>55.882352941176471</v>
      </c>
      <c r="G69" s="1">
        <v>55.882352941176471</v>
      </c>
      <c r="H69" s="1">
        <v>61.904761904761905</v>
      </c>
      <c r="I69" s="1">
        <v>60.344827586206897</v>
      </c>
      <c r="J69" s="1">
        <v>60.256410256410255</v>
      </c>
      <c r="K69" s="55">
        <f t="shared" si="0"/>
        <v>61.15090328534842</v>
      </c>
    </row>
    <row r="70" spans="1:11" ht="16.5">
      <c r="A70" s="12">
        <v>66</v>
      </c>
      <c r="B70" s="13">
        <v>1230321065</v>
      </c>
      <c r="C70" s="14" t="s">
        <v>85</v>
      </c>
      <c r="D70" s="1">
        <v>70.149253731343293</v>
      </c>
      <c r="E70" s="1">
        <v>49.090909090909093</v>
      </c>
      <c r="F70" s="1">
        <v>45.588235294117645</v>
      </c>
      <c r="G70" s="1">
        <v>45.588235294117645</v>
      </c>
      <c r="H70" s="1">
        <v>52.380952380952387</v>
      </c>
      <c r="I70" s="1">
        <v>32.758620689655174</v>
      </c>
      <c r="J70" s="1">
        <v>41.025641025641022</v>
      </c>
      <c r="K70" s="55">
        <f t="shared" ref="K70:K86" si="1">AVERAGE(D70:J70)</f>
        <v>48.083121072390895</v>
      </c>
    </row>
    <row r="71" spans="1:11" ht="16.5">
      <c r="A71" s="12">
        <v>67</v>
      </c>
      <c r="B71" s="13">
        <v>1230321066</v>
      </c>
      <c r="C71" s="14" t="s">
        <v>86</v>
      </c>
      <c r="D71" s="1">
        <v>70.149253731343293</v>
      </c>
      <c r="E71" s="1">
        <v>80</v>
      </c>
      <c r="F71" s="1">
        <v>56.71641791044776</v>
      </c>
      <c r="G71" s="1">
        <v>56.71641791044776</v>
      </c>
      <c r="H71" s="1">
        <v>76.19047619047619</v>
      </c>
      <c r="I71" s="1">
        <v>62.068965517241381</v>
      </c>
      <c r="J71" s="1">
        <v>51.282051282051277</v>
      </c>
      <c r="K71" s="55">
        <f t="shared" si="1"/>
        <v>64.731940363143949</v>
      </c>
    </row>
    <row r="72" spans="1:11" ht="16.5">
      <c r="A72" s="12">
        <v>68</v>
      </c>
      <c r="B72" s="13">
        <v>1230321067</v>
      </c>
      <c r="C72" s="14" t="s">
        <v>87</v>
      </c>
      <c r="D72" s="1">
        <v>71.641791044776113</v>
      </c>
      <c r="E72" s="1">
        <v>74.545454545454547</v>
      </c>
      <c r="F72" s="1">
        <v>76.470588235294116</v>
      </c>
      <c r="G72" s="1">
        <v>76.470588235294116</v>
      </c>
      <c r="H72" s="1">
        <v>90.476190476190482</v>
      </c>
      <c r="I72" s="1">
        <v>68.965517241379317</v>
      </c>
      <c r="J72" s="1">
        <v>71.794871794871796</v>
      </c>
      <c r="K72" s="55">
        <f t="shared" si="1"/>
        <v>75.766428796180065</v>
      </c>
    </row>
    <row r="73" spans="1:11" ht="16.5">
      <c r="A73" s="12">
        <v>69</v>
      </c>
      <c r="B73" s="13">
        <v>1230321068</v>
      </c>
      <c r="C73" s="14" t="s">
        <v>88</v>
      </c>
      <c r="D73" s="1">
        <v>71.641791044776113</v>
      </c>
      <c r="E73" s="1">
        <v>72.727272727272734</v>
      </c>
      <c r="F73" s="1">
        <v>63.235294117647058</v>
      </c>
      <c r="G73" s="1">
        <v>63.235294117647058</v>
      </c>
      <c r="H73" s="1">
        <v>66.666666666666657</v>
      </c>
      <c r="I73" s="1">
        <v>56.896551724137936</v>
      </c>
      <c r="J73" s="1">
        <v>47.435897435897431</v>
      </c>
      <c r="K73" s="55">
        <f t="shared" si="1"/>
        <v>63.119823976292146</v>
      </c>
    </row>
    <row r="74" spans="1:11" ht="16.5">
      <c r="A74" s="12">
        <v>70</v>
      </c>
      <c r="B74" s="13">
        <v>1230321069</v>
      </c>
      <c r="C74" s="14" t="s">
        <v>89</v>
      </c>
      <c r="D74" s="1">
        <v>71.641791044776113</v>
      </c>
      <c r="E74" s="1">
        <v>61.818181818181813</v>
      </c>
      <c r="F74" s="1">
        <v>58.82352941176471</v>
      </c>
      <c r="G74" s="1">
        <v>58.82352941176471</v>
      </c>
      <c r="H74" s="1">
        <v>61.904761904761905</v>
      </c>
      <c r="I74" s="1">
        <v>55.172413793103445</v>
      </c>
      <c r="J74" s="1">
        <v>65.384615384615387</v>
      </c>
      <c r="K74" s="55">
        <f t="shared" si="1"/>
        <v>61.938403252709726</v>
      </c>
    </row>
    <row r="75" spans="1:11" ht="16.5">
      <c r="A75" s="12">
        <v>71</v>
      </c>
      <c r="B75" s="13">
        <v>1230321070</v>
      </c>
      <c r="C75" s="14" t="s">
        <v>90</v>
      </c>
      <c r="D75" s="1">
        <v>71.641791044776113</v>
      </c>
      <c r="E75" s="1">
        <v>56.36363636363636</v>
      </c>
      <c r="F75" s="1">
        <v>41.17647058823529</v>
      </c>
      <c r="G75" s="1">
        <v>41.17647058823529</v>
      </c>
      <c r="H75" s="1">
        <v>52.380952380952387</v>
      </c>
      <c r="I75" s="1">
        <v>27.586206896551722</v>
      </c>
      <c r="J75" s="1">
        <v>30.76923076923077</v>
      </c>
      <c r="K75" s="55">
        <f t="shared" si="1"/>
        <v>45.870679804516854</v>
      </c>
    </row>
    <row r="76" spans="1:11" ht="16.5">
      <c r="A76" s="12">
        <v>72</v>
      </c>
      <c r="B76" s="13">
        <v>1230321071</v>
      </c>
      <c r="C76" s="14" t="s">
        <v>91</v>
      </c>
      <c r="D76" s="1">
        <v>71.641791044776113</v>
      </c>
      <c r="E76" s="1">
        <v>67.272727272727266</v>
      </c>
      <c r="F76" s="1">
        <v>48.529411764705884</v>
      </c>
      <c r="G76" s="1">
        <v>48.529411764705884</v>
      </c>
      <c r="H76" s="1">
        <v>57.142857142857139</v>
      </c>
      <c r="I76" s="1">
        <v>55.172413793103445</v>
      </c>
      <c r="J76" s="1">
        <v>58.974358974358978</v>
      </c>
      <c r="K76" s="55">
        <f t="shared" si="1"/>
        <v>58.180424536747815</v>
      </c>
    </row>
    <row r="77" spans="1:11" ht="16.5">
      <c r="A77" s="12">
        <v>73</v>
      </c>
      <c r="B77" s="13">
        <v>1230321072</v>
      </c>
      <c r="C77" s="14" t="s">
        <v>92</v>
      </c>
      <c r="D77" s="1">
        <v>71.641791044776113</v>
      </c>
      <c r="E77" s="1">
        <v>67.272727272727266</v>
      </c>
      <c r="F77" s="1">
        <v>39.705882352941174</v>
      </c>
      <c r="G77" s="1">
        <v>39.705882352941174</v>
      </c>
      <c r="H77" s="1">
        <v>47.619047619047613</v>
      </c>
      <c r="I77" s="1">
        <v>31.03448275862069</v>
      </c>
      <c r="J77" s="1">
        <v>20.512820512820511</v>
      </c>
      <c r="K77" s="55">
        <f t="shared" si="1"/>
        <v>45.356090559124929</v>
      </c>
    </row>
    <row r="78" spans="1:11" ht="16.5">
      <c r="A78" s="12">
        <v>74</v>
      </c>
      <c r="B78" s="13">
        <v>1230321073</v>
      </c>
      <c r="C78" s="14" t="s">
        <v>93</v>
      </c>
      <c r="D78" s="1">
        <v>71.641791044776113</v>
      </c>
      <c r="E78" s="1">
        <v>60</v>
      </c>
      <c r="F78" s="1">
        <v>64.705882352941174</v>
      </c>
      <c r="G78" s="1">
        <v>64.705882352941174</v>
      </c>
      <c r="H78" s="1">
        <v>64.285714285714292</v>
      </c>
      <c r="I78" s="1">
        <v>46.551724137931032</v>
      </c>
      <c r="J78" s="1">
        <v>60.256410256410255</v>
      </c>
      <c r="K78" s="55">
        <v>65.23</v>
      </c>
    </row>
    <row r="79" spans="1:11" ht="16.5">
      <c r="A79" s="12">
        <v>75</v>
      </c>
      <c r="B79" s="13">
        <v>1230321074</v>
      </c>
      <c r="C79" s="14" t="s">
        <v>94</v>
      </c>
      <c r="D79" s="1">
        <v>70.149253731343293</v>
      </c>
      <c r="E79" s="1">
        <v>41.818181818181813</v>
      </c>
      <c r="F79" s="1">
        <v>39.705882352941174</v>
      </c>
      <c r="G79" s="1">
        <v>39.705882352941174</v>
      </c>
      <c r="H79" s="1">
        <v>47.619047619047613</v>
      </c>
      <c r="I79" s="1">
        <v>27.586206896551722</v>
      </c>
      <c r="J79" s="1">
        <v>26.923076923076923</v>
      </c>
      <c r="K79" s="55">
        <f t="shared" si="1"/>
        <v>41.929647384869099</v>
      </c>
    </row>
    <row r="80" spans="1:11" ht="16.5">
      <c r="A80" s="12">
        <v>76</v>
      </c>
      <c r="B80" s="13">
        <v>1230321075</v>
      </c>
      <c r="C80" s="14" t="s">
        <v>95</v>
      </c>
      <c r="D80" s="1">
        <v>70.149253731343293</v>
      </c>
      <c r="E80" s="1">
        <v>63.636363636363633</v>
      </c>
      <c r="F80" s="1">
        <v>52.941176470588239</v>
      </c>
      <c r="G80" s="1">
        <v>52.941176470588239</v>
      </c>
      <c r="H80" s="1">
        <v>57.142857142857139</v>
      </c>
      <c r="I80" s="1">
        <v>63.793103448275865</v>
      </c>
      <c r="J80" s="1">
        <v>44.871794871794876</v>
      </c>
      <c r="K80" s="55">
        <f t="shared" si="1"/>
        <v>57.925103681687325</v>
      </c>
    </row>
    <row r="81" spans="1:11" ht="16.5">
      <c r="A81" s="12">
        <v>77</v>
      </c>
      <c r="B81" s="13">
        <v>1230321076</v>
      </c>
      <c r="C81" s="14" t="s">
        <v>96</v>
      </c>
      <c r="D81" s="1">
        <v>70.149253731343293</v>
      </c>
      <c r="E81" s="1">
        <v>81.818181818181827</v>
      </c>
      <c r="F81" s="1">
        <v>76.470588235294116</v>
      </c>
      <c r="G81" s="1">
        <v>76.470588235294116</v>
      </c>
      <c r="H81" s="1">
        <v>90.476190476190482</v>
      </c>
      <c r="I81" s="1">
        <v>65.517241379310349</v>
      </c>
      <c r="J81" s="1">
        <v>70.512820512820511</v>
      </c>
      <c r="K81" s="55">
        <f t="shared" si="1"/>
        <v>75.916409198347807</v>
      </c>
    </row>
    <row r="82" spans="1:11" s="6" customFormat="1" ht="16.5" customHeight="1">
      <c r="A82" s="75" t="s">
        <v>97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</row>
    <row r="83" spans="1:11" s="6" customFormat="1" ht="16.5">
      <c r="A83" s="12">
        <v>78</v>
      </c>
      <c r="B83" s="13" t="s">
        <v>0</v>
      </c>
      <c r="C83" s="14" t="s">
        <v>103</v>
      </c>
      <c r="D83" s="54">
        <v>68.656716417910445</v>
      </c>
      <c r="E83" s="54">
        <v>1.8181818181818181</v>
      </c>
      <c r="F83" s="54">
        <v>0</v>
      </c>
      <c r="G83" s="54">
        <v>0</v>
      </c>
      <c r="H83" s="54">
        <v>7.1428571428571423</v>
      </c>
      <c r="I83" s="54">
        <v>0</v>
      </c>
      <c r="J83" s="54">
        <v>0</v>
      </c>
      <c r="K83" s="55">
        <f t="shared" si="1"/>
        <v>11.088250768421343</v>
      </c>
    </row>
    <row r="84" spans="1:11" s="6" customFormat="1" ht="16.5">
      <c r="A84" s="75" t="s">
        <v>98</v>
      </c>
      <c r="B84" s="75"/>
      <c r="C84" s="75"/>
      <c r="D84" s="75"/>
      <c r="E84" s="75"/>
      <c r="F84" s="75"/>
      <c r="G84" s="75"/>
      <c r="H84" s="75"/>
      <c r="I84" s="75"/>
      <c r="J84" s="75"/>
      <c r="K84" s="75"/>
    </row>
    <row r="85" spans="1:11" s="6" customFormat="1" ht="16.5">
      <c r="A85" s="12">
        <v>1</v>
      </c>
      <c r="B85" s="15">
        <v>1220321025</v>
      </c>
      <c r="C85" s="15" t="s">
        <v>99</v>
      </c>
      <c r="D85" s="54">
        <v>43.283582089552233</v>
      </c>
      <c r="E85" s="54">
        <v>13.725490196078432</v>
      </c>
      <c r="F85" s="54">
        <v>7.3529411764705888</v>
      </c>
      <c r="G85" s="54">
        <v>7.3529411764705888</v>
      </c>
      <c r="H85" s="54">
        <v>4.7619047619047619</v>
      </c>
      <c r="I85" s="54">
        <v>0</v>
      </c>
      <c r="J85" s="54">
        <v>3.79746835443038</v>
      </c>
      <c r="K85" s="55">
        <f t="shared" si="1"/>
        <v>11.467761107843856</v>
      </c>
    </row>
    <row r="86" spans="1:11" s="6" customFormat="1" ht="16.5">
      <c r="A86" s="12">
        <v>2</v>
      </c>
      <c r="B86" s="15">
        <v>1230321051</v>
      </c>
      <c r="C86" s="15" t="s">
        <v>104</v>
      </c>
      <c r="D86" s="54">
        <v>68.656716417910445</v>
      </c>
      <c r="E86" s="54">
        <v>43.636363636363633</v>
      </c>
      <c r="F86" s="54">
        <v>39.705882352941174</v>
      </c>
      <c r="G86" s="54">
        <v>39.705882352941174</v>
      </c>
      <c r="H86" s="54">
        <v>57.142857142857139</v>
      </c>
      <c r="I86" s="54">
        <v>0</v>
      </c>
      <c r="J86" s="54">
        <v>39.743589743589745</v>
      </c>
      <c r="K86" s="55">
        <f t="shared" si="1"/>
        <v>41.22732737808618</v>
      </c>
    </row>
  </sheetData>
  <mergeCells count="5">
    <mergeCell ref="A84:K84"/>
    <mergeCell ref="A1:K1"/>
    <mergeCell ref="A2:K2"/>
    <mergeCell ref="A3:K3"/>
    <mergeCell ref="A82:K8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 and Dental Pharmacology</vt:lpstr>
      <vt:lpstr>General Pathology</vt:lpstr>
      <vt:lpstr>Preclinical Prosthodontics</vt:lpstr>
      <vt:lpstr>Dental Material</vt:lpstr>
      <vt:lpstr>Oral Pathology</vt:lpstr>
      <vt:lpstr>General Microbiology</vt:lpstr>
      <vt:lpstr>Preclinical Conservative</vt:lpstr>
      <vt:lpstr>October 2024 to April 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2024-05-14T08:01:37Z</cp:lastPrinted>
  <dcterms:created xsi:type="dcterms:W3CDTF">2024-03-22T10:34:56Z</dcterms:created>
  <dcterms:modified xsi:type="dcterms:W3CDTF">2025-05-19T11:00:07Z</dcterms:modified>
</cp:coreProperties>
</file>